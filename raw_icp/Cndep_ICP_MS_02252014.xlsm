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120" windowWidth="19035" windowHeight="7110"/>
  </bookViews>
  <sheets>
    <sheet name="Conc. View" sheetId="3" r:id="rId1"/>
    <sheet name="Input" sheetId="7" r:id="rId2"/>
    <sheet name="Std Concentrations" sheetId="6" r:id="rId3"/>
  </sheets>
  <calcPr calcId="145621"/>
</workbook>
</file>

<file path=xl/calcChain.xml><?xml version="1.0" encoding="utf-8"?>
<calcChain xmlns="http://schemas.openxmlformats.org/spreadsheetml/2006/main">
  <c r="BP89" i="3" l="1"/>
  <c r="BO89" i="3"/>
  <c r="BL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H89" i="3"/>
  <c r="AG89" i="3"/>
  <c r="AF89" i="3"/>
  <c r="AE89" i="3"/>
  <c r="AD89" i="3"/>
  <c r="AC89" i="3"/>
  <c r="AB89" i="3"/>
  <c r="Y89" i="3"/>
  <c r="X89" i="3"/>
  <c r="W89" i="3"/>
  <c r="V89" i="3"/>
  <c r="S89" i="3"/>
  <c r="R89" i="3"/>
  <c r="Q89" i="3"/>
  <c r="P89" i="3"/>
  <c r="O89" i="3"/>
  <c r="N89" i="3"/>
  <c r="M89" i="3"/>
  <c r="L89" i="3"/>
  <c r="K89" i="3"/>
  <c r="J89" i="3"/>
  <c r="C89" i="3"/>
  <c r="D89" i="3"/>
  <c r="E89" i="3"/>
  <c r="F89" i="3"/>
  <c r="G89" i="3"/>
  <c r="B89" i="3"/>
  <c r="BP88" i="3"/>
  <c r="BO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H88" i="3"/>
  <c r="AG88" i="3"/>
  <c r="AF88" i="3"/>
  <c r="AE88" i="3"/>
  <c r="AD88" i="3"/>
  <c r="AC88" i="3"/>
  <c r="AB88" i="3"/>
  <c r="Y88" i="3"/>
  <c r="X88" i="3"/>
  <c r="W88" i="3"/>
  <c r="V88" i="3"/>
  <c r="S88" i="3"/>
  <c r="R88" i="3"/>
  <c r="Q88" i="3"/>
  <c r="P88" i="3"/>
  <c r="O88" i="3"/>
  <c r="N88" i="3"/>
  <c r="M88" i="3"/>
  <c r="L88" i="3"/>
  <c r="K88" i="3"/>
  <c r="J88" i="3"/>
  <c r="C88" i="3"/>
  <c r="D88" i="3"/>
  <c r="E88" i="3"/>
  <c r="F88" i="3"/>
  <c r="G88" i="3"/>
  <c r="B88" i="3"/>
  <c r="BP87" i="3"/>
  <c r="BO87" i="3"/>
  <c r="BL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H87" i="3"/>
  <c r="AG87" i="3"/>
  <c r="AF87" i="3"/>
  <c r="AE87" i="3"/>
  <c r="AD87" i="3"/>
  <c r="AC87" i="3"/>
  <c r="AB87" i="3"/>
  <c r="Y87" i="3"/>
  <c r="X87" i="3"/>
  <c r="W87" i="3"/>
  <c r="V87" i="3"/>
  <c r="S87" i="3"/>
  <c r="R87" i="3"/>
  <c r="Q87" i="3"/>
  <c r="P87" i="3"/>
  <c r="O87" i="3"/>
  <c r="N87" i="3"/>
  <c r="M87" i="3"/>
  <c r="L87" i="3"/>
  <c r="K87" i="3"/>
  <c r="J87" i="3"/>
  <c r="C87" i="3"/>
  <c r="D87" i="3"/>
  <c r="E87" i="3"/>
  <c r="F87" i="3"/>
  <c r="G87" i="3"/>
  <c r="B87" i="3"/>
  <c r="BP86" i="3"/>
  <c r="BO86" i="3"/>
  <c r="BL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H86" i="3"/>
  <c r="AG86" i="3"/>
  <c r="AF86" i="3"/>
  <c r="AE86" i="3"/>
  <c r="AD86" i="3"/>
  <c r="AC86" i="3"/>
  <c r="AB86" i="3"/>
  <c r="Y86" i="3"/>
  <c r="X86" i="3"/>
  <c r="W86" i="3"/>
  <c r="V86" i="3"/>
  <c r="S86" i="3"/>
  <c r="R86" i="3"/>
  <c r="Q86" i="3"/>
  <c r="P86" i="3"/>
  <c r="O86" i="3"/>
  <c r="N86" i="3"/>
  <c r="M86" i="3"/>
  <c r="L86" i="3"/>
  <c r="K86" i="3"/>
  <c r="J86" i="3"/>
  <c r="C86" i="3"/>
  <c r="D86" i="3"/>
  <c r="E86" i="3"/>
  <c r="F86" i="3"/>
  <c r="G86" i="3"/>
  <c r="B86" i="3"/>
  <c r="BP85" i="3"/>
  <c r="BO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H85" i="3"/>
  <c r="AG85" i="3"/>
  <c r="AF85" i="3"/>
  <c r="AE85" i="3"/>
  <c r="AD85" i="3"/>
  <c r="AC85" i="3"/>
  <c r="AB85" i="3"/>
  <c r="Y85" i="3"/>
  <c r="X85" i="3"/>
  <c r="W85" i="3"/>
  <c r="V85" i="3"/>
  <c r="S85" i="3"/>
  <c r="R85" i="3"/>
  <c r="Q85" i="3"/>
  <c r="P85" i="3"/>
  <c r="O85" i="3"/>
  <c r="N85" i="3"/>
  <c r="M85" i="3"/>
  <c r="L85" i="3"/>
  <c r="K85" i="3"/>
  <c r="J85" i="3"/>
  <c r="C85" i="3"/>
  <c r="D85" i="3"/>
  <c r="E85" i="3"/>
  <c r="F85" i="3"/>
  <c r="G85" i="3"/>
  <c r="B85" i="3"/>
  <c r="BP84" i="3"/>
  <c r="BO84" i="3"/>
  <c r="BL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H84" i="3"/>
  <c r="AG84" i="3"/>
  <c r="AF84" i="3"/>
  <c r="AE84" i="3"/>
  <c r="AD84" i="3"/>
  <c r="AC84" i="3"/>
  <c r="AB84" i="3"/>
  <c r="Y84" i="3"/>
  <c r="X84" i="3"/>
  <c r="W84" i="3"/>
  <c r="V84" i="3"/>
  <c r="S84" i="3"/>
  <c r="R84" i="3"/>
  <c r="Q84" i="3"/>
  <c r="P84" i="3"/>
  <c r="O84" i="3"/>
  <c r="N84" i="3"/>
  <c r="M84" i="3"/>
  <c r="L84" i="3"/>
  <c r="K84" i="3"/>
  <c r="J84" i="3"/>
  <c r="C84" i="3"/>
  <c r="D84" i="3"/>
  <c r="E84" i="3"/>
  <c r="F84" i="3"/>
  <c r="G84" i="3"/>
  <c r="B84" i="3"/>
  <c r="BP83" i="3"/>
  <c r="BO83" i="3"/>
  <c r="BL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H83" i="3"/>
  <c r="AG83" i="3"/>
  <c r="AF83" i="3"/>
  <c r="AE83" i="3"/>
  <c r="AD83" i="3"/>
  <c r="AC83" i="3"/>
  <c r="AB83" i="3"/>
  <c r="Y83" i="3"/>
  <c r="X83" i="3"/>
  <c r="W83" i="3"/>
  <c r="V83" i="3"/>
  <c r="S83" i="3"/>
  <c r="R83" i="3"/>
  <c r="Q83" i="3"/>
  <c r="P83" i="3"/>
  <c r="O83" i="3"/>
  <c r="N83" i="3"/>
  <c r="M83" i="3"/>
  <c r="L83" i="3"/>
  <c r="K83" i="3"/>
  <c r="J83" i="3"/>
  <c r="C83" i="3"/>
  <c r="D83" i="3"/>
  <c r="E83" i="3"/>
  <c r="F83" i="3"/>
  <c r="G83" i="3"/>
  <c r="B83" i="3"/>
  <c r="BP82" i="3"/>
  <c r="BO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H82" i="3"/>
  <c r="AG82" i="3"/>
  <c r="AF82" i="3"/>
  <c r="AE82" i="3"/>
  <c r="AD82" i="3"/>
  <c r="AC82" i="3"/>
  <c r="AB82" i="3"/>
  <c r="Y82" i="3"/>
  <c r="X82" i="3"/>
  <c r="W82" i="3"/>
  <c r="V82" i="3"/>
  <c r="S82" i="3"/>
  <c r="R82" i="3"/>
  <c r="Q82" i="3"/>
  <c r="P82" i="3"/>
  <c r="O82" i="3"/>
  <c r="N82" i="3"/>
  <c r="M82" i="3"/>
  <c r="L82" i="3"/>
  <c r="K82" i="3"/>
  <c r="J82" i="3"/>
  <c r="C82" i="3"/>
  <c r="D82" i="3"/>
  <c r="E82" i="3"/>
  <c r="F82" i="3"/>
  <c r="G82" i="3"/>
  <c r="B82" i="3"/>
  <c r="BP81" i="3"/>
  <c r="BO81" i="3"/>
  <c r="BL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H81" i="3"/>
  <c r="AG81" i="3"/>
  <c r="AF81" i="3"/>
  <c r="AE81" i="3"/>
  <c r="AD81" i="3"/>
  <c r="AC81" i="3"/>
  <c r="AB81" i="3"/>
  <c r="Y81" i="3"/>
  <c r="X81" i="3"/>
  <c r="W81" i="3"/>
  <c r="V81" i="3"/>
  <c r="S81" i="3"/>
  <c r="R81" i="3"/>
  <c r="Q81" i="3"/>
  <c r="P81" i="3"/>
  <c r="O81" i="3"/>
  <c r="N81" i="3"/>
  <c r="M81" i="3"/>
  <c r="L81" i="3"/>
  <c r="K81" i="3"/>
  <c r="J81" i="3"/>
  <c r="C81" i="3"/>
  <c r="D81" i="3"/>
  <c r="E81" i="3"/>
  <c r="F81" i="3"/>
  <c r="G81" i="3"/>
  <c r="B81" i="3"/>
  <c r="BP80" i="3"/>
  <c r="BO80" i="3"/>
  <c r="BL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H80" i="3"/>
  <c r="AG80" i="3"/>
  <c r="AF80" i="3"/>
  <c r="AE80" i="3"/>
  <c r="AD80" i="3"/>
  <c r="AC80" i="3"/>
  <c r="AB80" i="3"/>
  <c r="Y80" i="3"/>
  <c r="X80" i="3"/>
  <c r="W80" i="3"/>
  <c r="V80" i="3"/>
  <c r="S80" i="3"/>
  <c r="R80" i="3"/>
  <c r="Q80" i="3"/>
  <c r="P80" i="3"/>
  <c r="O80" i="3"/>
  <c r="N80" i="3"/>
  <c r="M80" i="3"/>
  <c r="L80" i="3"/>
  <c r="K80" i="3"/>
  <c r="J80" i="3"/>
  <c r="C80" i="3"/>
  <c r="D80" i="3"/>
  <c r="E80" i="3"/>
  <c r="F80" i="3"/>
  <c r="G80" i="3"/>
  <c r="B80" i="3"/>
  <c r="BP79" i="3"/>
  <c r="BO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H79" i="3"/>
  <c r="AG79" i="3"/>
  <c r="AF79" i="3"/>
  <c r="AE79" i="3"/>
  <c r="AD79" i="3"/>
  <c r="AC79" i="3"/>
  <c r="AB79" i="3"/>
  <c r="Y79" i="3"/>
  <c r="X79" i="3"/>
  <c r="W79" i="3"/>
  <c r="V79" i="3"/>
  <c r="S79" i="3"/>
  <c r="R79" i="3"/>
  <c r="Q79" i="3"/>
  <c r="P79" i="3"/>
  <c r="O79" i="3"/>
  <c r="N79" i="3"/>
  <c r="M79" i="3"/>
  <c r="L79" i="3"/>
  <c r="K79" i="3"/>
  <c r="J79" i="3"/>
  <c r="C79" i="3"/>
  <c r="D79" i="3"/>
  <c r="E79" i="3"/>
  <c r="F79" i="3"/>
  <c r="G79" i="3"/>
  <c r="B79" i="3"/>
  <c r="BP78" i="3"/>
  <c r="BO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H78" i="3"/>
  <c r="AG78" i="3"/>
  <c r="AF78" i="3"/>
  <c r="AE78" i="3"/>
  <c r="AD78" i="3"/>
  <c r="AC78" i="3"/>
  <c r="AB78" i="3"/>
  <c r="Y78" i="3"/>
  <c r="X78" i="3"/>
  <c r="W78" i="3"/>
  <c r="V78" i="3"/>
  <c r="S78" i="3"/>
  <c r="R78" i="3"/>
  <c r="Q78" i="3"/>
  <c r="P78" i="3"/>
  <c r="O78" i="3"/>
  <c r="N78" i="3"/>
  <c r="M78" i="3"/>
  <c r="L78" i="3"/>
  <c r="K78" i="3"/>
  <c r="J78" i="3"/>
  <c r="C78" i="3"/>
  <c r="D78" i="3"/>
  <c r="E78" i="3"/>
  <c r="F78" i="3"/>
  <c r="G78" i="3"/>
  <c r="B78" i="3"/>
  <c r="BP77" i="3"/>
  <c r="BO77" i="3"/>
  <c r="BL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H77" i="3"/>
  <c r="AG77" i="3"/>
  <c r="AF77" i="3"/>
  <c r="AE77" i="3"/>
  <c r="AD77" i="3"/>
  <c r="AC77" i="3"/>
  <c r="AB77" i="3"/>
  <c r="Y77" i="3"/>
  <c r="X77" i="3"/>
  <c r="W77" i="3"/>
  <c r="V77" i="3"/>
  <c r="S77" i="3"/>
  <c r="R77" i="3"/>
  <c r="Q77" i="3"/>
  <c r="P77" i="3"/>
  <c r="O77" i="3"/>
  <c r="N77" i="3"/>
  <c r="M77" i="3"/>
  <c r="L77" i="3"/>
  <c r="K77" i="3"/>
  <c r="J77" i="3"/>
  <c r="C77" i="3"/>
  <c r="D77" i="3"/>
  <c r="E77" i="3"/>
  <c r="F77" i="3"/>
  <c r="G77" i="3"/>
  <c r="B77" i="3"/>
  <c r="BP76" i="3"/>
  <c r="BO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H76" i="3"/>
  <c r="AG76" i="3"/>
  <c r="AF76" i="3"/>
  <c r="AE76" i="3"/>
  <c r="AD76" i="3"/>
  <c r="AC76" i="3"/>
  <c r="AB76" i="3"/>
  <c r="Y76" i="3"/>
  <c r="X76" i="3"/>
  <c r="W76" i="3"/>
  <c r="V76" i="3"/>
  <c r="S76" i="3"/>
  <c r="R76" i="3"/>
  <c r="Q76" i="3"/>
  <c r="P76" i="3"/>
  <c r="O76" i="3"/>
  <c r="N76" i="3"/>
  <c r="M76" i="3"/>
  <c r="L76" i="3"/>
  <c r="K76" i="3"/>
  <c r="J76" i="3"/>
  <c r="C76" i="3"/>
  <c r="D76" i="3"/>
  <c r="E76" i="3"/>
  <c r="F76" i="3"/>
  <c r="G76" i="3"/>
  <c r="B76" i="3"/>
  <c r="BP75" i="3"/>
  <c r="BO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H75" i="3"/>
  <c r="AG75" i="3"/>
  <c r="AF75" i="3"/>
  <c r="AE75" i="3"/>
  <c r="AD75" i="3"/>
  <c r="AC75" i="3"/>
  <c r="AB75" i="3"/>
  <c r="Y75" i="3"/>
  <c r="X75" i="3"/>
  <c r="W75" i="3"/>
  <c r="V75" i="3"/>
  <c r="S75" i="3"/>
  <c r="R75" i="3"/>
  <c r="Q75" i="3"/>
  <c r="P75" i="3"/>
  <c r="O75" i="3"/>
  <c r="N75" i="3"/>
  <c r="M75" i="3"/>
  <c r="L75" i="3"/>
  <c r="K75" i="3"/>
  <c r="J75" i="3"/>
  <c r="C75" i="3"/>
  <c r="D75" i="3"/>
  <c r="E75" i="3"/>
  <c r="F75" i="3"/>
  <c r="G75" i="3"/>
  <c r="B75" i="3"/>
  <c r="BP74" i="3"/>
  <c r="BO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H74" i="3"/>
  <c r="AG74" i="3"/>
  <c r="AF74" i="3"/>
  <c r="AE74" i="3"/>
  <c r="AD74" i="3"/>
  <c r="AC74" i="3"/>
  <c r="AB74" i="3"/>
  <c r="Y74" i="3"/>
  <c r="X74" i="3"/>
  <c r="W74" i="3"/>
  <c r="V74" i="3"/>
  <c r="S74" i="3"/>
  <c r="R74" i="3"/>
  <c r="Q74" i="3"/>
  <c r="P74" i="3"/>
  <c r="O74" i="3"/>
  <c r="N74" i="3"/>
  <c r="M74" i="3"/>
  <c r="L74" i="3"/>
  <c r="K74" i="3"/>
  <c r="J74" i="3"/>
  <c r="C74" i="3"/>
  <c r="D74" i="3"/>
  <c r="E74" i="3"/>
  <c r="F74" i="3"/>
  <c r="G74" i="3"/>
  <c r="B74" i="3"/>
  <c r="BP71" i="3"/>
  <c r="BO71" i="3"/>
  <c r="BL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H71" i="3"/>
  <c r="AG71" i="3"/>
  <c r="AF71" i="3"/>
  <c r="AE71" i="3"/>
  <c r="AD71" i="3"/>
  <c r="AC71" i="3"/>
  <c r="AB71" i="3"/>
  <c r="Y71" i="3"/>
  <c r="X71" i="3"/>
  <c r="W71" i="3"/>
  <c r="V71" i="3"/>
  <c r="S71" i="3"/>
  <c r="R71" i="3"/>
  <c r="Q71" i="3"/>
  <c r="P71" i="3"/>
  <c r="O71" i="3"/>
  <c r="N71" i="3"/>
  <c r="M71" i="3"/>
  <c r="L71" i="3"/>
  <c r="K71" i="3"/>
  <c r="J71" i="3"/>
  <c r="C71" i="3"/>
  <c r="D71" i="3"/>
  <c r="E71" i="3"/>
  <c r="F71" i="3"/>
  <c r="G71" i="3"/>
  <c r="B71" i="3"/>
  <c r="BP70" i="3"/>
  <c r="BO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H70" i="3"/>
  <c r="AG70" i="3"/>
  <c r="AF70" i="3"/>
  <c r="AE70" i="3"/>
  <c r="AD70" i="3"/>
  <c r="AC70" i="3"/>
  <c r="AB70" i="3"/>
  <c r="Y70" i="3"/>
  <c r="X70" i="3"/>
  <c r="W70" i="3"/>
  <c r="V70" i="3"/>
  <c r="S70" i="3"/>
  <c r="R70" i="3"/>
  <c r="Q70" i="3"/>
  <c r="P70" i="3"/>
  <c r="O70" i="3"/>
  <c r="N70" i="3"/>
  <c r="M70" i="3"/>
  <c r="L70" i="3"/>
  <c r="K70" i="3"/>
  <c r="J70" i="3"/>
  <c r="C70" i="3"/>
  <c r="D70" i="3"/>
  <c r="E70" i="3"/>
  <c r="F70" i="3"/>
  <c r="G70" i="3"/>
  <c r="B70" i="3"/>
  <c r="BP69" i="3"/>
  <c r="BO69" i="3"/>
  <c r="BL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H69" i="3"/>
  <c r="AG69" i="3"/>
  <c r="AF69" i="3"/>
  <c r="AE69" i="3"/>
  <c r="AD69" i="3"/>
  <c r="AC69" i="3"/>
  <c r="AB69" i="3"/>
  <c r="Y69" i="3"/>
  <c r="X69" i="3"/>
  <c r="W69" i="3"/>
  <c r="V69" i="3"/>
  <c r="S69" i="3"/>
  <c r="R69" i="3"/>
  <c r="Q69" i="3"/>
  <c r="P69" i="3"/>
  <c r="O69" i="3"/>
  <c r="N69" i="3"/>
  <c r="M69" i="3"/>
  <c r="L69" i="3"/>
  <c r="K69" i="3"/>
  <c r="J69" i="3"/>
  <c r="C69" i="3"/>
  <c r="D69" i="3"/>
  <c r="E69" i="3"/>
  <c r="F69" i="3"/>
  <c r="G69" i="3"/>
  <c r="B69" i="3"/>
  <c r="BP68" i="3"/>
  <c r="BO68" i="3"/>
  <c r="BL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H68" i="3"/>
  <c r="AG68" i="3"/>
  <c r="AF68" i="3"/>
  <c r="AE68" i="3"/>
  <c r="AD68" i="3"/>
  <c r="AC68" i="3"/>
  <c r="AB68" i="3"/>
  <c r="Y68" i="3"/>
  <c r="X68" i="3"/>
  <c r="W68" i="3"/>
  <c r="V68" i="3"/>
  <c r="S68" i="3"/>
  <c r="R68" i="3"/>
  <c r="Q68" i="3"/>
  <c r="P68" i="3"/>
  <c r="O68" i="3"/>
  <c r="N68" i="3"/>
  <c r="M68" i="3"/>
  <c r="L68" i="3"/>
  <c r="K68" i="3"/>
  <c r="J68" i="3"/>
  <c r="C68" i="3"/>
  <c r="D68" i="3"/>
  <c r="E68" i="3"/>
  <c r="F68" i="3"/>
  <c r="G68" i="3"/>
  <c r="B68" i="3"/>
  <c r="BP67" i="3"/>
  <c r="BO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H67" i="3"/>
  <c r="AG67" i="3"/>
  <c r="AF67" i="3"/>
  <c r="AE67" i="3"/>
  <c r="AD67" i="3"/>
  <c r="AC67" i="3"/>
  <c r="AB67" i="3"/>
  <c r="Y67" i="3"/>
  <c r="X67" i="3"/>
  <c r="W67" i="3"/>
  <c r="V67" i="3"/>
  <c r="S67" i="3"/>
  <c r="R67" i="3"/>
  <c r="Q67" i="3"/>
  <c r="P67" i="3"/>
  <c r="O67" i="3"/>
  <c r="N67" i="3"/>
  <c r="M67" i="3"/>
  <c r="L67" i="3"/>
  <c r="K67" i="3"/>
  <c r="J67" i="3"/>
  <c r="C67" i="3"/>
  <c r="D67" i="3"/>
  <c r="E67" i="3"/>
  <c r="F67" i="3"/>
  <c r="G67" i="3"/>
  <c r="B67" i="3"/>
  <c r="BP66" i="3"/>
  <c r="BO66" i="3"/>
  <c r="BL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H66" i="3"/>
  <c r="AG66" i="3"/>
  <c r="AF66" i="3"/>
  <c r="AE66" i="3"/>
  <c r="AD66" i="3"/>
  <c r="AC66" i="3"/>
  <c r="AB66" i="3"/>
  <c r="Y66" i="3"/>
  <c r="X66" i="3"/>
  <c r="W66" i="3"/>
  <c r="V66" i="3"/>
  <c r="S66" i="3"/>
  <c r="R66" i="3"/>
  <c r="Q66" i="3"/>
  <c r="P66" i="3"/>
  <c r="O66" i="3"/>
  <c r="N66" i="3"/>
  <c r="M66" i="3"/>
  <c r="L66" i="3"/>
  <c r="K66" i="3"/>
  <c r="J66" i="3"/>
  <c r="C66" i="3"/>
  <c r="D66" i="3"/>
  <c r="E66" i="3"/>
  <c r="F66" i="3"/>
  <c r="G66" i="3"/>
  <c r="B66" i="3"/>
  <c r="BP65" i="3"/>
  <c r="BO65" i="3"/>
  <c r="BL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H65" i="3"/>
  <c r="AG65" i="3"/>
  <c r="AF65" i="3"/>
  <c r="AE65" i="3"/>
  <c r="AD65" i="3"/>
  <c r="AC65" i="3"/>
  <c r="AB65" i="3"/>
  <c r="Y65" i="3"/>
  <c r="X65" i="3"/>
  <c r="W65" i="3"/>
  <c r="V65" i="3"/>
  <c r="S65" i="3"/>
  <c r="R65" i="3"/>
  <c r="Q65" i="3"/>
  <c r="P65" i="3"/>
  <c r="O65" i="3"/>
  <c r="N65" i="3"/>
  <c r="M65" i="3"/>
  <c r="L65" i="3"/>
  <c r="K65" i="3"/>
  <c r="J65" i="3"/>
  <c r="C65" i="3"/>
  <c r="D65" i="3"/>
  <c r="E65" i="3"/>
  <c r="F65" i="3"/>
  <c r="G65" i="3"/>
  <c r="B65" i="3"/>
  <c r="BP64" i="3"/>
  <c r="BO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H64" i="3"/>
  <c r="AG64" i="3"/>
  <c r="AF64" i="3"/>
  <c r="AE64" i="3"/>
  <c r="AD64" i="3"/>
  <c r="AC64" i="3"/>
  <c r="AB64" i="3"/>
  <c r="Y64" i="3"/>
  <c r="X64" i="3"/>
  <c r="W64" i="3"/>
  <c r="V64" i="3"/>
  <c r="S64" i="3"/>
  <c r="R64" i="3"/>
  <c r="Q64" i="3"/>
  <c r="P64" i="3"/>
  <c r="O64" i="3"/>
  <c r="N64" i="3"/>
  <c r="M64" i="3"/>
  <c r="L64" i="3"/>
  <c r="K64" i="3"/>
  <c r="J64" i="3"/>
  <c r="C64" i="3"/>
  <c r="D64" i="3"/>
  <c r="E64" i="3"/>
  <c r="F64" i="3"/>
  <c r="G64" i="3"/>
  <c r="B64" i="3"/>
  <c r="BP63" i="3"/>
  <c r="BO63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H63" i="3"/>
  <c r="AG63" i="3"/>
  <c r="AF63" i="3"/>
  <c r="AE63" i="3"/>
  <c r="AD63" i="3"/>
  <c r="AC63" i="3"/>
  <c r="AB63" i="3"/>
  <c r="Y63" i="3"/>
  <c r="X63" i="3"/>
  <c r="W63" i="3"/>
  <c r="V63" i="3"/>
  <c r="S63" i="3"/>
  <c r="R63" i="3"/>
  <c r="Q63" i="3"/>
  <c r="P63" i="3"/>
  <c r="O63" i="3"/>
  <c r="N63" i="3"/>
  <c r="M63" i="3"/>
  <c r="L63" i="3"/>
  <c r="K63" i="3"/>
  <c r="J63" i="3"/>
  <c r="C63" i="3"/>
  <c r="D63" i="3"/>
  <c r="E63" i="3"/>
  <c r="F63" i="3"/>
  <c r="G63" i="3"/>
  <c r="B63" i="3"/>
  <c r="BP62" i="3"/>
  <c r="BO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H62" i="3"/>
  <c r="AG62" i="3"/>
  <c r="AF62" i="3"/>
  <c r="AE62" i="3"/>
  <c r="AD62" i="3"/>
  <c r="AC62" i="3"/>
  <c r="AB62" i="3"/>
  <c r="Y62" i="3"/>
  <c r="X62" i="3"/>
  <c r="W62" i="3"/>
  <c r="V62" i="3"/>
  <c r="S62" i="3"/>
  <c r="R62" i="3"/>
  <c r="Q62" i="3"/>
  <c r="P62" i="3"/>
  <c r="O62" i="3"/>
  <c r="N62" i="3"/>
  <c r="M62" i="3"/>
  <c r="L62" i="3"/>
  <c r="K62" i="3"/>
  <c r="J62" i="3"/>
  <c r="C62" i="3"/>
  <c r="D62" i="3"/>
  <c r="E62" i="3"/>
  <c r="F62" i="3"/>
  <c r="G62" i="3"/>
  <c r="B62" i="3"/>
  <c r="BP61" i="3"/>
  <c r="BO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H61" i="3"/>
  <c r="AG61" i="3"/>
  <c r="AF61" i="3"/>
  <c r="AE61" i="3"/>
  <c r="AD61" i="3"/>
  <c r="AC61" i="3"/>
  <c r="AB61" i="3"/>
  <c r="Y61" i="3"/>
  <c r="X61" i="3"/>
  <c r="W61" i="3"/>
  <c r="V61" i="3"/>
  <c r="S61" i="3"/>
  <c r="R61" i="3"/>
  <c r="Q61" i="3"/>
  <c r="P61" i="3"/>
  <c r="O61" i="3"/>
  <c r="N61" i="3"/>
  <c r="M61" i="3"/>
  <c r="L61" i="3"/>
  <c r="K61" i="3"/>
  <c r="J61" i="3"/>
  <c r="C61" i="3"/>
  <c r="D61" i="3"/>
  <c r="E61" i="3"/>
  <c r="F61" i="3"/>
  <c r="G61" i="3"/>
  <c r="B61" i="3"/>
  <c r="BP60" i="3"/>
  <c r="BO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H60" i="3"/>
  <c r="AG60" i="3"/>
  <c r="AF60" i="3"/>
  <c r="AE60" i="3"/>
  <c r="AD60" i="3"/>
  <c r="AC60" i="3"/>
  <c r="AB60" i="3"/>
  <c r="Y60" i="3"/>
  <c r="X60" i="3"/>
  <c r="W60" i="3"/>
  <c r="V60" i="3"/>
  <c r="S60" i="3"/>
  <c r="R60" i="3"/>
  <c r="Q60" i="3"/>
  <c r="P60" i="3"/>
  <c r="O60" i="3"/>
  <c r="N60" i="3"/>
  <c r="M60" i="3"/>
  <c r="L60" i="3"/>
  <c r="K60" i="3"/>
  <c r="J60" i="3"/>
  <c r="C60" i="3"/>
  <c r="D60" i="3"/>
  <c r="E60" i="3"/>
  <c r="F60" i="3"/>
  <c r="G60" i="3"/>
  <c r="B60" i="3"/>
  <c r="BP59" i="3"/>
  <c r="BO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H59" i="3"/>
  <c r="AG59" i="3"/>
  <c r="AF59" i="3"/>
  <c r="AE59" i="3"/>
  <c r="AD59" i="3"/>
  <c r="AC59" i="3"/>
  <c r="AB59" i="3"/>
  <c r="Y59" i="3"/>
  <c r="X59" i="3"/>
  <c r="W59" i="3"/>
  <c r="V59" i="3"/>
  <c r="S59" i="3"/>
  <c r="R59" i="3"/>
  <c r="Q59" i="3"/>
  <c r="P59" i="3"/>
  <c r="O59" i="3"/>
  <c r="N59" i="3"/>
  <c r="M59" i="3"/>
  <c r="L59" i="3"/>
  <c r="K59" i="3"/>
  <c r="J59" i="3"/>
  <c r="C59" i="3"/>
  <c r="D59" i="3"/>
  <c r="E59" i="3"/>
  <c r="F59" i="3"/>
  <c r="G59" i="3"/>
  <c r="B59" i="3"/>
  <c r="BP58" i="3"/>
  <c r="BO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H58" i="3"/>
  <c r="AG58" i="3"/>
  <c r="AF58" i="3"/>
  <c r="AE58" i="3"/>
  <c r="AD58" i="3"/>
  <c r="AC58" i="3"/>
  <c r="AB58" i="3"/>
  <c r="Y58" i="3"/>
  <c r="X58" i="3"/>
  <c r="W58" i="3"/>
  <c r="V58" i="3"/>
  <c r="S58" i="3"/>
  <c r="R58" i="3"/>
  <c r="Q58" i="3"/>
  <c r="P58" i="3"/>
  <c r="O58" i="3"/>
  <c r="N58" i="3"/>
  <c r="M58" i="3"/>
  <c r="L58" i="3"/>
  <c r="K58" i="3"/>
  <c r="J58" i="3"/>
  <c r="C58" i="3"/>
  <c r="D58" i="3"/>
  <c r="E58" i="3"/>
  <c r="F58" i="3"/>
  <c r="G58" i="3"/>
  <c r="B58" i="3"/>
  <c r="BP57" i="3"/>
  <c r="BO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H57" i="3"/>
  <c r="AG57" i="3"/>
  <c r="AF57" i="3"/>
  <c r="AE57" i="3"/>
  <c r="AD57" i="3"/>
  <c r="AC57" i="3"/>
  <c r="AB57" i="3"/>
  <c r="Y57" i="3"/>
  <c r="X57" i="3"/>
  <c r="W57" i="3"/>
  <c r="V57" i="3"/>
  <c r="S57" i="3"/>
  <c r="R57" i="3"/>
  <c r="Q57" i="3"/>
  <c r="P57" i="3"/>
  <c r="O57" i="3"/>
  <c r="N57" i="3"/>
  <c r="M57" i="3"/>
  <c r="L57" i="3"/>
  <c r="K57" i="3"/>
  <c r="J57" i="3"/>
  <c r="C57" i="3"/>
  <c r="D57" i="3"/>
  <c r="E57" i="3"/>
  <c r="F57" i="3"/>
  <c r="G57" i="3"/>
  <c r="B57" i="3"/>
  <c r="W84" i="7"/>
  <c r="X84" i="7"/>
  <c r="Y84" i="7"/>
  <c r="Z84" i="7"/>
  <c r="W85" i="7"/>
  <c r="X85" i="7"/>
  <c r="Y85" i="7"/>
  <c r="Z85" i="7"/>
  <c r="W86" i="7"/>
  <c r="X86" i="7"/>
  <c r="Y86" i="7"/>
  <c r="Z86" i="7"/>
  <c r="W87" i="7"/>
  <c r="X87" i="7"/>
  <c r="Y87" i="7"/>
  <c r="Z87" i="7"/>
  <c r="W88" i="7"/>
  <c r="X88" i="7"/>
  <c r="Y88" i="7"/>
  <c r="Z88" i="7"/>
  <c r="W89" i="7"/>
  <c r="X89" i="7"/>
  <c r="Y89" i="7"/>
  <c r="Z89" i="7"/>
  <c r="W90" i="7"/>
  <c r="X90" i="7"/>
  <c r="Y90" i="7"/>
  <c r="Z90" i="7"/>
  <c r="W91" i="7"/>
  <c r="X91" i="7"/>
  <c r="Y91" i="7"/>
  <c r="Z91" i="7"/>
  <c r="W92" i="7"/>
  <c r="X92" i="7"/>
  <c r="Y92" i="7"/>
  <c r="Z92" i="7"/>
  <c r="W93" i="7"/>
  <c r="X93" i="7"/>
  <c r="Y93" i="7"/>
  <c r="X15" i="3" s="1"/>
  <c r="Z93" i="7"/>
  <c r="W94" i="7"/>
  <c r="X94" i="7"/>
  <c r="Y94" i="7"/>
  <c r="X16" i="3" s="1"/>
  <c r="Z94" i="7"/>
  <c r="Y16" i="3" s="1"/>
  <c r="W95" i="7"/>
  <c r="X95" i="7"/>
  <c r="Y95" i="7"/>
  <c r="Z95" i="7"/>
  <c r="Y17" i="3" s="1"/>
  <c r="W96" i="7"/>
  <c r="X96" i="7"/>
  <c r="Y96" i="7"/>
  <c r="Z96" i="7"/>
  <c r="Y18" i="3" s="1"/>
  <c r="W97" i="7"/>
  <c r="X97" i="7"/>
  <c r="Y97" i="7"/>
  <c r="X19" i="3" s="1"/>
  <c r="Z97" i="7"/>
  <c r="W98" i="7"/>
  <c r="X98" i="7"/>
  <c r="Y98" i="7"/>
  <c r="X20" i="3" s="1"/>
  <c r="Z98" i="7"/>
  <c r="Y20" i="3" s="1"/>
  <c r="W99" i="7"/>
  <c r="X99" i="7"/>
  <c r="Y99" i="7"/>
  <c r="Z99" i="7"/>
  <c r="Y21" i="3" s="1"/>
  <c r="W100" i="7"/>
  <c r="X100" i="7"/>
  <c r="Y100" i="7"/>
  <c r="Z100" i="7"/>
  <c r="Y22" i="3" s="1"/>
  <c r="W101" i="7"/>
  <c r="X101" i="7"/>
  <c r="Y101" i="7"/>
  <c r="X23" i="3" s="1"/>
  <c r="Z101" i="7"/>
  <c r="W102" i="7"/>
  <c r="X102" i="7"/>
  <c r="Y102" i="7"/>
  <c r="X24" i="3" s="1"/>
  <c r="Z102" i="7"/>
  <c r="Y24" i="3" s="1"/>
  <c r="W103" i="7"/>
  <c r="X103" i="7"/>
  <c r="Y103" i="7"/>
  <c r="Z103" i="7"/>
  <c r="Y25" i="3" s="1"/>
  <c r="W104" i="7"/>
  <c r="X104" i="7"/>
  <c r="Y104" i="7"/>
  <c r="Z104" i="7"/>
  <c r="Y26" i="3" s="1"/>
  <c r="W105" i="7"/>
  <c r="X105" i="7"/>
  <c r="Y105" i="7"/>
  <c r="X27" i="3" s="1"/>
  <c r="Z105" i="7"/>
  <c r="W106" i="7"/>
  <c r="X106" i="7"/>
  <c r="Y106" i="7"/>
  <c r="X28" i="3" s="1"/>
  <c r="Z106" i="7"/>
  <c r="Y28" i="3" s="1"/>
  <c r="W107" i="7"/>
  <c r="X107" i="7"/>
  <c r="Y107" i="7"/>
  <c r="Z107" i="7"/>
  <c r="Y29" i="3" s="1"/>
  <c r="W108" i="7"/>
  <c r="X108" i="7"/>
  <c r="Y108" i="7"/>
  <c r="Z108" i="7"/>
  <c r="Y32" i="3" s="1"/>
  <c r="W109" i="7"/>
  <c r="X109" i="7"/>
  <c r="Y109" i="7"/>
  <c r="X33" i="3" s="1"/>
  <c r="Z109" i="7"/>
  <c r="W110" i="7"/>
  <c r="X110" i="7"/>
  <c r="Y110" i="7"/>
  <c r="X34" i="3" s="1"/>
  <c r="Z110" i="7"/>
  <c r="Y34" i="3" s="1"/>
  <c r="W111" i="7"/>
  <c r="X111" i="7"/>
  <c r="Y111" i="7"/>
  <c r="Z111" i="7"/>
  <c r="Y35" i="3" s="1"/>
  <c r="W112" i="7"/>
  <c r="X112" i="7"/>
  <c r="Y112" i="7"/>
  <c r="Z112" i="7"/>
  <c r="Y36" i="3" s="1"/>
  <c r="W113" i="7"/>
  <c r="X113" i="7"/>
  <c r="Y113" i="7"/>
  <c r="X37" i="3" s="1"/>
  <c r="Z113" i="7"/>
  <c r="W114" i="7"/>
  <c r="X114" i="7"/>
  <c r="Y114" i="7"/>
  <c r="X38" i="3" s="1"/>
  <c r="Z114" i="7"/>
  <c r="Y38" i="3" s="1"/>
  <c r="W115" i="7"/>
  <c r="X115" i="7"/>
  <c r="Y115" i="7"/>
  <c r="Z115" i="7"/>
  <c r="Y39" i="3" s="1"/>
  <c r="W116" i="7"/>
  <c r="X116" i="7"/>
  <c r="Y116" i="7"/>
  <c r="Z116" i="7"/>
  <c r="Y40" i="3" s="1"/>
  <c r="W117" i="7"/>
  <c r="X117" i="7"/>
  <c r="Y117" i="7"/>
  <c r="X41" i="3" s="1"/>
  <c r="Z117" i="7"/>
  <c r="W118" i="7"/>
  <c r="X118" i="7"/>
  <c r="Y118" i="7"/>
  <c r="X42" i="3" s="1"/>
  <c r="Z118" i="7"/>
  <c r="Y42" i="3" s="1"/>
  <c r="W119" i="7"/>
  <c r="X119" i="7"/>
  <c r="Y119" i="7"/>
  <c r="Z119" i="7"/>
  <c r="Y43" i="3" s="1"/>
  <c r="W120" i="7"/>
  <c r="X120" i="7"/>
  <c r="Y120" i="7"/>
  <c r="Z120" i="7"/>
  <c r="Y44" i="3" s="1"/>
  <c r="W121" i="7"/>
  <c r="X121" i="7"/>
  <c r="Y121" i="7"/>
  <c r="X45" i="3" s="1"/>
  <c r="Z121" i="7"/>
  <c r="W122" i="7"/>
  <c r="X122" i="7"/>
  <c r="Y122" i="7"/>
  <c r="X46" i="3" s="1"/>
  <c r="Z122" i="7"/>
  <c r="Y46" i="3" s="1"/>
  <c r="W123" i="7"/>
  <c r="X123" i="7"/>
  <c r="Y123" i="7"/>
  <c r="Z123" i="7"/>
  <c r="W124" i="7"/>
  <c r="X124" i="7"/>
  <c r="Y124" i="7"/>
  <c r="Z124" i="7"/>
  <c r="Y47" i="3" s="1"/>
  <c r="W125" i="7"/>
  <c r="X125" i="7"/>
  <c r="Y125" i="7"/>
  <c r="Z125" i="7"/>
  <c r="W126" i="7"/>
  <c r="X126" i="7"/>
  <c r="Y126" i="7"/>
  <c r="Z126" i="7"/>
  <c r="W127" i="7"/>
  <c r="X127" i="7"/>
  <c r="Y127" i="7"/>
  <c r="Z127" i="7"/>
  <c r="W128" i="7"/>
  <c r="X128" i="7"/>
  <c r="Y128" i="7"/>
  <c r="Z128" i="7"/>
  <c r="W129" i="7"/>
  <c r="X129" i="7"/>
  <c r="Y129" i="7"/>
  <c r="Z129" i="7"/>
  <c r="W130" i="7"/>
  <c r="X130" i="7"/>
  <c r="Y130" i="7"/>
  <c r="Z130" i="7"/>
  <c r="W131" i="7"/>
  <c r="X131" i="7"/>
  <c r="Y131" i="7"/>
  <c r="Z131" i="7"/>
  <c r="W132" i="7"/>
  <c r="X132" i="7"/>
  <c r="Y132" i="7"/>
  <c r="Z132" i="7"/>
  <c r="W133" i="7"/>
  <c r="X133" i="7"/>
  <c r="Y133" i="7"/>
  <c r="Z133" i="7"/>
  <c r="W134" i="7"/>
  <c r="X134" i="7"/>
  <c r="Y134" i="7"/>
  <c r="Z134" i="7"/>
  <c r="W135" i="7"/>
  <c r="X135" i="7"/>
  <c r="Y135" i="7"/>
  <c r="Z135" i="7"/>
  <c r="W136" i="7"/>
  <c r="X136" i="7"/>
  <c r="Y136" i="7"/>
  <c r="Z136" i="7"/>
  <c r="W137" i="7"/>
  <c r="X137" i="7"/>
  <c r="Y137" i="7"/>
  <c r="Z137" i="7"/>
  <c r="W138" i="7"/>
  <c r="X138" i="7"/>
  <c r="Y138" i="7"/>
  <c r="Z138" i="7"/>
  <c r="W139" i="7"/>
  <c r="X139" i="7"/>
  <c r="Y139" i="7"/>
  <c r="Z139" i="7"/>
  <c r="W140" i="7"/>
  <c r="X140" i="7"/>
  <c r="Y140" i="7"/>
  <c r="Z140" i="7"/>
  <c r="W141" i="7"/>
  <c r="X141" i="7"/>
  <c r="Y141" i="7"/>
  <c r="Z141" i="7"/>
  <c r="W142" i="7"/>
  <c r="X142" i="7"/>
  <c r="Y142" i="7"/>
  <c r="Z142" i="7"/>
  <c r="W143" i="7"/>
  <c r="X143" i="7"/>
  <c r="Y143" i="7"/>
  <c r="Z143" i="7"/>
  <c r="W144" i="7"/>
  <c r="X144" i="7"/>
  <c r="Y144" i="7"/>
  <c r="Z144" i="7"/>
  <c r="W145" i="7"/>
  <c r="X145" i="7"/>
  <c r="Y145" i="7"/>
  <c r="Z145" i="7"/>
  <c r="W146" i="7"/>
  <c r="X146" i="7"/>
  <c r="Y146" i="7"/>
  <c r="Z146" i="7"/>
  <c r="W147" i="7"/>
  <c r="X147" i="7"/>
  <c r="Y147" i="7"/>
  <c r="Z147" i="7"/>
  <c r="W148" i="7"/>
  <c r="X148" i="7"/>
  <c r="Y148" i="7"/>
  <c r="Z148" i="7"/>
  <c r="W149" i="7"/>
  <c r="X149" i="7"/>
  <c r="Y149" i="7"/>
  <c r="Z149" i="7"/>
  <c r="W150" i="7"/>
  <c r="X150" i="7"/>
  <c r="Y150" i="7"/>
  <c r="Z150" i="7"/>
  <c r="W151" i="7"/>
  <c r="X151" i="7"/>
  <c r="Y151" i="7"/>
  <c r="Z151" i="7"/>
  <c r="W152" i="7"/>
  <c r="X152" i="7"/>
  <c r="Y152" i="7"/>
  <c r="Z152" i="7"/>
  <c r="W153" i="7"/>
  <c r="X153" i="7"/>
  <c r="Y153" i="7"/>
  <c r="Z153" i="7"/>
  <c r="W154" i="7"/>
  <c r="X154" i="7"/>
  <c r="Y154" i="7"/>
  <c r="Z154" i="7"/>
  <c r="W155" i="7"/>
  <c r="X155" i="7"/>
  <c r="Y155" i="7"/>
  <c r="Z155" i="7"/>
  <c r="W156" i="7"/>
  <c r="X156" i="7"/>
  <c r="Y156" i="7"/>
  <c r="Z156" i="7"/>
  <c r="W157" i="7"/>
  <c r="X157" i="7"/>
  <c r="Y157" i="7"/>
  <c r="Z157" i="7"/>
  <c r="W158" i="7"/>
  <c r="X158" i="7"/>
  <c r="Y158" i="7"/>
  <c r="Z158" i="7"/>
  <c r="W159" i="7"/>
  <c r="X159" i="7"/>
  <c r="Y159" i="7"/>
  <c r="Z159" i="7"/>
  <c r="X83" i="7"/>
  <c r="Y83" i="7"/>
  <c r="Z83" i="7"/>
  <c r="BP47" i="3"/>
  <c r="BO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H47" i="3"/>
  <c r="AG47" i="3"/>
  <c r="AF47" i="3"/>
  <c r="AE47" i="3"/>
  <c r="AD47" i="3"/>
  <c r="AC47" i="3"/>
  <c r="AB47" i="3"/>
  <c r="X47" i="3"/>
  <c r="W47" i="3"/>
  <c r="V47" i="3"/>
  <c r="S47" i="3"/>
  <c r="R47" i="3"/>
  <c r="Q47" i="3"/>
  <c r="P47" i="3"/>
  <c r="O47" i="3"/>
  <c r="N47" i="3"/>
  <c r="M47" i="3"/>
  <c r="L47" i="3"/>
  <c r="K47" i="3"/>
  <c r="J47" i="3"/>
  <c r="C47" i="3"/>
  <c r="D47" i="3"/>
  <c r="E47" i="3"/>
  <c r="F47" i="3"/>
  <c r="G47" i="3"/>
  <c r="B47" i="3"/>
  <c r="BP46" i="3"/>
  <c r="BO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H46" i="3"/>
  <c r="AG46" i="3"/>
  <c r="AF46" i="3"/>
  <c r="AE46" i="3"/>
  <c r="AD46" i="3"/>
  <c r="AC46" i="3"/>
  <c r="AB46" i="3"/>
  <c r="W46" i="3"/>
  <c r="V46" i="3"/>
  <c r="S46" i="3"/>
  <c r="R46" i="3"/>
  <c r="Q46" i="3"/>
  <c r="P46" i="3"/>
  <c r="O46" i="3"/>
  <c r="N46" i="3"/>
  <c r="M46" i="3"/>
  <c r="L46" i="3"/>
  <c r="K46" i="3"/>
  <c r="J46" i="3"/>
  <c r="C46" i="3"/>
  <c r="D46" i="3"/>
  <c r="E46" i="3"/>
  <c r="F46" i="3"/>
  <c r="G46" i="3"/>
  <c r="B46" i="3"/>
  <c r="BP45" i="3"/>
  <c r="BO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H45" i="3"/>
  <c r="AG45" i="3"/>
  <c r="AF45" i="3"/>
  <c r="AE45" i="3"/>
  <c r="AD45" i="3"/>
  <c r="AC45" i="3"/>
  <c r="AB45" i="3"/>
  <c r="Y45" i="3"/>
  <c r="W45" i="3"/>
  <c r="V45" i="3"/>
  <c r="S45" i="3"/>
  <c r="R45" i="3"/>
  <c r="Q45" i="3"/>
  <c r="P45" i="3"/>
  <c r="O45" i="3"/>
  <c r="N45" i="3"/>
  <c r="M45" i="3"/>
  <c r="L45" i="3"/>
  <c r="K45" i="3"/>
  <c r="J45" i="3"/>
  <c r="C45" i="3"/>
  <c r="D45" i="3"/>
  <c r="E45" i="3"/>
  <c r="F45" i="3"/>
  <c r="G45" i="3"/>
  <c r="B45" i="3"/>
  <c r="BP44" i="3"/>
  <c r="BO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H44" i="3"/>
  <c r="AG44" i="3"/>
  <c r="AF44" i="3"/>
  <c r="AE44" i="3"/>
  <c r="AD44" i="3"/>
  <c r="AC44" i="3"/>
  <c r="AB44" i="3"/>
  <c r="X44" i="3"/>
  <c r="W44" i="3"/>
  <c r="V44" i="3"/>
  <c r="S44" i="3"/>
  <c r="R44" i="3"/>
  <c r="Q44" i="3"/>
  <c r="P44" i="3"/>
  <c r="O44" i="3"/>
  <c r="N44" i="3"/>
  <c r="M44" i="3"/>
  <c r="L44" i="3"/>
  <c r="K44" i="3"/>
  <c r="J44" i="3"/>
  <c r="C44" i="3"/>
  <c r="D44" i="3"/>
  <c r="E44" i="3"/>
  <c r="F44" i="3"/>
  <c r="G44" i="3"/>
  <c r="B44" i="3"/>
  <c r="BP43" i="3"/>
  <c r="BO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H43" i="3"/>
  <c r="AG43" i="3"/>
  <c r="AF43" i="3"/>
  <c r="AE43" i="3"/>
  <c r="AD43" i="3"/>
  <c r="AC43" i="3"/>
  <c r="AB43" i="3"/>
  <c r="X43" i="3"/>
  <c r="W43" i="3"/>
  <c r="V43" i="3"/>
  <c r="S43" i="3"/>
  <c r="R43" i="3"/>
  <c r="Q43" i="3"/>
  <c r="P43" i="3"/>
  <c r="O43" i="3"/>
  <c r="N43" i="3"/>
  <c r="M43" i="3"/>
  <c r="L43" i="3"/>
  <c r="K43" i="3"/>
  <c r="J43" i="3"/>
  <c r="C43" i="3"/>
  <c r="D43" i="3"/>
  <c r="E43" i="3"/>
  <c r="F43" i="3"/>
  <c r="G43" i="3"/>
  <c r="B43" i="3"/>
  <c r="BP42" i="3"/>
  <c r="BO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H42" i="3"/>
  <c r="AG42" i="3"/>
  <c r="AF42" i="3"/>
  <c r="AE42" i="3"/>
  <c r="AD42" i="3"/>
  <c r="AC42" i="3"/>
  <c r="AB42" i="3"/>
  <c r="W42" i="3"/>
  <c r="V42" i="3"/>
  <c r="S42" i="3"/>
  <c r="R42" i="3"/>
  <c r="Q42" i="3"/>
  <c r="P42" i="3"/>
  <c r="O42" i="3"/>
  <c r="N42" i="3"/>
  <c r="M42" i="3"/>
  <c r="L42" i="3"/>
  <c r="K42" i="3"/>
  <c r="J42" i="3"/>
  <c r="C42" i="3"/>
  <c r="D42" i="3"/>
  <c r="E42" i="3"/>
  <c r="F42" i="3"/>
  <c r="G42" i="3"/>
  <c r="B42" i="3"/>
  <c r="BP41" i="3"/>
  <c r="BO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H41" i="3"/>
  <c r="AG41" i="3"/>
  <c r="AF41" i="3"/>
  <c r="AE41" i="3"/>
  <c r="AD41" i="3"/>
  <c r="AC41" i="3"/>
  <c r="AB41" i="3"/>
  <c r="Y41" i="3"/>
  <c r="W41" i="3"/>
  <c r="V41" i="3"/>
  <c r="O41" i="3"/>
  <c r="P41" i="3"/>
  <c r="Q41" i="3"/>
  <c r="R41" i="3"/>
  <c r="S41" i="3"/>
  <c r="N41" i="3"/>
  <c r="M41" i="3"/>
  <c r="L41" i="3"/>
  <c r="K41" i="3"/>
  <c r="J41" i="3"/>
  <c r="C41" i="3"/>
  <c r="D41" i="3"/>
  <c r="E41" i="3"/>
  <c r="F41" i="3"/>
  <c r="G41" i="3"/>
  <c r="B41" i="3"/>
  <c r="BP40" i="3"/>
  <c r="BO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H40" i="3"/>
  <c r="AG40" i="3"/>
  <c r="AF40" i="3"/>
  <c r="AE40" i="3"/>
  <c r="AD40" i="3"/>
  <c r="AC40" i="3"/>
  <c r="AB40" i="3"/>
  <c r="X40" i="3"/>
  <c r="W40" i="3"/>
  <c r="V40" i="3"/>
  <c r="S40" i="3"/>
  <c r="R40" i="3"/>
  <c r="Q40" i="3"/>
  <c r="P40" i="3"/>
  <c r="O40" i="3"/>
  <c r="N40" i="3"/>
  <c r="M40" i="3"/>
  <c r="L40" i="3"/>
  <c r="K40" i="3"/>
  <c r="J40" i="3"/>
  <c r="C40" i="3"/>
  <c r="D40" i="3"/>
  <c r="E40" i="3"/>
  <c r="F40" i="3"/>
  <c r="G40" i="3"/>
  <c r="B40" i="3"/>
  <c r="BP39" i="3"/>
  <c r="BO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H39" i="3"/>
  <c r="AG39" i="3"/>
  <c r="AF39" i="3"/>
  <c r="AE39" i="3"/>
  <c r="AD39" i="3"/>
  <c r="AC39" i="3"/>
  <c r="AB39" i="3"/>
  <c r="X39" i="3"/>
  <c r="W39" i="3"/>
  <c r="V39" i="3"/>
  <c r="S39" i="3"/>
  <c r="R39" i="3"/>
  <c r="Q39" i="3"/>
  <c r="P39" i="3"/>
  <c r="O39" i="3"/>
  <c r="N39" i="3"/>
  <c r="M39" i="3"/>
  <c r="L39" i="3"/>
  <c r="K39" i="3"/>
  <c r="J39" i="3"/>
  <c r="C39" i="3"/>
  <c r="D39" i="3"/>
  <c r="E39" i="3"/>
  <c r="F39" i="3"/>
  <c r="G39" i="3"/>
  <c r="B39" i="3"/>
  <c r="BP38" i="3"/>
  <c r="BO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H38" i="3"/>
  <c r="AG38" i="3"/>
  <c r="AF38" i="3"/>
  <c r="AE38" i="3"/>
  <c r="AD38" i="3"/>
  <c r="AC38" i="3"/>
  <c r="AB38" i="3"/>
  <c r="W38" i="3"/>
  <c r="V38" i="3"/>
  <c r="S38" i="3"/>
  <c r="R38" i="3"/>
  <c r="Q38" i="3"/>
  <c r="P38" i="3"/>
  <c r="O38" i="3"/>
  <c r="N38" i="3"/>
  <c r="M38" i="3"/>
  <c r="L38" i="3"/>
  <c r="K38" i="3"/>
  <c r="J38" i="3"/>
  <c r="C38" i="3"/>
  <c r="D38" i="3"/>
  <c r="E38" i="3"/>
  <c r="F38" i="3"/>
  <c r="G38" i="3"/>
  <c r="B38" i="3"/>
  <c r="BP37" i="3"/>
  <c r="BO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H37" i="3"/>
  <c r="AG37" i="3"/>
  <c r="AF37" i="3"/>
  <c r="AE37" i="3"/>
  <c r="AD37" i="3"/>
  <c r="AC37" i="3"/>
  <c r="AB37" i="3"/>
  <c r="Y37" i="3"/>
  <c r="W37" i="3"/>
  <c r="V37" i="3"/>
  <c r="S37" i="3"/>
  <c r="R37" i="3"/>
  <c r="Q37" i="3"/>
  <c r="P37" i="3"/>
  <c r="O37" i="3"/>
  <c r="N37" i="3"/>
  <c r="M37" i="3"/>
  <c r="L37" i="3"/>
  <c r="K37" i="3"/>
  <c r="J37" i="3"/>
  <c r="C37" i="3"/>
  <c r="D37" i="3"/>
  <c r="E37" i="3"/>
  <c r="F37" i="3"/>
  <c r="G37" i="3"/>
  <c r="B37" i="3"/>
  <c r="BP36" i="3"/>
  <c r="BO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H36" i="3"/>
  <c r="AG36" i="3"/>
  <c r="AF36" i="3"/>
  <c r="AE36" i="3"/>
  <c r="AD36" i="3"/>
  <c r="AC36" i="3"/>
  <c r="AB36" i="3"/>
  <c r="X36" i="3"/>
  <c r="W36" i="3"/>
  <c r="V36" i="3"/>
  <c r="S36" i="3"/>
  <c r="R36" i="3"/>
  <c r="Q36" i="3"/>
  <c r="P36" i="3"/>
  <c r="O36" i="3"/>
  <c r="N36" i="3"/>
  <c r="M36" i="3"/>
  <c r="L36" i="3"/>
  <c r="K36" i="3"/>
  <c r="J36" i="3"/>
  <c r="C36" i="3"/>
  <c r="D36" i="3"/>
  <c r="E36" i="3"/>
  <c r="F36" i="3"/>
  <c r="G36" i="3"/>
  <c r="B36" i="3"/>
  <c r="BP35" i="3"/>
  <c r="BO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H35" i="3"/>
  <c r="AG35" i="3"/>
  <c r="AF35" i="3"/>
  <c r="AE35" i="3"/>
  <c r="AD35" i="3"/>
  <c r="AC35" i="3"/>
  <c r="AB35" i="3"/>
  <c r="X35" i="3"/>
  <c r="W35" i="3"/>
  <c r="V35" i="3"/>
  <c r="S35" i="3"/>
  <c r="R35" i="3"/>
  <c r="Q35" i="3"/>
  <c r="P35" i="3"/>
  <c r="O35" i="3"/>
  <c r="N35" i="3"/>
  <c r="M35" i="3"/>
  <c r="L35" i="3"/>
  <c r="K35" i="3"/>
  <c r="J35" i="3"/>
  <c r="C35" i="3"/>
  <c r="D35" i="3"/>
  <c r="E35" i="3"/>
  <c r="F35" i="3"/>
  <c r="G35" i="3"/>
  <c r="B35" i="3"/>
  <c r="BP34" i="3"/>
  <c r="BO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H34" i="3"/>
  <c r="AG34" i="3"/>
  <c r="AF34" i="3"/>
  <c r="AE34" i="3"/>
  <c r="AD34" i="3"/>
  <c r="AC34" i="3"/>
  <c r="AB34" i="3"/>
  <c r="W34" i="3"/>
  <c r="V34" i="3"/>
  <c r="S34" i="3"/>
  <c r="R34" i="3"/>
  <c r="Q34" i="3"/>
  <c r="P34" i="3"/>
  <c r="O34" i="3"/>
  <c r="N34" i="3"/>
  <c r="M34" i="3"/>
  <c r="L34" i="3"/>
  <c r="K34" i="3"/>
  <c r="J34" i="3"/>
  <c r="C34" i="3"/>
  <c r="D34" i="3"/>
  <c r="E34" i="3"/>
  <c r="F34" i="3"/>
  <c r="G34" i="3"/>
  <c r="B34" i="3"/>
  <c r="BP33" i="3"/>
  <c r="BO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H33" i="3"/>
  <c r="AG33" i="3"/>
  <c r="AF33" i="3"/>
  <c r="AE33" i="3"/>
  <c r="AD33" i="3"/>
  <c r="AC33" i="3"/>
  <c r="AB33" i="3"/>
  <c r="Y33" i="3"/>
  <c r="W33" i="3"/>
  <c r="V33" i="3"/>
  <c r="S33" i="3"/>
  <c r="R33" i="3"/>
  <c r="Q33" i="3"/>
  <c r="P33" i="3"/>
  <c r="O33" i="3"/>
  <c r="N33" i="3"/>
  <c r="M33" i="3"/>
  <c r="L33" i="3"/>
  <c r="K33" i="3"/>
  <c r="J33" i="3"/>
  <c r="C33" i="3"/>
  <c r="D33" i="3"/>
  <c r="E33" i="3"/>
  <c r="F33" i="3"/>
  <c r="G33" i="3"/>
  <c r="B33" i="3"/>
  <c r="BP32" i="3"/>
  <c r="BO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H32" i="3"/>
  <c r="AG32" i="3"/>
  <c r="AF32" i="3"/>
  <c r="AE32" i="3"/>
  <c r="AD32" i="3"/>
  <c r="AC32" i="3"/>
  <c r="AB32" i="3"/>
  <c r="X32" i="3"/>
  <c r="W32" i="3"/>
  <c r="V32" i="3"/>
  <c r="S32" i="3"/>
  <c r="R32" i="3"/>
  <c r="Q32" i="3"/>
  <c r="P32" i="3"/>
  <c r="O32" i="3"/>
  <c r="N32" i="3"/>
  <c r="M32" i="3"/>
  <c r="L32" i="3"/>
  <c r="K32" i="3"/>
  <c r="J32" i="3"/>
  <c r="C32" i="3"/>
  <c r="D32" i="3"/>
  <c r="E32" i="3"/>
  <c r="F32" i="3"/>
  <c r="G32" i="3"/>
  <c r="B32" i="3"/>
  <c r="BP29" i="3"/>
  <c r="BO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H29" i="3"/>
  <c r="AG29" i="3"/>
  <c r="AF29" i="3"/>
  <c r="AE29" i="3"/>
  <c r="AD29" i="3"/>
  <c r="AC29" i="3"/>
  <c r="AB29" i="3"/>
  <c r="X29" i="3"/>
  <c r="W29" i="3"/>
  <c r="V29" i="3"/>
  <c r="S29" i="3"/>
  <c r="R29" i="3"/>
  <c r="Q29" i="3"/>
  <c r="P29" i="3"/>
  <c r="O29" i="3"/>
  <c r="N29" i="3"/>
  <c r="M29" i="3"/>
  <c r="L29" i="3"/>
  <c r="K29" i="3"/>
  <c r="J29" i="3"/>
  <c r="C29" i="3"/>
  <c r="D29" i="3"/>
  <c r="E29" i="3"/>
  <c r="F29" i="3"/>
  <c r="G29" i="3"/>
  <c r="B29" i="3"/>
  <c r="BP28" i="3"/>
  <c r="BO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H28" i="3"/>
  <c r="AG28" i="3"/>
  <c r="AF28" i="3"/>
  <c r="AE28" i="3"/>
  <c r="AD28" i="3"/>
  <c r="AC28" i="3"/>
  <c r="AB28" i="3"/>
  <c r="W28" i="3"/>
  <c r="V28" i="3"/>
  <c r="S28" i="3"/>
  <c r="R28" i="3"/>
  <c r="Q28" i="3"/>
  <c r="P28" i="3"/>
  <c r="O28" i="3"/>
  <c r="N28" i="3"/>
  <c r="M28" i="3"/>
  <c r="L28" i="3"/>
  <c r="K28" i="3"/>
  <c r="J28" i="3"/>
  <c r="C28" i="3"/>
  <c r="D28" i="3"/>
  <c r="E28" i="3"/>
  <c r="F28" i="3"/>
  <c r="G28" i="3"/>
  <c r="B28" i="3"/>
  <c r="BP27" i="3"/>
  <c r="BO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H27" i="3"/>
  <c r="AG27" i="3"/>
  <c r="AF27" i="3"/>
  <c r="AE27" i="3"/>
  <c r="AD27" i="3"/>
  <c r="AC27" i="3"/>
  <c r="AB27" i="3"/>
  <c r="Y27" i="3"/>
  <c r="W27" i="3"/>
  <c r="V27" i="3"/>
  <c r="S27" i="3"/>
  <c r="R27" i="3"/>
  <c r="Q27" i="3"/>
  <c r="P27" i="3"/>
  <c r="O27" i="3"/>
  <c r="N27" i="3"/>
  <c r="M27" i="3"/>
  <c r="L27" i="3"/>
  <c r="K27" i="3"/>
  <c r="J27" i="3"/>
  <c r="C27" i="3"/>
  <c r="D27" i="3"/>
  <c r="E27" i="3"/>
  <c r="F27" i="3"/>
  <c r="G27" i="3"/>
  <c r="B27" i="3"/>
  <c r="BP26" i="3"/>
  <c r="BO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H26" i="3"/>
  <c r="AG26" i="3"/>
  <c r="AF26" i="3"/>
  <c r="AE26" i="3"/>
  <c r="AD26" i="3"/>
  <c r="AC26" i="3"/>
  <c r="AB26" i="3"/>
  <c r="X26" i="3"/>
  <c r="W26" i="3"/>
  <c r="V26" i="3"/>
  <c r="S26" i="3"/>
  <c r="R26" i="3"/>
  <c r="Q26" i="3"/>
  <c r="P26" i="3"/>
  <c r="O26" i="3"/>
  <c r="N26" i="3"/>
  <c r="M26" i="3"/>
  <c r="L26" i="3"/>
  <c r="K26" i="3"/>
  <c r="J26" i="3"/>
  <c r="C26" i="3"/>
  <c r="D26" i="3"/>
  <c r="E26" i="3"/>
  <c r="F26" i="3"/>
  <c r="G26" i="3"/>
  <c r="B26" i="3"/>
  <c r="BP25" i="3"/>
  <c r="BO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H25" i="3"/>
  <c r="AG25" i="3"/>
  <c r="AF25" i="3"/>
  <c r="AE25" i="3"/>
  <c r="AD25" i="3"/>
  <c r="AC25" i="3"/>
  <c r="AB25" i="3"/>
  <c r="X25" i="3"/>
  <c r="W25" i="3"/>
  <c r="V25" i="3"/>
  <c r="S25" i="3"/>
  <c r="R25" i="3"/>
  <c r="Q25" i="3"/>
  <c r="P25" i="3"/>
  <c r="O25" i="3"/>
  <c r="N25" i="3"/>
  <c r="M25" i="3"/>
  <c r="L25" i="3"/>
  <c r="K25" i="3"/>
  <c r="J25" i="3"/>
  <c r="C25" i="3"/>
  <c r="D25" i="3"/>
  <c r="E25" i="3"/>
  <c r="F25" i="3"/>
  <c r="G25" i="3"/>
  <c r="B25" i="3"/>
  <c r="BP24" i="3"/>
  <c r="BO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H24" i="3"/>
  <c r="AG24" i="3"/>
  <c r="AF24" i="3"/>
  <c r="AE24" i="3"/>
  <c r="AD24" i="3"/>
  <c r="AC24" i="3"/>
  <c r="AB24" i="3"/>
  <c r="W24" i="3"/>
  <c r="V24" i="3"/>
  <c r="S24" i="3"/>
  <c r="R24" i="3"/>
  <c r="Q24" i="3"/>
  <c r="P24" i="3"/>
  <c r="O24" i="3"/>
  <c r="N24" i="3"/>
  <c r="M24" i="3"/>
  <c r="L24" i="3"/>
  <c r="K24" i="3"/>
  <c r="J24" i="3"/>
  <c r="C24" i="3"/>
  <c r="D24" i="3"/>
  <c r="E24" i="3"/>
  <c r="F24" i="3"/>
  <c r="G24" i="3"/>
  <c r="B24" i="3"/>
  <c r="BP23" i="3"/>
  <c r="BO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H23" i="3"/>
  <c r="AG23" i="3"/>
  <c r="AF23" i="3"/>
  <c r="AE23" i="3"/>
  <c r="AD23" i="3"/>
  <c r="AC23" i="3"/>
  <c r="AB23" i="3"/>
  <c r="Y23" i="3"/>
  <c r="W23" i="3"/>
  <c r="V23" i="3"/>
  <c r="S23" i="3"/>
  <c r="R23" i="3"/>
  <c r="Q23" i="3"/>
  <c r="P23" i="3"/>
  <c r="O23" i="3"/>
  <c r="N23" i="3"/>
  <c r="M23" i="3"/>
  <c r="L23" i="3"/>
  <c r="K23" i="3"/>
  <c r="J23" i="3"/>
  <c r="C23" i="3"/>
  <c r="D23" i="3"/>
  <c r="E23" i="3"/>
  <c r="F23" i="3"/>
  <c r="G23" i="3"/>
  <c r="B23" i="3"/>
  <c r="BP22" i="3"/>
  <c r="BO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H22" i="3"/>
  <c r="AG22" i="3"/>
  <c r="AF22" i="3"/>
  <c r="AE22" i="3"/>
  <c r="AD22" i="3"/>
  <c r="AC22" i="3"/>
  <c r="AB22" i="3"/>
  <c r="X22" i="3"/>
  <c r="W22" i="3"/>
  <c r="V22" i="3"/>
  <c r="S22" i="3"/>
  <c r="R22" i="3"/>
  <c r="Q22" i="3"/>
  <c r="P22" i="3"/>
  <c r="O22" i="3"/>
  <c r="N22" i="3"/>
  <c r="M22" i="3"/>
  <c r="L22" i="3"/>
  <c r="K22" i="3"/>
  <c r="J22" i="3"/>
  <c r="C22" i="3"/>
  <c r="D22" i="3"/>
  <c r="E22" i="3"/>
  <c r="F22" i="3"/>
  <c r="G22" i="3"/>
  <c r="B22" i="3"/>
  <c r="BP21" i="3"/>
  <c r="BO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H21" i="3"/>
  <c r="AG21" i="3"/>
  <c r="AF21" i="3"/>
  <c r="AE21" i="3"/>
  <c r="AD21" i="3"/>
  <c r="AC21" i="3"/>
  <c r="AB21" i="3"/>
  <c r="X21" i="3"/>
  <c r="W21" i="3"/>
  <c r="V21" i="3"/>
  <c r="S21" i="3"/>
  <c r="R21" i="3"/>
  <c r="Q21" i="3"/>
  <c r="P21" i="3"/>
  <c r="O21" i="3"/>
  <c r="N21" i="3"/>
  <c r="M21" i="3"/>
  <c r="L21" i="3"/>
  <c r="K21" i="3"/>
  <c r="J21" i="3"/>
  <c r="C21" i="3"/>
  <c r="D21" i="3"/>
  <c r="E21" i="3"/>
  <c r="F21" i="3"/>
  <c r="G21" i="3"/>
  <c r="B21" i="3"/>
  <c r="BP20" i="3"/>
  <c r="BO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H20" i="3"/>
  <c r="AG20" i="3"/>
  <c r="AF20" i="3"/>
  <c r="AE20" i="3"/>
  <c r="AD20" i="3"/>
  <c r="AC20" i="3"/>
  <c r="AB20" i="3"/>
  <c r="W20" i="3"/>
  <c r="V20" i="3"/>
  <c r="S20" i="3"/>
  <c r="R20" i="3"/>
  <c r="Q20" i="3"/>
  <c r="P20" i="3"/>
  <c r="O20" i="3"/>
  <c r="N20" i="3"/>
  <c r="M20" i="3"/>
  <c r="L20" i="3"/>
  <c r="K20" i="3"/>
  <c r="J20" i="3"/>
  <c r="C20" i="3"/>
  <c r="D20" i="3"/>
  <c r="E20" i="3"/>
  <c r="F20" i="3"/>
  <c r="G20" i="3"/>
  <c r="B20" i="3"/>
  <c r="BP19" i="3"/>
  <c r="BO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H19" i="3"/>
  <c r="AG19" i="3"/>
  <c r="AF19" i="3"/>
  <c r="AE19" i="3"/>
  <c r="AD19" i="3"/>
  <c r="AC19" i="3"/>
  <c r="AB19" i="3"/>
  <c r="Y19" i="3"/>
  <c r="W19" i="3"/>
  <c r="V19" i="3"/>
  <c r="S19" i="3"/>
  <c r="R19" i="3"/>
  <c r="Q19" i="3"/>
  <c r="P19" i="3"/>
  <c r="O19" i="3"/>
  <c r="N19" i="3"/>
  <c r="M19" i="3"/>
  <c r="L19" i="3"/>
  <c r="K19" i="3"/>
  <c r="J19" i="3"/>
  <c r="C19" i="3"/>
  <c r="D19" i="3"/>
  <c r="E19" i="3"/>
  <c r="F19" i="3"/>
  <c r="G19" i="3"/>
  <c r="B19" i="3"/>
  <c r="BP18" i="3"/>
  <c r="BO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H18" i="3"/>
  <c r="AG18" i="3"/>
  <c r="AF18" i="3"/>
  <c r="AE18" i="3"/>
  <c r="AD18" i="3"/>
  <c r="AC18" i="3"/>
  <c r="AB18" i="3"/>
  <c r="X18" i="3"/>
  <c r="W18" i="3"/>
  <c r="V18" i="3"/>
  <c r="S18" i="3"/>
  <c r="R18" i="3"/>
  <c r="Q18" i="3"/>
  <c r="P18" i="3"/>
  <c r="O18" i="3"/>
  <c r="N18" i="3"/>
  <c r="M18" i="3"/>
  <c r="L18" i="3"/>
  <c r="K18" i="3"/>
  <c r="J18" i="3"/>
  <c r="C18" i="3"/>
  <c r="D18" i="3"/>
  <c r="E18" i="3"/>
  <c r="F18" i="3"/>
  <c r="G18" i="3"/>
  <c r="B18" i="3"/>
  <c r="BP17" i="3"/>
  <c r="BO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H17" i="3"/>
  <c r="AG17" i="3"/>
  <c r="AF17" i="3"/>
  <c r="AE17" i="3"/>
  <c r="AD17" i="3"/>
  <c r="AC17" i="3"/>
  <c r="AB17" i="3"/>
  <c r="X17" i="3"/>
  <c r="W17" i="3"/>
  <c r="V17" i="3"/>
  <c r="S17" i="3"/>
  <c r="R17" i="3"/>
  <c r="Q17" i="3"/>
  <c r="P17" i="3"/>
  <c r="O17" i="3"/>
  <c r="N17" i="3"/>
  <c r="M17" i="3"/>
  <c r="L17" i="3"/>
  <c r="K17" i="3"/>
  <c r="J17" i="3"/>
  <c r="D17" i="3"/>
  <c r="E17" i="3"/>
  <c r="F17" i="3"/>
  <c r="G17" i="3"/>
  <c r="C17" i="3"/>
  <c r="B17" i="3"/>
  <c r="BP16" i="3"/>
  <c r="BO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H16" i="3"/>
  <c r="AG16" i="3"/>
  <c r="AF16" i="3"/>
  <c r="AE16" i="3"/>
  <c r="AD16" i="3"/>
  <c r="AC16" i="3"/>
  <c r="AB16" i="3"/>
  <c r="W16" i="3"/>
  <c r="V16" i="3"/>
  <c r="S16" i="3"/>
  <c r="R16" i="3"/>
  <c r="Q16" i="3"/>
  <c r="P16" i="3"/>
  <c r="O16" i="3"/>
  <c r="N16" i="3"/>
  <c r="M16" i="3"/>
  <c r="L16" i="3"/>
  <c r="K16" i="3"/>
  <c r="J16" i="3"/>
  <c r="C16" i="3"/>
  <c r="D16" i="3"/>
  <c r="E16" i="3"/>
  <c r="F16" i="3"/>
  <c r="G16" i="3"/>
  <c r="B16" i="3"/>
  <c r="BP15" i="3"/>
  <c r="BO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H15" i="3"/>
  <c r="AG15" i="3"/>
  <c r="AF15" i="3"/>
  <c r="AE15" i="3"/>
  <c r="AD15" i="3"/>
  <c r="AC15" i="3"/>
  <c r="AB15" i="3"/>
  <c r="Y15" i="3"/>
  <c r="W15" i="3"/>
  <c r="V15" i="3"/>
  <c r="K15" i="3"/>
  <c r="L15" i="3"/>
  <c r="M15" i="3"/>
  <c r="N15" i="3"/>
  <c r="O15" i="3"/>
  <c r="P15" i="3"/>
  <c r="Q15" i="3"/>
  <c r="R15" i="3"/>
  <c r="S15" i="3"/>
  <c r="J15" i="3"/>
  <c r="G15" i="3"/>
  <c r="C15" i="3"/>
  <c r="D15" i="3"/>
  <c r="E15" i="3"/>
  <c r="F15" i="3"/>
  <c r="B15" i="3"/>
  <c r="BQ84" i="7"/>
  <c r="BR84" i="7"/>
  <c r="BQ85" i="7"/>
  <c r="BR85" i="7"/>
  <c r="BQ86" i="7"/>
  <c r="BR86" i="7"/>
  <c r="BQ87" i="7"/>
  <c r="BR87" i="7"/>
  <c r="BQ88" i="7"/>
  <c r="BR88" i="7"/>
  <c r="BQ89" i="7"/>
  <c r="BR89" i="7"/>
  <c r="BQ90" i="7"/>
  <c r="BR90" i="7"/>
  <c r="BQ91" i="7"/>
  <c r="BR91" i="7"/>
  <c r="BQ92" i="7"/>
  <c r="BR92" i="7"/>
  <c r="BQ93" i="7"/>
  <c r="BR93" i="7"/>
  <c r="BQ94" i="7"/>
  <c r="BR94" i="7"/>
  <c r="BQ95" i="7"/>
  <c r="BR95" i="7"/>
  <c r="BQ96" i="7"/>
  <c r="BR96" i="7"/>
  <c r="BQ97" i="7"/>
  <c r="BR97" i="7"/>
  <c r="BQ98" i="7"/>
  <c r="BR98" i="7"/>
  <c r="BQ99" i="7"/>
  <c r="BR99" i="7"/>
  <c r="BQ100" i="7"/>
  <c r="BR100" i="7"/>
  <c r="BQ101" i="7"/>
  <c r="BR101" i="7"/>
  <c r="BQ102" i="7"/>
  <c r="BR102" i="7"/>
  <c r="BQ103" i="7"/>
  <c r="BR103" i="7"/>
  <c r="BQ104" i="7"/>
  <c r="BR104" i="7"/>
  <c r="BQ105" i="7"/>
  <c r="BR105" i="7"/>
  <c r="BQ106" i="7"/>
  <c r="BR106" i="7"/>
  <c r="BQ107" i="7"/>
  <c r="BR107" i="7"/>
  <c r="BQ108" i="7"/>
  <c r="BR108" i="7"/>
  <c r="BQ109" i="7"/>
  <c r="BR109" i="7"/>
  <c r="BQ110" i="7"/>
  <c r="BR110" i="7"/>
  <c r="BQ111" i="7"/>
  <c r="BR111" i="7"/>
  <c r="BQ112" i="7"/>
  <c r="BR112" i="7"/>
  <c r="BQ113" i="7"/>
  <c r="BR113" i="7"/>
  <c r="BQ114" i="7"/>
  <c r="BR114" i="7"/>
  <c r="BQ115" i="7"/>
  <c r="BR115" i="7"/>
  <c r="BQ116" i="7"/>
  <c r="BR116" i="7"/>
  <c r="BQ117" i="7"/>
  <c r="BR117" i="7"/>
  <c r="BQ118" i="7"/>
  <c r="BR118" i="7"/>
  <c r="BQ119" i="7"/>
  <c r="BR119" i="7"/>
  <c r="BQ120" i="7"/>
  <c r="BR120" i="7"/>
  <c r="BQ121" i="7"/>
  <c r="BR121" i="7"/>
  <c r="BQ122" i="7"/>
  <c r="BR122" i="7"/>
  <c r="BQ123" i="7"/>
  <c r="BR123" i="7"/>
  <c r="BQ124" i="7"/>
  <c r="BR124" i="7"/>
  <c r="BQ125" i="7"/>
  <c r="BR125" i="7"/>
  <c r="BQ126" i="7"/>
  <c r="BR126" i="7"/>
  <c r="BQ127" i="7"/>
  <c r="BR127" i="7"/>
  <c r="BQ128" i="7"/>
  <c r="BR128" i="7"/>
  <c r="BQ129" i="7"/>
  <c r="BR129" i="7"/>
  <c r="BQ130" i="7"/>
  <c r="BR130" i="7"/>
  <c r="BQ131" i="7"/>
  <c r="BR131" i="7"/>
  <c r="BQ132" i="7"/>
  <c r="BR132" i="7"/>
  <c r="BQ133" i="7"/>
  <c r="BR133" i="7"/>
  <c r="BQ134" i="7"/>
  <c r="BR134" i="7"/>
  <c r="BQ135" i="7"/>
  <c r="BR135" i="7"/>
  <c r="BQ136" i="7"/>
  <c r="BR136" i="7"/>
  <c r="BQ137" i="7"/>
  <c r="BR137" i="7"/>
  <c r="BQ138" i="7"/>
  <c r="BR138" i="7"/>
  <c r="BQ139" i="7"/>
  <c r="BR139" i="7"/>
  <c r="BQ140" i="7"/>
  <c r="BR140" i="7"/>
  <c r="BQ141" i="7"/>
  <c r="BR141" i="7"/>
  <c r="BQ142" i="7"/>
  <c r="BR142" i="7"/>
  <c r="BQ143" i="7"/>
  <c r="BR143" i="7"/>
  <c r="BQ144" i="7"/>
  <c r="BR144" i="7"/>
  <c r="BQ145" i="7"/>
  <c r="BR145" i="7"/>
  <c r="BQ146" i="7"/>
  <c r="BR146" i="7"/>
  <c r="BQ147" i="7"/>
  <c r="BR147" i="7"/>
  <c r="BQ148" i="7"/>
  <c r="BR148" i="7"/>
  <c r="BQ149" i="7"/>
  <c r="BR149" i="7"/>
  <c r="BQ150" i="7"/>
  <c r="BR150" i="7"/>
  <c r="BQ151" i="7"/>
  <c r="BR151" i="7"/>
  <c r="BQ152" i="7"/>
  <c r="BR152" i="7"/>
  <c r="BQ153" i="7"/>
  <c r="BR153" i="7"/>
  <c r="BQ154" i="7"/>
  <c r="BR154" i="7"/>
  <c r="BQ155" i="7"/>
  <c r="BR155" i="7"/>
  <c r="BQ156" i="7"/>
  <c r="BR156" i="7"/>
  <c r="BQ157" i="7"/>
  <c r="BR157" i="7"/>
  <c r="BQ158" i="7"/>
  <c r="BR158" i="7"/>
  <c r="BQ159" i="7"/>
  <c r="BR159" i="7"/>
  <c r="BR83" i="7"/>
  <c r="BQ83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AL102" i="7"/>
  <c r="AM102" i="7"/>
  <c r="AN102" i="7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AL104" i="7"/>
  <c r="AM104" i="7"/>
  <c r="AN104" i="7"/>
  <c r="AO104" i="7"/>
  <c r="AP104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AL105" i="7"/>
  <c r="AM105" i="7"/>
  <c r="AN105" i="7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AL106" i="7"/>
  <c r="AM106" i="7"/>
  <c r="AN106" i="7"/>
  <c r="AO106" i="7"/>
  <c r="AP106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AL107" i="7"/>
  <c r="AM107" i="7"/>
  <c r="AN107" i="7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AL108" i="7"/>
  <c r="AM108" i="7"/>
  <c r="AN108" i="7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AL110" i="7"/>
  <c r="AM110" i="7"/>
  <c r="AN110" i="7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AL111" i="7"/>
  <c r="AM111" i="7"/>
  <c r="AN111" i="7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AL112" i="7"/>
  <c r="AM112" i="7"/>
  <c r="AN112" i="7"/>
  <c r="AO112" i="7"/>
  <c r="AP112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AL113" i="7"/>
  <c r="AM113" i="7"/>
  <c r="AN113" i="7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AL114" i="7"/>
  <c r="AM114" i="7"/>
  <c r="AN114" i="7"/>
  <c r="AO114" i="7"/>
  <c r="AP114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AL115" i="7"/>
  <c r="AM115" i="7"/>
  <c r="AN115" i="7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AL116" i="7"/>
  <c r="AM116" i="7"/>
  <c r="AN116" i="7"/>
  <c r="AO116" i="7"/>
  <c r="AP116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AL117" i="7"/>
  <c r="AM117" i="7"/>
  <c r="AN117" i="7"/>
  <c r="AO117" i="7"/>
  <c r="AP117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AL118" i="7"/>
  <c r="AM118" i="7"/>
  <c r="AN118" i="7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AL122" i="7"/>
  <c r="AM122" i="7"/>
  <c r="AN122" i="7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AL123" i="7"/>
  <c r="AM123" i="7"/>
  <c r="AN123" i="7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AL124" i="7"/>
  <c r="AM124" i="7"/>
  <c r="AN124" i="7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AL126" i="7"/>
  <c r="AM126" i="7"/>
  <c r="AN126" i="7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AL128" i="7"/>
  <c r="AM128" i="7"/>
  <c r="AN128" i="7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AL129" i="7"/>
  <c r="AM129" i="7"/>
  <c r="AN129" i="7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AL130" i="7"/>
  <c r="AM130" i="7"/>
  <c r="AN130" i="7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AL131" i="7"/>
  <c r="AM131" i="7"/>
  <c r="AN131" i="7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AL132" i="7"/>
  <c r="AM132" i="7"/>
  <c r="AN132" i="7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AL133" i="7"/>
  <c r="AM133" i="7"/>
  <c r="AN133" i="7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AL134" i="7"/>
  <c r="AM134" i="7"/>
  <c r="AN134" i="7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AL135" i="7"/>
  <c r="AM135" i="7"/>
  <c r="AN135" i="7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AL136" i="7"/>
  <c r="AM136" i="7"/>
  <c r="AN136" i="7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AL137" i="7"/>
  <c r="AM137" i="7"/>
  <c r="AN137" i="7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AL138" i="7"/>
  <c r="AM138" i="7"/>
  <c r="AN138" i="7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AL139" i="7"/>
  <c r="AM139" i="7"/>
  <c r="AN139" i="7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AL140" i="7"/>
  <c r="AM140" i="7"/>
  <c r="AN140" i="7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AL141" i="7"/>
  <c r="AM141" i="7"/>
  <c r="AN141" i="7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AL142" i="7"/>
  <c r="AM142" i="7"/>
  <c r="AN142" i="7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AL143" i="7"/>
  <c r="AM143" i="7"/>
  <c r="AN143" i="7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AL144" i="7"/>
  <c r="AM144" i="7"/>
  <c r="AN144" i="7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AL145" i="7"/>
  <c r="AM145" i="7"/>
  <c r="AN145" i="7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AL146" i="7"/>
  <c r="AM146" i="7"/>
  <c r="AN146" i="7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AL147" i="7"/>
  <c r="AM147" i="7"/>
  <c r="AN147" i="7"/>
  <c r="AO147" i="7"/>
  <c r="AP147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AL148" i="7"/>
  <c r="AM148" i="7"/>
  <c r="AN148" i="7"/>
  <c r="AO148" i="7"/>
  <c r="AP148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AL149" i="7"/>
  <c r="AM149" i="7"/>
  <c r="AN149" i="7"/>
  <c r="AO149" i="7"/>
  <c r="AP149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AL150" i="7"/>
  <c r="AM150" i="7"/>
  <c r="AN150" i="7"/>
  <c r="AO150" i="7"/>
  <c r="AP150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AL151" i="7"/>
  <c r="AM151" i="7"/>
  <c r="AN151" i="7"/>
  <c r="AO151" i="7"/>
  <c r="AP151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AL152" i="7"/>
  <c r="AM152" i="7"/>
  <c r="AN152" i="7"/>
  <c r="AO152" i="7"/>
  <c r="AP152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AL153" i="7"/>
  <c r="AM153" i="7"/>
  <c r="AN153" i="7"/>
  <c r="AO153" i="7"/>
  <c r="AP153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AL154" i="7"/>
  <c r="AM154" i="7"/>
  <c r="AN154" i="7"/>
  <c r="AO154" i="7"/>
  <c r="AP154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AL155" i="7"/>
  <c r="AM155" i="7"/>
  <c r="AN155" i="7"/>
  <c r="AO155" i="7"/>
  <c r="AP155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AL156" i="7"/>
  <c r="AM156" i="7"/>
  <c r="AN156" i="7"/>
  <c r="AO156" i="7"/>
  <c r="AP156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AL157" i="7"/>
  <c r="AM157" i="7"/>
  <c r="AN157" i="7"/>
  <c r="AO157" i="7"/>
  <c r="AP157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AL158" i="7"/>
  <c r="AM158" i="7"/>
  <c r="AN158" i="7"/>
  <c r="AO158" i="7"/>
  <c r="AP158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AL159" i="7"/>
  <c r="AM159" i="7"/>
  <c r="AN159" i="7"/>
  <c r="AO159" i="7"/>
  <c r="AP159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AL83" i="7"/>
  <c r="AC84" i="7"/>
  <c r="AD84" i="7"/>
  <c r="AE84" i="7"/>
  <c r="AF84" i="7"/>
  <c r="AG84" i="7"/>
  <c r="AH84" i="7"/>
  <c r="AI84" i="7"/>
  <c r="AC85" i="7"/>
  <c r="AD85" i="7"/>
  <c r="AE85" i="7"/>
  <c r="AF85" i="7"/>
  <c r="AG85" i="7"/>
  <c r="AH85" i="7"/>
  <c r="AI85" i="7"/>
  <c r="AC86" i="7"/>
  <c r="AD86" i="7"/>
  <c r="AE86" i="7"/>
  <c r="AF86" i="7"/>
  <c r="AG86" i="7"/>
  <c r="AH86" i="7"/>
  <c r="AI86" i="7"/>
  <c r="AC87" i="7"/>
  <c r="AD87" i="7"/>
  <c r="AE87" i="7"/>
  <c r="AF87" i="7"/>
  <c r="AG87" i="7"/>
  <c r="AH87" i="7"/>
  <c r="AI87" i="7"/>
  <c r="AC88" i="7"/>
  <c r="AD88" i="7"/>
  <c r="AE88" i="7"/>
  <c r="AF88" i="7"/>
  <c r="AG88" i="7"/>
  <c r="AH88" i="7"/>
  <c r="AI88" i="7"/>
  <c r="AC89" i="7"/>
  <c r="AD89" i="7"/>
  <c r="AE89" i="7"/>
  <c r="AF89" i="7"/>
  <c r="AG89" i="7"/>
  <c r="AH89" i="7"/>
  <c r="AI89" i="7"/>
  <c r="AC90" i="7"/>
  <c r="AD90" i="7"/>
  <c r="AE90" i="7"/>
  <c r="AF90" i="7"/>
  <c r="AG90" i="7"/>
  <c r="AH90" i="7"/>
  <c r="AI90" i="7"/>
  <c r="AC91" i="7"/>
  <c r="AD91" i="7"/>
  <c r="AE91" i="7"/>
  <c r="AF91" i="7"/>
  <c r="AG91" i="7"/>
  <c r="AH91" i="7"/>
  <c r="AI91" i="7"/>
  <c r="AC92" i="7"/>
  <c r="AD92" i="7"/>
  <c r="AE92" i="7"/>
  <c r="AF92" i="7"/>
  <c r="AG92" i="7"/>
  <c r="AH92" i="7"/>
  <c r="AI92" i="7"/>
  <c r="AC93" i="7"/>
  <c r="AD93" i="7"/>
  <c r="AE93" i="7"/>
  <c r="AF93" i="7"/>
  <c r="AG93" i="7"/>
  <c r="AH93" i="7"/>
  <c r="AI93" i="7"/>
  <c r="AC94" i="7"/>
  <c r="AD94" i="7"/>
  <c r="AE94" i="7"/>
  <c r="AF94" i="7"/>
  <c r="AG94" i="7"/>
  <c r="AH94" i="7"/>
  <c r="AI94" i="7"/>
  <c r="AC95" i="7"/>
  <c r="AD95" i="7"/>
  <c r="AE95" i="7"/>
  <c r="AF95" i="7"/>
  <c r="AG95" i="7"/>
  <c r="AH95" i="7"/>
  <c r="AI95" i="7"/>
  <c r="AC96" i="7"/>
  <c r="AD96" i="7"/>
  <c r="AE96" i="7"/>
  <c r="AF96" i="7"/>
  <c r="AG96" i="7"/>
  <c r="AH96" i="7"/>
  <c r="AI96" i="7"/>
  <c r="AC97" i="7"/>
  <c r="AD97" i="7"/>
  <c r="AE97" i="7"/>
  <c r="AF97" i="7"/>
  <c r="AG97" i="7"/>
  <c r="AH97" i="7"/>
  <c r="AI97" i="7"/>
  <c r="AC98" i="7"/>
  <c r="AD98" i="7"/>
  <c r="AE98" i="7"/>
  <c r="AF98" i="7"/>
  <c r="AG98" i="7"/>
  <c r="AH98" i="7"/>
  <c r="AI98" i="7"/>
  <c r="AC99" i="7"/>
  <c r="AD99" i="7"/>
  <c r="AE99" i="7"/>
  <c r="AF99" i="7"/>
  <c r="AG99" i="7"/>
  <c r="AH99" i="7"/>
  <c r="AI99" i="7"/>
  <c r="AC100" i="7"/>
  <c r="AD100" i="7"/>
  <c r="AE100" i="7"/>
  <c r="AF100" i="7"/>
  <c r="AG100" i="7"/>
  <c r="AH100" i="7"/>
  <c r="AI100" i="7"/>
  <c r="AC101" i="7"/>
  <c r="AD101" i="7"/>
  <c r="AE101" i="7"/>
  <c r="AF101" i="7"/>
  <c r="AG101" i="7"/>
  <c r="AH101" i="7"/>
  <c r="AI101" i="7"/>
  <c r="AC102" i="7"/>
  <c r="AD102" i="7"/>
  <c r="AE102" i="7"/>
  <c r="AF102" i="7"/>
  <c r="AG102" i="7"/>
  <c r="AH102" i="7"/>
  <c r="AI102" i="7"/>
  <c r="AC103" i="7"/>
  <c r="AD103" i="7"/>
  <c r="AE103" i="7"/>
  <c r="AF103" i="7"/>
  <c r="AG103" i="7"/>
  <c r="AH103" i="7"/>
  <c r="AI103" i="7"/>
  <c r="AC104" i="7"/>
  <c r="AD104" i="7"/>
  <c r="AE104" i="7"/>
  <c r="AF104" i="7"/>
  <c r="AG104" i="7"/>
  <c r="AH104" i="7"/>
  <c r="AI104" i="7"/>
  <c r="AC105" i="7"/>
  <c r="AD105" i="7"/>
  <c r="AE105" i="7"/>
  <c r="AF105" i="7"/>
  <c r="AG105" i="7"/>
  <c r="AH105" i="7"/>
  <c r="AI105" i="7"/>
  <c r="AC106" i="7"/>
  <c r="AD106" i="7"/>
  <c r="AE106" i="7"/>
  <c r="AF106" i="7"/>
  <c r="AG106" i="7"/>
  <c r="AH106" i="7"/>
  <c r="AI106" i="7"/>
  <c r="AC107" i="7"/>
  <c r="AD107" i="7"/>
  <c r="AE107" i="7"/>
  <c r="AF107" i="7"/>
  <c r="AG107" i="7"/>
  <c r="AH107" i="7"/>
  <c r="AI107" i="7"/>
  <c r="AC108" i="7"/>
  <c r="AD108" i="7"/>
  <c r="AE108" i="7"/>
  <c r="AF108" i="7"/>
  <c r="AG108" i="7"/>
  <c r="AH108" i="7"/>
  <c r="AI108" i="7"/>
  <c r="AC109" i="7"/>
  <c r="AD109" i="7"/>
  <c r="AE109" i="7"/>
  <c r="AF109" i="7"/>
  <c r="AG109" i="7"/>
  <c r="AH109" i="7"/>
  <c r="AI109" i="7"/>
  <c r="AC110" i="7"/>
  <c r="AD110" i="7"/>
  <c r="AE110" i="7"/>
  <c r="AF110" i="7"/>
  <c r="AG110" i="7"/>
  <c r="AH110" i="7"/>
  <c r="AI110" i="7"/>
  <c r="AC111" i="7"/>
  <c r="AD111" i="7"/>
  <c r="AE111" i="7"/>
  <c r="AF111" i="7"/>
  <c r="AG111" i="7"/>
  <c r="AH111" i="7"/>
  <c r="AI111" i="7"/>
  <c r="AC112" i="7"/>
  <c r="AD112" i="7"/>
  <c r="AE112" i="7"/>
  <c r="AF112" i="7"/>
  <c r="AG112" i="7"/>
  <c r="AH112" i="7"/>
  <c r="AI112" i="7"/>
  <c r="AC113" i="7"/>
  <c r="AD113" i="7"/>
  <c r="AE113" i="7"/>
  <c r="AF113" i="7"/>
  <c r="AG113" i="7"/>
  <c r="AH113" i="7"/>
  <c r="AI113" i="7"/>
  <c r="AC114" i="7"/>
  <c r="AD114" i="7"/>
  <c r="AE114" i="7"/>
  <c r="AF114" i="7"/>
  <c r="AG114" i="7"/>
  <c r="AH114" i="7"/>
  <c r="AI114" i="7"/>
  <c r="AC115" i="7"/>
  <c r="AD115" i="7"/>
  <c r="AE115" i="7"/>
  <c r="AF115" i="7"/>
  <c r="AG115" i="7"/>
  <c r="AH115" i="7"/>
  <c r="AI115" i="7"/>
  <c r="AC116" i="7"/>
  <c r="AD116" i="7"/>
  <c r="AE116" i="7"/>
  <c r="AF116" i="7"/>
  <c r="AG116" i="7"/>
  <c r="AH116" i="7"/>
  <c r="AI116" i="7"/>
  <c r="AC117" i="7"/>
  <c r="AD117" i="7"/>
  <c r="AE117" i="7"/>
  <c r="AF117" i="7"/>
  <c r="AG117" i="7"/>
  <c r="AH117" i="7"/>
  <c r="AI117" i="7"/>
  <c r="AC118" i="7"/>
  <c r="AD118" i="7"/>
  <c r="AE118" i="7"/>
  <c r="AF118" i="7"/>
  <c r="AG118" i="7"/>
  <c r="AH118" i="7"/>
  <c r="AI118" i="7"/>
  <c r="AC119" i="7"/>
  <c r="AD119" i="7"/>
  <c r="AE119" i="7"/>
  <c r="AF119" i="7"/>
  <c r="AG119" i="7"/>
  <c r="AH119" i="7"/>
  <c r="AI119" i="7"/>
  <c r="AC120" i="7"/>
  <c r="AD120" i="7"/>
  <c r="AE120" i="7"/>
  <c r="AF120" i="7"/>
  <c r="AG120" i="7"/>
  <c r="AH120" i="7"/>
  <c r="AI120" i="7"/>
  <c r="AC121" i="7"/>
  <c r="AD121" i="7"/>
  <c r="AE121" i="7"/>
  <c r="AF121" i="7"/>
  <c r="AG121" i="7"/>
  <c r="AH121" i="7"/>
  <c r="AI121" i="7"/>
  <c r="AC122" i="7"/>
  <c r="AD122" i="7"/>
  <c r="AE122" i="7"/>
  <c r="AF122" i="7"/>
  <c r="AG122" i="7"/>
  <c r="AH122" i="7"/>
  <c r="AI122" i="7"/>
  <c r="AC123" i="7"/>
  <c r="AD123" i="7"/>
  <c r="AE123" i="7"/>
  <c r="AF123" i="7"/>
  <c r="AG123" i="7"/>
  <c r="AH123" i="7"/>
  <c r="AI123" i="7"/>
  <c r="AC124" i="7"/>
  <c r="AD124" i="7"/>
  <c r="AE124" i="7"/>
  <c r="AF124" i="7"/>
  <c r="AG124" i="7"/>
  <c r="AH124" i="7"/>
  <c r="AI124" i="7"/>
  <c r="AC125" i="7"/>
  <c r="AD125" i="7"/>
  <c r="AE125" i="7"/>
  <c r="AF125" i="7"/>
  <c r="AG125" i="7"/>
  <c r="AH125" i="7"/>
  <c r="AI125" i="7"/>
  <c r="AC126" i="7"/>
  <c r="AD126" i="7"/>
  <c r="AE126" i="7"/>
  <c r="AF126" i="7"/>
  <c r="AG126" i="7"/>
  <c r="AH126" i="7"/>
  <c r="AI126" i="7"/>
  <c r="AC127" i="7"/>
  <c r="AD127" i="7"/>
  <c r="AE127" i="7"/>
  <c r="AF127" i="7"/>
  <c r="AG127" i="7"/>
  <c r="AH127" i="7"/>
  <c r="AI127" i="7"/>
  <c r="AC128" i="7"/>
  <c r="AD128" i="7"/>
  <c r="AE128" i="7"/>
  <c r="AF128" i="7"/>
  <c r="AG128" i="7"/>
  <c r="AH128" i="7"/>
  <c r="AI128" i="7"/>
  <c r="AC129" i="7"/>
  <c r="AD129" i="7"/>
  <c r="AE129" i="7"/>
  <c r="AF129" i="7"/>
  <c r="AG129" i="7"/>
  <c r="AH129" i="7"/>
  <c r="AI129" i="7"/>
  <c r="AC130" i="7"/>
  <c r="AD130" i="7"/>
  <c r="AE130" i="7"/>
  <c r="AF130" i="7"/>
  <c r="AG130" i="7"/>
  <c r="AH130" i="7"/>
  <c r="AI130" i="7"/>
  <c r="AC131" i="7"/>
  <c r="AD131" i="7"/>
  <c r="AE131" i="7"/>
  <c r="AF131" i="7"/>
  <c r="AG131" i="7"/>
  <c r="AH131" i="7"/>
  <c r="AI131" i="7"/>
  <c r="AC132" i="7"/>
  <c r="AD132" i="7"/>
  <c r="AE132" i="7"/>
  <c r="AF132" i="7"/>
  <c r="AG132" i="7"/>
  <c r="AH132" i="7"/>
  <c r="AI132" i="7"/>
  <c r="AC133" i="7"/>
  <c r="AD133" i="7"/>
  <c r="AE133" i="7"/>
  <c r="AF133" i="7"/>
  <c r="AG133" i="7"/>
  <c r="AH133" i="7"/>
  <c r="AI133" i="7"/>
  <c r="AC134" i="7"/>
  <c r="AD134" i="7"/>
  <c r="AE134" i="7"/>
  <c r="AF134" i="7"/>
  <c r="AG134" i="7"/>
  <c r="AH134" i="7"/>
  <c r="AI134" i="7"/>
  <c r="AC135" i="7"/>
  <c r="AD135" i="7"/>
  <c r="AE135" i="7"/>
  <c r="AF135" i="7"/>
  <c r="AG135" i="7"/>
  <c r="AH135" i="7"/>
  <c r="AI135" i="7"/>
  <c r="AC136" i="7"/>
  <c r="AD136" i="7"/>
  <c r="AE136" i="7"/>
  <c r="AF136" i="7"/>
  <c r="AG136" i="7"/>
  <c r="AH136" i="7"/>
  <c r="AI136" i="7"/>
  <c r="AC137" i="7"/>
  <c r="AD137" i="7"/>
  <c r="AE137" i="7"/>
  <c r="AF137" i="7"/>
  <c r="AG137" i="7"/>
  <c r="AH137" i="7"/>
  <c r="AI137" i="7"/>
  <c r="AC138" i="7"/>
  <c r="AD138" i="7"/>
  <c r="AE138" i="7"/>
  <c r="AF138" i="7"/>
  <c r="AG138" i="7"/>
  <c r="AH138" i="7"/>
  <c r="AI138" i="7"/>
  <c r="AC139" i="7"/>
  <c r="AD139" i="7"/>
  <c r="AE139" i="7"/>
  <c r="AF139" i="7"/>
  <c r="AG139" i="7"/>
  <c r="AH139" i="7"/>
  <c r="AI139" i="7"/>
  <c r="AC140" i="7"/>
  <c r="AD140" i="7"/>
  <c r="AE140" i="7"/>
  <c r="AF140" i="7"/>
  <c r="AG140" i="7"/>
  <c r="AH140" i="7"/>
  <c r="AI140" i="7"/>
  <c r="AC141" i="7"/>
  <c r="AD141" i="7"/>
  <c r="AE141" i="7"/>
  <c r="AF141" i="7"/>
  <c r="AG141" i="7"/>
  <c r="AH141" i="7"/>
  <c r="AI141" i="7"/>
  <c r="AC142" i="7"/>
  <c r="AD142" i="7"/>
  <c r="AE142" i="7"/>
  <c r="AF142" i="7"/>
  <c r="AG142" i="7"/>
  <c r="AH142" i="7"/>
  <c r="AI142" i="7"/>
  <c r="AC143" i="7"/>
  <c r="AD143" i="7"/>
  <c r="AE143" i="7"/>
  <c r="AF143" i="7"/>
  <c r="AG143" i="7"/>
  <c r="AH143" i="7"/>
  <c r="AI143" i="7"/>
  <c r="AC144" i="7"/>
  <c r="AD144" i="7"/>
  <c r="AE144" i="7"/>
  <c r="AF144" i="7"/>
  <c r="AG144" i="7"/>
  <c r="AH144" i="7"/>
  <c r="AI144" i="7"/>
  <c r="AC145" i="7"/>
  <c r="AD145" i="7"/>
  <c r="AE145" i="7"/>
  <c r="AF145" i="7"/>
  <c r="AG145" i="7"/>
  <c r="AH145" i="7"/>
  <c r="AI145" i="7"/>
  <c r="AC146" i="7"/>
  <c r="AD146" i="7"/>
  <c r="AE146" i="7"/>
  <c r="AF146" i="7"/>
  <c r="AG146" i="7"/>
  <c r="AH146" i="7"/>
  <c r="AI146" i="7"/>
  <c r="AC147" i="7"/>
  <c r="AD147" i="7"/>
  <c r="AE147" i="7"/>
  <c r="AF147" i="7"/>
  <c r="AG147" i="7"/>
  <c r="AH147" i="7"/>
  <c r="AI147" i="7"/>
  <c r="AC148" i="7"/>
  <c r="AD148" i="7"/>
  <c r="AE148" i="7"/>
  <c r="AF148" i="7"/>
  <c r="AG148" i="7"/>
  <c r="AH148" i="7"/>
  <c r="AI148" i="7"/>
  <c r="AC149" i="7"/>
  <c r="AD149" i="7"/>
  <c r="AE149" i="7"/>
  <c r="AF149" i="7"/>
  <c r="AG149" i="7"/>
  <c r="AH149" i="7"/>
  <c r="AI149" i="7"/>
  <c r="AC150" i="7"/>
  <c r="AD150" i="7"/>
  <c r="AE150" i="7"/>
  <c r="AF150" i="7"/>
  <c r="AG150" i="7"/>
  <c r="AH150" i="7"/>
  <c r="AI150" i="7"/>
  <c r="AC151" i="7"/>
  <c r="AD151" i="7"/>
  <c r="AE151" i="7"/>
  <c r="AF151" i="7"/>
  <c r="AG151" i="7"/>
  <c r="AH151" i="7"/>
  <c r="AI151" i="7"/>
  <c r="AC152" i="7"/>
  <c r="AD152" i="7"/>
  <c r="AE152" i="7"/>
  <c r="AF152" i="7"/>
  <c r="AG152" i="7"/>
  <c r="AH152" i="7"/>
  <c r="AI152" i="7"/>
  <c r="AC153" i="7"/>
  <c r="AD153" i="7"/>
  <c r="AE153" i="7"/>
  <c r="AF153" i="7"/>
  <c r="AG153" i="7"/>
  <c r="AH153" i="7"/>
  <c r="AI153" i="7"/>
  <c r="AC154" i="7"/>
  <c r="AD154" i="7"/>
  <c r="AE154" i="7"/>
  <c r="AF154" i="7"/>
  <c r="AG154" i="7"/>
  <c r="AH154" i="7"/>
  <c r="AI154" i="7"/>
  <c r="AC155" i="7"/>
  <c r="AD155" i="7"/>
  <c r="AE155" i="7"/>
  <c r="AF155" i="7"/>
  <c r="AG155" i="7"/>
  <c r="AH155" i="7"/>
  <c r="AI155" i="7"/>
  <c r="AC156" i="7"/>
  <c r="AD156" i="7"/>
  <c r="AE156" i="7"/>
  <c r="AF156" i="7"/>
  <c r="AG156" i="7"/>
  <c r="AH156" i="7"/>
  <c r="AI156" i="7"/>
  <c r="AC157" i="7"/>
  <c r="AD157" i="7"/>
  <c r="AE157" i="7"/>
  <c r="AF157" i="7"/>
  <c r="AG157" i="7"/>
  <c r="AH157" i="7"/>
  <c r="AI157" i="7"/>
  <c r="AC158" i="7"/>
  <c r="AD158" i="7"/>
  <c r="AE158" i="7"/>
  <c r="AF158" i="7"/>
  <c r="AG158" i="7"/>
  <c r="AH158" i="7"/>
  <c r="AI158" i="7"/>
  <c r="AC159" i="7"/>
  <c r="AD159" i="7"/>
  <c r="AE159" i="7"/>
  <c r="AF159" i="7"/>
  <c r="AG159" i="7"/>
  <c r="AH159" i="7"/>
  <c r="AI159" i="7"/>
  <c r="AD83" i="7"/>
  <c r="AE83" i="7"/>
  <c r="AF83" i="7"/>
  <c r="AG83" i="7"/>
  <c r="AH83" i="7"/>
  <c r="AI83" i="7"/>
  <c r="AC83" i="7"/>
  <c r="W83" i="7"/>
  <c r="J84" i="7"/>
  <c r="K84" i="7"/>
  <c r="L84" i="7"/>
  <c r="M84" i="7"/>
  <c r="N84" i="7"/>
  <c r="O84" i="7"/>
  <c r="P84" i="7"/>
  <c r="Q84" i="7"/>
  <c r="R84" i="7"/>
  <c r="S84" i="7"/>
  <c r="T84" i="7"/>
  <c r="J85" i="7"/>
  <c r="K85" i="7"/>
  <c r="L85" i="7"/>
  <c r="M85" i="7"/>
  <c r="N85" i="7"/>
  <c r="O85" i="7"/>
  <c r="P85" i="7"/>
  <c r="Q85" i="7"/>
  <c r="R85" i="7"/>
  <c r="S85" i="7"/>
  <c r="T85" i="7"/>
  <c r="J86" i="7"/>
  <c r="K86" i="7"/>
  <c r="L86" i="7"/>
  <c r="M86" i="7"/>
  <c r="N86" i="7"/>
  <c r="O86" i="7"/>
  <c r="P86" i="7"/>
  <c r="Q86" i="7"/>
  <c r="R86" i="7"/>
  <c r="S86" i="7"/>
  <c r="T86" i="7"/>
  <c r="J87" i="7"/>
  <c r="K87" i="7"/>
  <c r="L87" i="7"/>
  <c r="M87" i="7"/>
  <c r="N87" i="7"/>
  <c r="O87" i="7"/>
  <c r="P87" i="7"/>
  <c r="Q87" i="7"/>
  <c r="R87" i="7"/>
  <c r="S87" i="7"/>
  <c r="T87" i="7"/>
  <c r="J88" i="7"/>
  <c r="K88" i="7"/>
  <c r="L88" i="7"/>
  <c r="M88" i="7"/>
  <c r="N88" i="7"/>
  <c r="O88" i="7"/>
  <c r="P88" i="7"/>
  <c r="Q88" i="7"/>
  <c r="R88" i="7"/>
  <c r="S88" i="7"/>
  <c r="T88" i="7"/>
  <c r="J89" i="7"/>
  <c r="K89" i="7"/>
  <c r="L89" i="7"/>
  <c r="M89" i="7"/>
  <c r="N89" i="7"/>
  <c r="O89" i="7"/>
  <c r="P89" i="7"/>
  <c r="Q89" i="7"/>
  <c r="R89" i="7"/>
  <c r="S89" i="7"/>
  <c r="T89" i="7"/>
  <c r="J90" i="7"/>
  <c r="K90" i="7"/>
  <c r="L90" i="7"/>
  <c r="M90" i="7"/>
  <c r="N90" i="7"/>
  <c r="O90" i="7"/>
  <c r="P90" i="7"/>
  <c r="Q90" i="7"/>
  <c r="R90" i="7"/>
  <c r="S90" i="7"/>
  <c r="T90" i="7"/>
  <c r="J91" i="7"/>
  <c r="K91" i="7"/>
  <c r="L91" i="7"/>
  <c r="M91" i="7"/>
  <c r="N91" i="7"/>
  <c r="O91" i="7"/>
  <c r="P91" i="7"/>
  <c r="Q91" i="7"/>
  <c r="R91" i="7"/>
  <c r="S91" i="7"/>
  <c r="T91" i="7"/>
  <c r="J92" i="7"/>
  <c r="K92" i="7"/>
  <c r="L92" i="7"/>
  <c r="M92" i="7"/>
  <c r="N92" i="7"/>
  <c r="O92" i="7"/>
  <c r="P92" i="7"/>
  <c r="Q92" i="7"/>
  <c r="R92" i="7"/>
  <c r="S92" i="7"/>
  <c r="T92" i="7"/>
  <c r="J93" i="7"/>
  <c r="K93" i="7"/>
  <c r="L93" i="7"/>
  <c r="M93" i="7"/>
  <c r="N93" i="7"/>
  <c r="O93" i="7"/>
  <c r="P93" i="7"/>
  <c r="Q93" i="7"/>
  <c r="R93" i="7"/>
  <c r="S93" i="7"/>
  <c r="T93" i="7"/>
  <c r="J94" i="7"/>
  <c r="K94" i="7"/>
  <c r="L94" i="7"/>
  <c r="M94" i="7"/>
  <c r="N94" i="7"/>
  <c r="O94" i="7"/>
  <c r="P94" i="7"/>
  <c r="Q94" i="7"/>
  <c r="R94" i="7"/>
  <c r="S94" i="7"/>
  <c r="T94" i="7"/>
  <c r="J95" i="7"/>
  <c r="K95" i="7"/>
  <c r="L95" i="7"/>
  <c r="M95" i="7"/>
  <c r="N95" i="7"/>
  <c r="O95" i="7"/>
  <c r="P95" i="7"/>
  <c r="Q95" i="7"/>
  <c r="R95" i="7"/>
  <c r="S95" i="7"/>
  <c r="T95" i="7"/>
  <c r="J96" i="7"/>
  <c r="K96" i="7"/>
  <c r="L96" i="7"/>
  <c r="M96" i="7"/>
  <c r="N96" i="7"/>
  <c r="O96" i="7"/>
  <c r="P96" i="7"/>
  <c r="Q96" i="7"/>
  <c r="R96" i="7"/>
  <c r="S96" i="7"/>
  <c r="T96" i="7"/>
  <c r="J97" i="7"/>
  <c r="K97" i="7"/>
  <c r="L97" i="7"/>
  <c r="M97" i="7"/>
  <c r="N97" i="7"/>
  <c r="O97" i="7"/>
  <c r="P97" i="7"/>
  <c r="Q97" i="7"/>
  <c r="R97" i="7"/>
  <c r="S97" i="7"/>
  <c r="T97" i="7"/>
  <c r="J98" i="7"/>
  <c r="K98" i="7"/>
  <c r="L98" i="7"/>
  <c r="M98" i="7"/>
  <c r="N98" i="7"/>
  <c r="O98" i="7"/>
  <c r="P98" i="7"/>
  <c r="Q98" i="7"/>
  <c r="R98" i="7"/>
  <c r="S98" i="7"/>
  <c r="T98" i="7"/>
  <c r="J99" i="7"/>
  <c r="K99" i="7"/>
  <c r="L99" i="7"/>
  <c r="M99" i="7"/>
  <c r="N99" i="7"/>
  <c r="O99" i="7"/>
  <c r="P99" i="7"/>
  <c r="Q99" i="7"/>
  <c r="R99" i="7"/>
  <c r="S99" i="7"/>
  <c r="T99" i="7"/>
  <c r="J100" i="7"/>
  <c r="K100" i="7"/>
  <c r="L100" i="7"/>
  <c r="M100" i="7"/>
  <c r="N100" i="7"/>
  <c r="O100" i="7"/>
  <c r="P100" i="7"/>
  <c r="Q100" i="7"/>
  <c r="R100" i="7"/>
  <c r="S100" i="7"/>
  <c r="T100" i="7"/>
  <c r="J101" i="7"/>
  <c r="K101" i="7"/>
  <c r="L101" i="7"/>
  <c r="M101" i="7"/>
  <c r="N101" i="7"/>
  <c r="O101" i="7"/>
  <c r="P101" i="7"/>
  <c r="Q101" i="7"/>
  <c r="R101" i="7"/>
  <c r="S101" i="7"/>
  <c r="T101" i="7"/>
  <c r="J102" i="7"/>
  <c r="K102" i="7"/>
  <c r="L102" i="7"/>
  <c r="M102" i="7"/>
  <c r="N102" i="7"/>
  <c r="O102" i="7"/>
  <c r="P102" i="7"/>
  <c r="Q102" i="7"/>
  <c r="R102" i="7"/>
  <c r="S102" i="7"/>
  <c r="T102" i="7"/>
  <c r="J103" i="7"/>
  <c r="K103" i="7"/>
  <c r="L103" i="7"/>
  <c r="M103" i="7"/>
  <c r="N103" i="7"/>
  <c r="O103" i="7"/>
  <c r="P103" i="7"/>
  <c r="Q103" i="7"/>
  <c r="R103" i="7"/>
  <c r="S103" i="7"/>
  <c r="T103" i="7"/>
  <c r="J104" i="7"/>
  <c r="K104" i="7"/>
  <c r="L104" i="7"/>
  <c r="M104" i="7"/>
  <c r="N104" i="7"/>
  <c r="O104" i="7"/>
  <c r="P104" i="7"/>
  <c r="Q104" i="7"/>
  <c r="R104" i="7"/>
  <c r="S104" i="7"/>
  <c r="T104" i="7"/>
  <c r="J105" i="7"/>
  <c r="K105" i="7"/>
  <c r="L105" i="7"/>
  <c r="M105" i="7"/>
  <c r="N105" i="7"/>
  <c r="O105" i="7"/>
  <c r="P105" i="7"/>
  <c r="Q105" i="7"/>
  <c r="R105" i="7"/>
  <c r="S105" i="7"/>
  <c r="T105" i="7"/>
  <c r="J106" i="7"/>
  <c r="K106" i="7"/>
  <c r="L106" i="7"/>
  <c r="M106" i="7"/>
  <c r="N106" i="7"/>
  <c r="O106" i="7"/>
  <c r="P106" i="7"/>
  <c r="Q106" i="7"/>
  <c r="R106" i="7"/>
  <c r="S106" i="7"/>
  <c r="T106" i="7"/>
  <c r="J107" i="7"/>
  <c r="K107" i="7"/>
  <c r="L107" i="7"/>
  <c r="M107" i="7"/>
  <c r="N107" i="7"/>
  <c r="O107" i="7"/>
  <c r="P107" i="7"/>
  <c r="Q107" i="7"/>
  <c r="R107" i="7"/>
  <c r="S107" i="7"/>
  <c r="T107" i="7"/>
  <c r="J108" i="7"/>
  <c r="K108" i="7"/>
  <c r="L108" i="7"/>
  <c r="M108" i="7"/>
  <c r="N108" i="7"/>
  <c r="O108" i="7"/>
  <c r="P108" i="7"/>
  <c r="Q108" i="7"/>
  <c r="R108" i="7"/>
  <c r="S108" i="7"/>
  <c r="T108" i="7"/>
  <c r="J109" i="7"/>
  <c r="K109" i="7"/>
  <c r="L109" i="7"/>
  <c r="M109" i="7"/>
  <c r="N109" i="7"/>
  <c r="O109" i="7"/>
  <c r="P109" i="7"/>
  <c r="Q109" i="7"/>
  <c r="R109" i="7"/>
  <c r="S109" i="7"/>
  <c r="T109" i="7"/>
  <c r="J110" i="7"/>
  <c r="K110" i="7"/>
  <c r="L110" i="7"/>
  <c r="M110" i="7"/>
  <c r="N110" i="7"/>
  <c r="O110" i="7"/>
  <c r="P110" i="7"/>
  <c r="Q110" i="7"/>
  <c r="R110" i="7"/>
  <c r="S110" i="7"/>
  <c r="T110" i="7"/>
  <c r="J111" i="7"/>
  <c r="K111" i="7"/>
  <c r="L111" i="7"/>
  <c r="M111" i="7"/>
  <c r="N111" i="7"/>
  <c r="O111" i="7"/>
  <c r="P111" i="7"/>
  <c r="Q111" i="7"/>
  <c r="R111" i="7"/>
  <c r="S111" i="7"/>
  <c r="T111" i="7"/>
  <c r="J112" i="7"/>
  <c r="K112" i="7"/>
  <c r="L112" i="7"/>
  <c r="M112" i="7"/>
  <c r="N112" i="7"/>
  <c r="O112" i="7"/>
  <c r="P112" i="7"/>
  <c r="Q112" i="7"/>
  <c r="R112" i="7"/>
  <c r="S112" i="7"/>
  <c r="T112" i="7"/>
  <c r="J113" i="7"/>
  <c r="K113" i="7"/>
  <c r="L113" i="7"/>
  <c r="M113" i="7"/>
  <c r="N113" i="7"/>
  <c r="O113" i="7"/>
  <c r="P113" i="7"/>
  <c r="Q113" i="7"/>
  <c r="R113" i="7"/>
  <c r="S113" i="7"/>
  <c r="T113" i="7"/>
  <c r="J114" i="7"/>
  <c r="K114" i="7"/>
  <c r="L114" i="7"/>
  <c r="M114" i="7"/>
  <c r="N114" i="7"/>
  <c r="O114" i="7"/>
  <c r="P114" i="7"/>
  <c r="Q114" i="7"/>
  <c r="R114" i="7"/>
  <c r="S114" i="7"/>
  <c r="T114" i="7"/>
  <c r="J115" i="7"/>
  <c r="K115" i="7"/>
  <c r="L115" i="7"/>
  <c r="M115" i="7"/>
  <c r="N115" i="7"/>
  <c r="O115" i="7"/>
  <c r="P115" i="7"/>
  <c r="Q115" i="7"/>
  <c r="R115" i="7"/>
  <c r="S115" i="7"/>
  <c r="T115" i="7"/>
  <c r="J116" i="7"/>
  <c r="K116" i="7"/>
  <c r="L116" i="7"/>
  <c r="M116" i="7"/>
  <c r="N116" i="7"/>
  <c r="O116" i="7"/>
  <c r="P116" i="7"/>
  <c r="Q116" i="7"/>
  <c r="R116" i="7"/>
  <c r="S116" i="7"/>
  <c r="T116" i="7"/>
  <c r="J117" i="7"/>
  <c r="K117" i="7"/>
  <c r="L117" i="7"/>
  <c r="M117" i="7"/>
  <c r="N117" i="7"/>
  <c r="O117" i="7"/>
  <c r="P117" i="7"/>
  <c r="Q117" i="7"/>
  <c r="R117" i="7"/>
  <c r="S117" i="7"/>
  <c r="T117" i="7"/>
  <c r="J118" i="7"/>
  <c r="K118" i="7"/>
  <c r="L118" i="7"/>
  <c r="M118" i="7"/>
  <c r="N118" i="7"/>
  <c r="O118" i="7"/>
  <c r="P118" i="7"/>
  <c r="Q118" i="7"/>
  <c r="R118" i="7"/>
  <c r="S118" i="7"/>
  <c r="T118" i="7"/>
  <c r="J119" i="7"/>
  <c r="K119" i="7"/>
  <c r="L119" i="7"/>
  <c r="M119" i="7"/>
  <c r="N119" i="7"/>
  <c r="O119" i="7"/>
  <c r="P119" i="7"/>
  <c r="Q119" i="7"/>
  <c r="R119" i="7"/>
  <c r="S119" i="7"/>
  <c r="T119" i="7"/>
  <c r="J120" i="7"/>
  <c r="K120" i="7"/>
  <c r="L120" i="7"/>
  <c r="M120" i="7"/>
  <c r="N120" i="7"/>
  <c r="O120" i="7"/>
  <c r="P120" i="7"/>
  <c r="Q120" i="7"/>
  <c r="R120" i="7"/>
  <c r="S120" i="7"/>
  <c r="T120" i="7"/>
  <c r="J121" i="7"/>
  <c r="K121" i="7"/>
  <c r="L121" i="7"/>
  <c r="M121" i="7"/>
  <c r="N121" i="7"/>
  <c r="O121" i="7"/>
  <c r="P121" i="7"/>
  <c r="Q121" i="7"/>
  <c r="R121" i="7"/>
  <c r="S121" i="7"/>
  <c r="T121" i="7"/>
  <c r="J122" i="7"/>
  <c r="K122" i="7"/>
  <c r="L122" i="7"/>
  <c r="M122" i="7"/>
  <c r="N122" i="7"/>
  <c r="O122" i="7"/>
  <c r="P122" i="7"/>
  <c r="Q122" i="7"/>
  <c r="R122" i="7"/>
  <c r="S122" i="7"/>
  <c r="T122" i="7"/>
  <c r="J123" i="7"/>
  <c r="K123" i="7"/>
  <c r="L123" i="7"/>
  <c r="M123" i="7"/>
  <c r="N123" i="7"/>
  <c r="O123" i="7"/>
  <c r="P123" i="7"/>
  <c r="Q123" i="7"/>
  <c r="R123" i="7"/>
  <c r="S123" i="7"/>
  <c r="T123" i="7"/>
  <c r="J124" i="7"/>
  <c r="K124" i="7"/>
  <c r="L124" i="7"/>
  <c r="M124" i="7"/>
  <c r="N124" i="7"/>
  <c r="O124" i="7"/>
  <c r="P124" i="7"/>
  <c r="Q124" i="7"/>
  <c r="R124" i="7"/>
  <c r="S124" i="7"/>
  <c r="T124" i="7"/>
  <c r="J125" i="7"/>
  <c r="K125" i="7"/>
  <c r="L125" i="7"/>
  <c r="M125" i="7"/>
  <c r="N125" i="7"/>
  <c r="O125" i="7"/>
  <c r="P125" i="7"/>
  <c r="Q125" i="7"/>
  <c r="R125" i="7"/>
  <c r="S125" i="7"/>
  <c r="T125" i="7"/>
  <c r="J126" i="7"/>
  <c r="K126" i="7"/>
  <c r="L126" i="7"/>
  <c r="M126" i="7"/>
  <c r="N126" i="7"/>
  <c r="O126" i="7"/>
  <c r="P126" i="7"/>
  <c r="Q126" i="7"/>
  <c r="R126" i="7"/>
  <c r="S126" i="7"/>
  <c r="T126" i="7"/>
  <c r="J127" i="7"/>
  <c r="K127" i="7"/>
  <c r="L127" i="7"/>
  <c r="M127" i="7"/>
  <c r="N127" i="7"/>
  <c r="O127" i="7"/>
  <c r="P127" i="7"/>
  <c r="Q127" i="7"/>
  <c r="R127" i="7"/>
  <c r="S127" i="7"/>
  <c r="T127" i="7"/>
  <c r="J128" i="7"/>
  <c r="K128" i="7"/>
  <c r="L128" i="7"/>
  <c r="M128" i="7"/>
  <c r="N128" i="7"/>
  <c r="O128" i="7"/>
  <c r="P128" i="7"/>
  <c r="Q128" i="7"/>
  <c r="R128" i="7"/>
  <c r="S128" i="7"/>
  <c r="T128" i="7"/>
  <c r="J129" i="7"/>
  <c r="K129" i="7"/>
  <c r="L129" i="7"/>
  <c r="M129" i="7"/>
  <c r="N129" i="7"/>
  <c r="O129" i="7"/>
  <c r="P129" i="7"/>
  <c r="Q129" i="7"/>
  <c r="R129" i="7"/>
  <c r="S129" i="7"/>
  <c r="T129" i="7"/>
  <c r="J130" i="7"/>
  <c r="K130" i="7"/>
  <c r="L130" i="7"/>
  <c r="M130" i="7"/>
  <c r="N130" i="7"/>
  <c r="O130" i="7"/>
  <c r="P130" i="7"/>
  <c r="Q130" i="7"/>
  <c r="R130" i="7"/>
  <c r="S130" i="7"/>
  <c r="T130" i="7"/>
  <c r="J131" i="7"/>
  <c r="K131" i="7"/>
  <c r="L131" i="7"/>
  <c r="M131" i="7"/>
  <c r="N131" i="7"/>
  <c r="O131" i="7"/>
  <c r="P131" i="7"/>
  <c r="Q131" i="7"/>
  <c r="R131" i="7"/>
  <c r="S131" i="7"/>
  <c r="T131" i="7"/>
  <c r="J132" i="7"/>
  <c r="K132" i="7"/>
  <c r="L132" i="7"/>
  <c r="M132" i="7"/>
  <c r="N132" i="7"/>
  <c r="O132" i="7"/>
  <c r="P132" i="7"/>
  <c r="Q132" i="7"/>
  <c r="R132" i="7"/>
  <c r="S132" i="7"/>
  <c r="T132" i="7"/>
  <c r="J133" i="7"/>
  <c r="K133" i="7"/>
  <c r="L133" i="7"/>
  <c r="M133" i="7"/>
  <c r="N133" i="7"/>
  <c r="O133" i="7"/>
  <c r="P133" i="7"/>
  <c r="Q133" i="7"/>
  <c r="R133" i="7"/>
  <c r="S133" i="7"/>
  <c r="T133" i="7"/>
  <c r="J134" i="7"/>
  <c r="K134" i="7"/>
  <c r="L134" i="7"/>
  <c r="M134" i="7"/>
  <c r="N134" i="7"/>
  <c r="O134" i="7"/>
  <c r="P134" i="7"/>
  <c r="Q134" i="7"/>
  <c r="R134" i="7"/>
  <c r="S134" i="7"/>
  <c r="T134" i="7"/>
  <c r="J135" i="7"/>
  <c r="K135" i="7"/>
  <c r="L135" i="7"/>
  <c r="M135" i="7"/>
  <c r="N135" i="7"/>
  <c r="O135" i="7"/>
  <c r="P135" i="7"/>
  <c r="Q135" i="7"/>
  <c r="R135" i="7"/>
  <c r="S135" i="7"/>
  <c r="T135" i="7"/>
  <c r="J136" i="7"/>
  <c r="K136" i="7"/>
  <c r="L136" i="7"/>
  <c r="M136" i="7"/>
  <c r="N136" i="7"/>
  <c r="O136" i="7"/>
  <c r="P136" i="7"/>
  <c r="Q136" i="7"/>
  <c r="R136" i="7"/>
  <c r="S136" i="7"/>
  <c r="T136" i="7"/>
  <c r="J137" i="7"/>
  <c r="K137" i="7"/>
  <c r="L137" i="7"/>
  <c r="M137" i="7"/>
  <c r="N137" i="7"/>
  <c r="O137" i="7"/>
  <c r="P137" i="7"/>
  <c r="Q137" i="7"/>
  <c r="R137" i="7"/>
  <c r="S137" i="7"/>
  <c r="T137" i="7"/>
  <c r="J138" i="7"/>
  <c r="K138" i="7"/>
  <c r="L138" i="7"/>
  <c r="M138" i="7"/>
  <c r="N138" i="7"/>
  <c r="O138" i="7"/>
  <c r="P138" i="7"/>
  <c r="Q138" i="7"/>
  <c r="R138" i="7"/>
  <c r="S138" i="7"/>
  <c r="T138" i="7"/>
  <c r="J139" i="7"/>
  <c r="K139" i="7"/>
  <c r="L139" i="7"/>
  <c r="M139" i="7"/>
  <c r="N139" i="7"/>
  <c r="O139" i="7"/>
  <c r="P139" i="7"/>
  <c r="Q139" i="7"/>
  <c r="R139" i="7"/>
  <c r="S139" i="7"/>
  <c r="T139" i="7"/>
  <c r="J140" i="7"/>
  <c r="K140" i="7"/>
  <c r="L140" i="7"/>
  <c r="M140" i="7"/>
  <c r="N140" i="7"/>
  <c r="O140" i="7"/>
  <c r="P140" i="7"/>
  <c r="Q140" i="7"/>
  <c r="R140" i="7"/>
  <c r="S140" i="7"/>
  <c r="T140" i="7"/>
  <c r="J141" i="7"/>
  <c r="K141" i="7"/>
  <c r="L141" i="7"/>
  <c r="M141" i="7"/>
  <c r="N141" i="7"/>
  <c r="O141" i="7"/>
  <c r="P141" i="7"/>
  <c r="Q141" i="7"/>
  <c r="R141" i="7"/>
  <c r="S141" i="7"/>
  <c r="T141" i="7"/>
  <c r="J142" i="7"/>
  <c r="K142" i="7"/>
  <c r="L142" i="7"/>
  <c r="M142" i="7"/>
  <c r="N142" i="7"/>
  <c r="O142" i="7"/>
  <c r="P142" i="7"/>
  <c r="Q142" i="7"/>
  <c r="R142" i="7"/>
  <c r="S142" i="7"/>
  <c r="T142" i="7"/>
  <c r="J143" i="7"/>
  <c r="K143" i="7"/>
  <c r="L143" i="7"/>
  <c r="M143" i="7"/>
  <c r="N143" i="7"/>
  <c r="O143" i="7"/>
  <c r="P143" i="7"/>
  <c r="Q143" i="7"/>
  <c r="R143" i="7"/>
  <c r="S143" i="7"/>
  <c r="T143" i="7"/>
  <c r="J144" i="7"/>
  <c r="K144" i="7"/>
  <c r="L144" i="7"/>
  <c r="M144" i="7"/>
  <c r="N144" i="7"/>
  <c r="O144" i="7"/>
  <c r="P144" i="7"/>
  <c r="Q144" i="7"/>
  <c r="R144" i="7"/>
  <c r="S144" i="7"/>
  <c r="T144" i="7"/>
  <c r="J145" i="7"/>
  <c r="K145" i="7"/>
  <c r="L145" i="7"/>
  <c r="M145" i="7"/>
  <c r="N145" i="7"/>
  <c r="O145" i="7"/>
  <c r="P145" i="7"/>
  <c r="Q145" i="7"/>
  <c r="R145" i="7"/>
  <c r="S145" i="7"/>
  <c r="T145" i="7"/>
  <c r="J146" i="7"/>
  <c r="K146" i="7"/>
  <c r="L146" i="7"/>
  <c r="M146" i="7"/>
  <c r="N146" i="7"/>
  <c r="O146" i="7"/>
  <c r="P146" i="7"/>
  <c r="Q146" i="7"/>
  <c r="R146" i="7"/>
  <c r="S146" i="7"/>
  <c r="T146" i="7"/>
  <c r="J147" i="7"/>
  <c r="K147" i="7"/>
  <c r="L147" i="7"/>
  <c r="M147" i="7"/>
  <c r="N147" i="7"/>
  <c r="O147" i="7"/>
  <c r="P147" i="7"/>
  <c r="Q147" i="7"/>
  <c r="R147" i="7"/>
  <c r="S147" i="7"/>
  <c r="T147" i="7"/>
  <c r="J148" i="7"/>
  <c r="K148" i="7"/>
  <c r="L148" i="7"/>
  <c r="M148" i="7"/>
  <c r="N148" i="7"/>
  <c r="O148" i="7"/>
  <c r="P148" i="7"/>
  <c r="Q148" i="7"/>
  <c r="R148" i="7"/>
  <c r="S148" i="7"/>
  <c r="T148" i="7"/>
  <c r="J149" i="7"/>
  <c r="K149" i="7"/>
  <c r="L149" i="7"/>
  <c r="M149" i="7"/>
  <c r="N149" i="7"/>
  <c r="O149" i="7"/>
  <c r="P149" i="7"/>
  <c r="Q149" i="7"/>
  <c r="R149" i="7"/>
  <c r="S149" i="7"/>
  <c r="T149" i="7"/>
  <c r="J150" i="7"/>
  <c r="K150" i="7"/>
  <c r="L150" i="7"/>
  <c r="M150" i="7"/>
  <c r="N150" i="7"/>
  <c r="O150" i="7"/>
  <c r="P150" i="7"/>
  <c r="Q150" i="7"/>
  <c r="R150" i="7"/>
  <c r="S150" i="7"/>
  <c r="T150" i="7"/>
  <c r="J151" i="7"/>
  <c r="K151" i="7"/>
  <c r="L151" i="7"/>
  <c r="M151" i="7"/>
  <c r="N151" i="7"/>
  <c r="O151" i="7"/>
  <c r="P151" i="7"/>
  <c r="Q151" i="7"/>
  <c r="R151" i="7"/>
  <c r="S151" i="7"/>
  <c r="T151" i="7"/>
  <c r="J152" i="7"/>
  <c r="K152" i="7"/>
  <c r="L152" i="7"/>
  <c r="M152" i="7"/>
  <c r="N152" i="7"/>
  <c r="O152" i="7"/>
  <c r="P152" i="7"/>
  <c r="Q152" i="7"/>
  <c r="R152" i="7"/>
  <c r="S152" i="7"/>
  <c r="T152" i="7"/>
  <c r="J153" i="7"/>
  <c r="K153" i="7"/>
  <c r="L153" i="7"/>
  <c r="M153" i="7"/>
  <c r="N153" i="7"/>
  <c r="O153" i="7"/>
  <c r="P153" i="7"/>
  <c r="Q153" i="7"/>
  <c r="R153" i="7"/>
  <c r="S153" i="7"/>
  <c r="T153" i="7"/>
  <c r="J154" i="7"/>
  <c r="K154" i="7"/>
  <c r="L154" i="7"/>
  <c r="M154" i="7"/>
  <c r="N154" i="7"/>
  <c r="O154" i="7"/>
  <c r="P154" i="7"/>
  <c r="Q154" i="7"/>
  <c r="R154" i="7"/>
  <c r="S154" i="7"/>
  <c r="T154" i="7"/>
  <c r="J155" i="7"/>
  <c r="K155" i="7"/>
  <c r="L155" i="7"/>
  <c r="M155" i="7"/>
  <c r="N155" i="7"/>
  <c r="O155" i="7"/>
  <c r="P155" i="7"/>
  <c r="Q155" i="7"/>
  <c r="R155" i="7"/>
  <c r="S155" i="7"/>
  <c r="T155" i="7"/>
  <c r="J156" i="7"/>
  <c r="K156" i="7"/>
  <c r="L156" i="7"/>
  <c r="M156" i="7"/>
  <c r="N156" i="7"/>
  <c r="O156" i="7"/>
  <c r="P156" i="7"/>
  <c r="Q156" i="7"/>
  <c r="R156" i="7"/>
  <c r="S156" i="7"/>
  <c r="T156" i="7"/>
  <c r="J157" i="7"/>
  <c r="K157" i="7"/>
  <c r="L157" i="7"/>
  <c r="M157" i="7"/>
  <c r="N157" i="7"/>
  <c r="O157" i="7"/>
  <c r="P157" i="7"/>
  <c r="Q157" i="7"/>
  <c r="R157" i="7"/>
  <c r="S157" i="7"/>
  <c r="T157" i="7"/>
  <c r="J158" i="7"/>
  <c r="K158" i="7"/>
  <c r="L158" i="7"/>
  <c r="M158" i="7"/>
  <c r="N158" i="7"/>
  <c r="O158" i="7"/>
  <c r="P158" i="7"/>
  <c r="Q158" i="7"/>
  <c r="R158" i="7"/>
  <c r="S158" i="7"/>
  <c r="T158" i="7"/>
  <c r="J159" i="7"/>
  <c r="K159" i="7"/>
  <c r="L159" i="7"/>
  <c r="M159" i="7"/>
  <c r="N159" i="7"/>
  <c r="O159" i="7"/>
  <c r="P159" i="7"/>
  <c r="Q159" i="7"/>
  <c r="R159" i="7"/>
  <c r="S159" i="7"/>
  <c r="T159" i="7"/>
  <c r="K83" i="7"/>
  <c r="L83" i="7"/>
  <c r="M83" i="7"/>
  <c r="N83" i="7"/>
  <c r="O83" i="7"/>
  <c r="P83" i="7"/>
  <c r="Q83" i="7"/>
  <c r="R83" i="7"/>
  <c r="S83" i="7"/>
  <c r="T83" i="7"/>
  <c r="J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C83" i="7"/>
  <c r="D83" i="7"/>
  <c r="E83" i="7"/>
  <c r="F83" i="7"/>
  <c r="G83" i="7"/>
  <c r="B83" i="7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H67" i="6"/>
  <c r="J65" i="6"/>
  <c r="G65" i="6"/>
  <c r="F65" i="6"/>
  <c r="E65" i="6"/>
  <c r="D65" i="6"/>
  <c r="C65" i="6"/>
  <c r="B65" i="6"/>
  <c r="J64" i="6"/>
  <c r="G64" i="6"/>
  <c r="F64" i="6"/>
  <c r="E64" i="6"/>
  <c r="D64" i="6"/>
  <c r="C64" i="6"/>
  <c r="B64" i="6"/>
  <c r="J63" i="6"/>
  <c r="G63" i="6"/>
  <c r="F63" i="6"/>
  <c r="E63" i="6"/>
  <c r="D63" i="6"/>
  <c r="C63" i="6"/>
  <c r="B63" i="6"/>
  <c r="J62" i="6"/>
  <c r="G62" i="6"/>
  <c r="G67" i="6" s="1"/>
  <c r="F62" i="6"/>
  <c r="F67" i="6" s="1"/>
  <c r="E62" i="6"/>
  <c r="E67" i="6" s="1"/>
  <c r="D62" i="6"/>
  <c r="D67" i="6" s="1"/>
  <c r="C62" i="6"/>
  <c r="C67" i="6" s="1"/>
  <c r="B62" i="6"/>
  <c r="B67" i="6" s="1"/>
  <c r="J61" i="6"/>
  <c r="G61" i="6"/>
  <c r="F61" i="6"/>
  <c r="E61" i="6"/>
  <c r="D61" i="6"/>
  <c r="C61" i="6"/>
  <c r="B61" i="6"/>
  <c r="J60" i="6"/>
  <c r="G60" i="6"/>
  <c r="F60" i="6"/>
  <c r="E60" i="6"/>
  <c r="D60" i="6"/>
  <c r="C60" i="6"/>
  <c r="B60" i="6"/>
  <c r="J59" i="6"/>
  <c r="G59" i="6"/>
  <c r="F59" i="6"/>
  <c r="E59" i="6"/>
  <c r="D59" i="6"/>
  <c r="C59" i="6"/>
  <c r="B59" i="6"/>
  <c r="J58" i="6"/>
  <c r="G58" i="6"/>
  <c r="F58" i="6"/>
  <c r="E58" i="6"/>
  <c r="D58" i="6"/>
  <c r="C58" i="6"/>
  <c r="B58" i="6"/>
  <c r="J57" i="6"/>
  <c r="G57" i="6"/>
  <c r="F57" i="6"/>
  <c r="E57" i="6"/>
  <c r="D57" i="6"/>
  <c r="C57" i="6"/>
  <c r="B57" i="6"/>
  <c r="J56" i="6"/>
  <c r="G56" i="6"/>
  <c r="F56" i="6"/>
  <c r="E56" i="6"/>
  <c r="D56" i="6"/>
  <c r="C56" i="6"/>
  <c r="B56" i="6"/>
  <c r="J55" i="6"/>
  <c r="G55" i="6"/>
  <c r="F55" i="6"/>
  <c r="E55" i="6"/>
  <c r="D55" i="6"/>
  <c r="C55" i="6"/>
  <c r="B55" i="6"/>
  <c r="J54" i="6"/>
  <c r="G54" i="6"/>
  <c r="F54" i="6"/>
  <c r="E54" i="6"/>
  <c r="D54" i="6"/>
  <c r="C54" i="6"/>
  <c r="B54" i="6"/>
  <c r="J53" i="6"/>
  <c r="G53" i="6"/>
  <c r="F53" i="6"/>
  <c r="E53" i="6"/>
  <c r="D53" i="6"/>
  <c r="C53" i="6"/>
  <c r="B53" i="6"/>
  <c r="J52" i="6"/>
  <c r="G52" i="6"/>
  <c r="F52" i="6"/>
  <c r="E52" i="6"/>
  <c r="D52" i="6"/>
  <c r="C52" i="6"/>
  <c r="B52" i="6"/>
  <c r="J51" i="6"/>
  <c r="G51" i="6"/>
  <c r="F51" i="6"/>
  <c r="E51" i="6"/>
  <c r="D51" i="6"/>
  <c r="C51" i="6"/>
  <c r="B51" i="6"/>
  <c r="J50" i="6"/>
  <c r="G50" i="6"/>
  <c r="F50" i="6"/>
  <c r="E50" i="6"/>
  <c r="D50" i="6"/>
  <c r="C50" i="6"/>
  <c r="B50" i="6"/>
  <c r="J49" i="6"/>
  <c r="G49" i="6"/>
  <c r="F49" i="6"/>
  <c r="E49" i="6"/>
  <c r="D49" i="6"/>
  <c r="C49" i="6"/>
  <c r="B49" i="6"/>
  <c r="J48" i="6"/>
  <c r="G48" i="6"/>
  <c r="F48" i="6"/>
  <c r="E48" i="6"/>
  <c r="D48" i="6"/>
  <c r="C48" i="6"/>
  <c r="B48" i="6"/>
  <c r="J47" i="6"/>
  <c r="G47" i="6"/>
  <c r="F47" i="6"/>
  <c r="E47" i="6"/>
  <c r="D47" i="6"/>
  <c r="C47" i="6"/>
  <c r="B47" i="6"/>
  <c r="J46" i="6"/>
  <c r="G46" i="6"/>
  <c r="F46" i="6"/>
  <c r="E46" i="6"/>
  <c r="D46" i="6"/>
  <c r="C46" i="6"/>
  <c r="B46" i="6"/>
  <c r="J45" i="6"/>
  <c r="G45" i="6"/>
  <c r="F45" i="6"/>
  <c r="E45" i="6"/>
  <c r="D45" i="6"/>
  <c r="C45" i="6"/>
  <c r="B45" i="6"/>
  <c r="J44" i="6"/>
  <c r="G44" i="6"/>
  <c r="F44" i="6"/>
  <c r="E44" i="6"/>
  <c r="D44" i="6"/>
  <c r="C44" i="6"/>
  <c r="B44" i="6"/>
  <c r="J43" i="6"/>
  <c r="G43" i="6"/>
  <c r="F43" i="6"/>
  <c r="E43" i="6"/>
  <c r="D43" i="6"/>
  <c r="C43" i="6"/>
  <c r="B43" i="6"/>
  <c r="J42" i="6"/>
  <c r="G42" i="6"/>
  <c r="F42" i="6"/>
  <c r="E42" i="6"/>
  <c r="D42" i="6"/>
  <c r="C42" i="6"/>
  <c r="B42" i="6"/>
  <c r="J41" i="6"/>
  <c r="G41" i="6"/>
  <c r="F41" i="6"/>
  <c r="E41" i="6"/>
  <c r="D41" i="6"/>
  <c r="C41" i="6"/>
  <c r="B41" i="6"/>
  <c r="J40" i="6"/>
  <c r="G40" i="6"/>
  <c r="F40" i="6"/>
  <c r="E40" i="6"/>
  <c r="D40" i="6"/>
  <c r="C40" i="6"/>
  <c r="B40" i="6"/>
  <c r="J39" i="6"/>
  <c r="G39" i="6"/>
  <c r="F39" i="6"/>
  <c r="E39" i="6"/>
  <c r="D39" i="6"/>
  <c r="C39" i="6"/>
  <c r="B39" i="6"/>
  <c r="J38" i="6"/>
  <c r="G38" i="6"/>
  <c r="F38" i="6"/>
  <c r="E38" i="6"/>
  <c r="D38" i="6"/>
  <c r="C38" i="6"/>
  <c r="B38" i="6"/>
  <c r="J37" i="6"/>
  <c r="G37" i="6"/>
  <c r="F37" i="6"/>
  <c r="E37" i="6"/>
  <c r="D37" i="6"/>
  <c r="C37" i="6"/>
  <c r="B37" i="6"/>
  <c r="J36" i="6"/>
  <c r="G36" i="6"/>
  <c r="F36" i="6"/>
  <c r="E36" i="6"/>
  <c r="D36" i="6"/>
  <c r="C36" i="6"/>
  <c r="B36" i="6"/>
  <c r="J35" i="6"/>
  <c r="G35" i="6"/>
  <c r="F35" i="6"/>
  <c r="E35" i="6"/>
  <c r="D35" i="6"/>
  <c r="C35" i="6"/>
  <c r="B35" i="6"/>
  <c r="J34" i="6"/>
  <c r="G34" i="6"/>
  <c r="F34" i="6"/>
  <c r="E34" i="6"/>
  <c r="D34" i="6"/>
  <c r="C34" i="6"/>
  <c r="B34" i="6"/>
  <c r="J33" i="6"/>
  <c r="G33" i="6"/>
  <c r="F33" i="6"/>
  <c r="E33" i="6"/>
  <c r="D33" i="6"/>
  <c r="C33" i="6"/>
  <c r="B33" i="6"/>
  <c r="J32" i="6"/>
  <c r="G32" i="6"/>
  <c r="F32" i="6"/>
  <c r="E32" i="6"/>
  <c r="D32" i="6"/>
  <c r="C32" i="6"/>
  <c r="B32" i="6"/>
  <c r="J31" i="6"/>
  <c r="G31" i="6"/>
  <c r="F31" i="6"/>
  <c r="E31" i="6"/>
  <c r="D31" i="6"/>
  <c r="C31" i="6"/>
  <c r="B31" i="6"/>
  <c r="J30" i="6"/>
  <c r="G30" i="6"/>
  <c r="F30" i="6"/>
  <c r="E30" i="6"/>
  <c r="D30" i="6"/>
  <c r="C30" i="6"/>
  <c r="B30" i="6"/>
  <c r="J29" i="6"/>
  <c r="G29" i="6"/>
  <c r="F29" i="6"/>
  <c r="E29" i="6"/>
  <c r="D29" i="6"/>
  <c r="C29" i="6"/>
  <c r="B29" i="6"/>
  <c r="J28" i="6"/>
  <c r="G28" i="6"/>
  <c r="F28" i="6"/>
  <c r="E28" i="6"/>
  <c r="D28" i="6"/>
  <c r="C28" i="6"/>
  <c r="B28" i="6"/>
  <c r="J27" i="6"/>
  <c r="G27" i="6"/>
  <c r="F27" i="6"/>
  <c r="E27" i="6"/>
  <c r="D27" i="6"/>
  <c r="C27" i="6"/>
  <c r="B27" i="6"/>
  <c r="J26" i="6"/>
  <c r="G26" i="6"/>
  <c r="F26" i="6"/>
  <c r="E26" i="6"/>
  <c r="D26" i="6"/>
  <c r="C26" i="6"/>
  <c r="B26" i="6"/>
  <c r="J25" i="6"/>
  <c r="G25" i="6"/>
  <c r="F25" i="6"/>
  <c r="E25" i="6"/>
  <c r="D25" i="6"/>
  <c r="C25" i="6"/>
  <c r="B25" i="6"/>
  <c r="J24" i="6"/>
  <c r="G24" i="6"/>
  <c r="F24" i="6"/>
  <c r="E24" i="6"/>
  <c r="D24" i="6"/>
  <c r="C24" i="6"/>
  <c r="B24" i="6"/>
  <c r="J23" i="6"/>
  <c r="G23" i="6"/>
  <c r="F23" i="6"/>
  <c r="E23" i="6"/>
  <c r="D23" i="6"/>
  <c r="C23" i="6"/>
  <c r="B23" i="6"/>
  <c r="J22" i="6"/>
  <c r="G22" i="6"/>
  <c r="F22" i="6"/>
  <c r="E22" i="6"/>
  <c r="D22" i="6"/>
  <c r="C22" i="6"/>
  <c r="B22" i="6"/>
  <c r="J21" i="6"/>
  <c r="G21" i="6"/>
  <c r="F21" i="6"/>
  <c r="E21" i="6"/>
  <c r="D21" i="6"/>
  <c r="C21" i="6"/>
  <c r="B21" i="6"/>
  <c r="J20" i="6"/>
  <c r="G20" i="6"/>
  <c r="F20" i="6"/>
  <c r="E20" i="6"/>
  <c r="D20" i="6"/>
  <c r="C20" i="6"/>
  <c r="B20" i="6"/>
  <c r="J19" i="6"/>
  <c r="G19" i="6"/>
  <c r="F19" i="6"/>
  <c r="E19" i="6"/>
  <c r="D19" i="6"/>
  <c r="C19" i="6"/>
  <c r="B19" i="6"/>
  <c r="J18" i="6"/>
  <c r="G18" i="6"/>
  <c r="F18" i="6"/>
  <c r="E18" i="6"/>
  <c r="D18" i="6"/>
  <c r="C18" i="6"/>
  <c r="B18" i="6"/>
  <c r="J17" i="6"/>
  <c r="G17" i="6"/>
  <c r="F17" i="6"/>
  <c r="E17" i="6"/>
  <c r="D17" i="6"/>
  <c r="C17" i="6"/>
  <c r="B17" i="6"/>
  <c r="J16" i="6"/>
  <c r="G16" i="6"/>
  <c r="F16" i="6"/>
  <c r="E16" i="6"/>
  <c r="D16" i="6"/>
  <c r="C16" i="6"/>
  <c r="B16" i="6"/>
  <c r="J15" i="6"/>
  <c r="G15" i="6"/>
  <c r="F15" i="6"/>
  <c r="E15" i="6"/>
  <c r="D15" i="6"/>
  <c r="C15" i="6"/>
  <c r="B15" i="6"/>
  <c r="J14" i="6"/>
  <c r="G14" i="6"/>
  <c r="F14" i="6"/>
  <c r="E14" i="6"/>
  <c r="D14" i="6"/>
  <c r="C14" i="6"/>
  <c r="B14" i="6"/>
  <c r="J13" i="6"/>
  <c r="G13" i="6"/>
  <c r="F13" i="6"/>
  <c r="E13" i="6"/>
  <c r="D13" i="6"/>
  <c r="C13" i="6"/>
  <c r="B13" i="6"/>
  <c r="J12" i="6"/>
  <c r="G12" i="6"/>
  <c r="F12" i="6"/>
  <c r="E12" i="6"/>
  <c r="D12" i="6"/>
  <c r="C12" i="6"/>
  <c r="B12" i="6"/>
  <c r="J11" i="6"/>
  <c r="G11" i="6"/>
  <c r="F11" i="6"/>
  <c r="E11" i="6"/>
  <c r="D11" i="6"/>
  <c r="C11" i="6"/>
  <c r="B11" i="6"/>
  <c r="J10" i="6"/>
  <c r="G10" i="6"/>
  <c r="F10" i="6"/>
  <c r="E10" i="6"/>
  <c r="D10" i="6"/>
  <c r="C10" i="6"/>
  <c r="B10" i="6"/>
  <c r="J9" i="6"/>
  <c r="G9" i="6"/>
  <c r="F9" i="6"/>
  <c r="E9" i="6"/>
  <c r="D9" i="6"/>
  <c r="C9" i="6"/>
  <c r="B9" i="6"/>
  <c r="J8" i="6"/>
  <c r="G8" i="6"/>
  <c r="F8" i="6"/>
  <c r="E8" i="6"/>
  <c r="D8" i="6"/>
  <c r="C8" i="6"/>
  <c r="B8" i="6"/>
  <c r="J7" i="6"/>
  <c r="G7" i="6"/>
  <c r="F7" i="6"/>
  <c r="E7" i="6"/>
  <c r="D7" i="6"/>
  <c r="C7" i="6"/>
  <c r="B7" i="6"/>
  <c r="J6" i="6"/>
  <c r="G6" i="6"/>
  <c r="F6" i="6"/>
  <c r="E6" i="6"/>
  <c r="D6" i="6"/>
  <c r="C6" i="6"/>
  <c r="B6" i="6"/>
</calcChain>
</file>

<file path=xl/sharedStrings.xml><?xml version="1.0" encoding="utf-8"?>
<sst xmlns="http://schemas.openxmlformats.org/spreadsheetml/2006/main" count="1257" uniqueCount="185">
  <si>
    <t>23Na</t>
  </si>
  <si>
    <t>24Mg</t>
  </si>
  <si>
    <t>27Al</t>
  </si>
  <si>
    <t>31P</t>
  </si>
  <si>
    <t>39K</t>
  </si>
  <si>
    <t>44Ca</t>
  </si>
  <si>
    <t>45Sc-CCT</t>
  </si>
  <si>
    <t>45Sc</t>
  </si>
  <si>
    <t>48Ti</t>
  </si>
  <si>
    <t>51V-NH3</t>
  </si>
  <si>
    <t>51V</t>
  </si>
  <si>
    <t>52Cr</t>
  </si>
  <si>
    <t>55Mn</t>
  </si>
  <si>
    <t>56Fe</t>
  </si>
  <si>
    <t>59Co</t>
  </si>
  <si>
    <t>60Ni</t>
  </si>
  <si>
    <t>65Cu</t>
  </si>
  <si>
    <t>68Zn</t>
  </si>
  <si>
    <t>69Ga</t>
  </si>
  <si>
    <t>72Ge-CCT</t>
  </si>
  <si>
    <t>72Ge</t>
  </si>
  <si>
    <t>75As</t>
  </si>
  <si>
    <t>82Se</t>
  </si>
  <si>
    <t>85Rb</t>
  </si>
  <si>
    <t>88Sr</t>
  </si>
  <si>
    <t>89Y-H2</t>
  </si>
  <si>
    <t>89Y</t>
  </si>
  <si>
    <t>93Nb</t>
  </si>
  <si>
    <t>95Mo</t>
  </si>
  <si>
    <t>101Ru</t>
  </si>
  <si>
    <t>103Rh</t>
  </si>
  <si>
    <t>104Pd</t>
  </si>
  <si>
    <t>107Ag</t>
  </si>
  <si>
    <t>111Cd</t>
  </si>
  <si>
    <t>115In-NH3</t>
  </si>
  <si>
    <t>115In</t>
  </si>
  <si>
    <t>118Sn</t>
  </si>
  <si>
    <t>123Sb</t>
  </si>
  <si>
    <t>125Te</t>
  </si>
  <si>
    <t>133Cs</t>
  </si>
  <si>
    <t>137Ba</t>
  </si>
  <si>
    <t>138Ba</t>
  </si>
  <si>
    <t>139La</t>
  </si>
  <si>
    <t>140Ce</t>
  </si>
  <si>
    <t>141Pr</t>
  </si>
  <si>
    <t>146Nd</t>
  </si>
  <si>
    <t>147Sm</t>
  </si>
  <si>
    <t>153Eu</t>
  </si>
  <si>
    <t>157Gd</t>
  </si>
  <si>
    <t>159Tb</t>
  </si>
  <si>
    <t>163Dy</t>
  </si>
  <si>
    <t>165Ho</t>
  </si>
  <si>
    <t>166Er</t>
  </si>
  <si>
    <t>169Tm</t>
  </si>
  <si>
    <t>172Yb</t>
  </si>
  <si>
    <t>175Lu</t>
  </si>
  <si>
    <t>178Hf</t>
  </si>
  <si>
    <t>182W</t>
  </si>
  <si>
    <t>185Re</t>
  </si>
  <si>
    <t>187Re</t>
  </si>
  <si>
    <t>193Ir</t>
  </si>
  <si>
    <t>195Pt</t>
  </si>
  <si>
    <t>197Au</t>
  </si>
  <si>
    <t>205Tl</t>
  </si>
  <si>
    <t>208Pb</t>
  </si>
  <si>
    <t>209Bi-NH3</t>
  </si>
  <si>
    <t>209Bi</t>
  </si>
  <si>
    <t>232Th</t>
  </si>
  <si>
    <t>238U</t>
  </si>
  <si>
    <t>Blank</t>
  </si>
  <si>
    <t>blank</t>
  </si>
  <si>
    <t>QC 1:20</t>
  </si>
  <si>
    <t>LDP-5-C1 May2009</t>
  </si>
  <si>
    <t>UMP-9-C1</t>
  </si>
  <si>
    <t>SRR-13-C1</t>
  </si>
  <si>
    <t>MCN-18-C1</t>
  </si>
  <si>
    <t>MCS-24-C1</t>
  </si>
  <si>
    <t>SME-29-C1</t>
  </si>
  <si>
    <t>PWP-33-C1</t>
  </si>
  <si>
    <t>MVP-38-C1</t>
  </si>
  <si>
    <t>SMW-44-C1</t>
  </si>
  <si>
    <t>DBG-50-C1</t>
  </si>
  <si>
    <t>SNE-51-C1</t>
  </si>
  <si>
    <t>SNW-60-C1</t>
  </si>
  <si>
    <t>EMW-64-C1</t>
  </si>
  <si>
    <t>EME-66-C1</t>
  </si>
  <si>
    <t>WTM-71-C1</t>
  </si>
  <si>
    <t>LDP-5-C1 Oct2009</t>
  </si>
  <si>
    <t>Digested Blank</t>
  </si>
  <si>
    <t>Apple Leaf QC</t>
  </si>
  <si>
    <t>QC 1:40</t>
  </si>
  <si>
    <t>LDP-5-C1 May2010</t>
  </si>
  <si>
    <t>LDP-5-C1 Oct2013</t>
  </si>
  <si>
    <t>Peach Leaf QC</t>
  </si>
  <si>
    <t>Na</t>
  </si>
  <si>
    <t>Mg</t>
  </si>
  <si>
    <t>Al</t>
  </si>
  <si>
    <t>P</t>
  </si>
  <si>
    <t>K</t>
  </si>
  <si>
    <t>Ca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</si>
  <si>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</si>
  <si>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</si>
  <si>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</si>
  <si>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</si>
  <si>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</si>
  <si>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</si>
  <si>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</si>
  <si>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</si>
  <si>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</si>
  <si>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</si>
  <si>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As</t>
  </si>
  <si>
    <t>ppb</t>
  </si>
  <si>
    <t>Se</t>
  </si>
  <si>
    <t>Rb</t>
  </si>
  <si>
    <t>Sr</t>
  </si>
  <si>
    <t>Nb</t>
  </si>
  <si>
    <t>Mo</t>
  </si>
  <si>
    <t>Ru</t>
  </si>
  <si>
    <t>Rh</t>
  </si>
  <si>
    <t>Pd</t>
  </si>
  <si>
    <t>Ag</t>
  </si>
  <si>
    <t>Cd</t>
  </si>
  <si>
    <t>Sn</t>
  </si>
  <si>
    <t>Sb</t>
  </si>
  <si>
    <t>Te</t>
  </si>
  <si>
    <t>Cs</t>
  </si>
  <si>
    <t>Ba</t>
  </si>
  <si>
    <t>La</t>
  </si>
  <si>
    <t>Ce</t>
  </si>
  <si>
    <t>Pr</t>
  </si>
  <si>
    <t>Nd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</si>
  <si>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</si>
  <si>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</si>
  <si>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</si>
  <si>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</si>
  <si>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</si>
  <si>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</si>
  <si>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</si>
  <si>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</si>
  <si>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</si>
  <si>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</si>
  <si>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</si>
  <si>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W</t>
  </si>
  <si>
    <t>Re</t>
  </si>
  <si>
    <t>Ir</t>
  </si>
  <si>
    <t>Pt</t>
  </si>
  <si>
    <t>Au</t>
  </si>
  <si>
    <t>Tl</t>
  </si>
  <si>
    <t>Pb</t>
  </si>
  <si>
    <t>Th</t>
  </si>
  <si>
    <t>U</t>
  </si>
  <si>
    <t>1:20</t>
  </si>
  <si>
    <t>1:10</t>
  </si>
  <si>
    <t>1:1</t>
  </si>
  <si>
    <t>Orig Conc.</t>
  </si>
  <si>
    <t>1:1000</t>
  </si>
  <si>
    <t>1:200</t>
  </si>
  <si>
    <t>1:100</t>
  </si>
  <si>
    <t>Std. 1</t>
  </si>
  <si>
    <t>Std. 2</t>
  </si>
  <si>
    <t>Std. 3</t>
  </si>
  <si>
    <t>Std. 4</t>
  </si>
  <si>
    <t>Std. 5</t>
  </si>
  <si>
    <t>Std. 6</t>
  </si>
  <si>
    <t>Std. 7</t>
  </si>
  <si>
    <t>QC</t>
  </si>
  <si>
    <t>1:40</t>
  </si>
  <si>
    <t>Sc</t>
  </si>
  <si>
    <t>Y</t>
  </si>
  <si>
    <t>ppm</t>
  </si>
  <si>
    <t xml:space="preserve"> </t>
  </si>
  <si>
    <t>%</t>
  </si>
  <si>
    <t>May 2009</t>
  </si>
  <si>
    <t xml:space="preserve">LDP-5-C1  </t>
  </si>
  <si>
    <t>Oct 2009</t>
  </si>
  <si>
    <t xml:space="preserve">LDP-5-C1 </t>
  </si>
  <si>
    <t>May 2010</t>
  </si>
  <si>
    <t>Oct 2013</t>
  </si>
  <si>
    <t>mg/kg</t>
  </si>
  <si>
    <t>Apple Certified Value</t>
  </si>
  <si>
    <t>ug/g</t>
  </si>
  <si>
    <t>Wt. Percent</t>
  </si>
  <si>
    <t>Peach Certified Value</t>
  </si>
  <si>
    <t>NIST Peach Leaf</t>
  </si>
  <si>
    <t xml:space="preserve">NIST Apple Leaf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</si>
</sst>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1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20" fontId="1" fillId="0" borderId="2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4" fillId="5" borderId="6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164" fontId="0" fillId="2" borderId="0" xfId="0" applyNumberFormat="1" applyFill="1"/>
    <xf numFmtId="0" fontId="0" fillId="0" borderId="0" xfId="0" applyBorder="1"/>
    <xf numFmtId="0" fontId="2" fillId="3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20" fontId="1" fillId="0" borderId="0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165" fontId="5" fillId="8" borderId="9" xfId="0" applyNumberFormat="1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165" fontId="5" fillId="8" borderId="0" xfId="0" applyNumberFormat="1" applyFont="1" applyFill="1" applyAlignment="1">
      <alignment horizontal="center"/>
    </xf>
    <xf numFmtId="165" fontId="6" fillId="0" borderId="0" xfId="0" applyNumberFormat="1" applyFont="1" applyAlignment="1">
      <alignment horizontal="center"/>
    </xf>
    <xf numFmtId="165" fontId="6" fillId="8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Fill="1" applyAlignment="1">
      <alignment horizontal="center"/>
    </xf>
    <xf numFmtId="49" fontId="1" fillId="0" borderId="0" xfId="0" applyNumberFormat="1" applyFont="1" applyFill="1" applyAlignment="1">
      <alignment horizontal="center"/>
    </xf>
    <xf numFmtId="0" fontId="1" fillId="0" borderId="0" xfId="0" applyFont="1" applyFill="1"/>
    <xf numFmtId="166" fontId="1" fillId="0" borderId="0" xfId="0" applyNumberFormat="1" applyFont="1" applyFill="1" applyAlignment="1">
      <alignment horizontal="center"/>
    </xf>
    <xf numFmtId="165" fontId="7" fillId="0" borderId="0" xfId="0" applyNumberFormat="1" applyFont="1" applyAlignment="1">
      <alignment horizontal="center"/>
    </xf>
    <xf numFmtId="165" fontId="7" fillId="8" borderId="0" xfId="0" applyNumberFormat="1" applyFont="1" applyFill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166" fontId="6" fillId="8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98"/>
  <sheetViews>
    <sheetView tabSelected="1" zoomScale="85" zoomScaleNormal="85" workbookViewId="0">
      <pane ySplit="1" topLeftCell="A2" activePane="bottomLeft" state="frozen"/>
      <selection pane="bottomLeft" activeCell="BP89" sqref="BP89"/>
    </sheetView>
  </sheetViews>
  <sheetFormatPr defaultRowHeight="18.75" x14ac:dyDescent="0.3"/>
  <cols>
    <col min="1" max="1" width="24.7109375" style="52" customWidth="1"/>
    <col min="2" max="2" width="13.5703125" style="52" bestFit="1" customWidth="1"/>
    <col min="3" max="3" width="13.7109375" style="52" bestFit="1" customWidth="1"/>
    <col min="4" max="5" width="13.5703125" style="52" bestFit="1" customWidth="1"/>
    <col min="6" max="6" width="13.85546875" style="52" bestFit="1" customWidth="1"/>
    <col min="7" max="7" width="15.140625" style="52" bestFit="1" customWidth="1"/>
    <col min="8" max="8" width="10" style="52" bestFit="1" customWidth="1"/>
    <col min="9" max="9" width="9.5703125" style="52" bestFit="1" customWidth="1"/>
    <col min="10" max="11" width="12" style="52" bestFit="1" customWidth="1"/>
    <col min="12" max="13" width="11.42578125" style="52" bestFit="1" customWidth="1"/>
    <col min="14" max="14" width="12" style="52" bestFit="1" customWidth="1"/>
    <col min="15" max="18" width="11.42578125" style="52" bestFit="1" customWidth="1"/>
    <col min="19" max="19" width="13.7109375" style="52" bestFit="1" customWidth="1"/>
    <col min="20" max="20" width="10.5703125" style="52" bestFit="1" customWidth="1"/>
    <col min="21" max="21" width="9.5703125" style="52" bestFit="1" customWidth="1"/>
    <col min="22" max="22" width="10.7109375" style="52" bestFit="1" customWidth="1"/>
    <col min="23" max="23" width="10" style="52" bestFit="1" customWidth="1"/>
    <col min="24" max="24" width="9.140625" style="52" bestFit="1" customWidth="1"/>
    <col min="25" max="25" width="10" style="52" bestFit="1" customWidth="1"/>
    <col min="26" max="27" width="9.5703125" style="52" bestFit="1" customWidth="1"/>
    <col min="28" max="29" width="13.7109375" style="52" bestFit="1" customWidth="1"/>
    <col min="30" max="32" width="10.7109375" style="52" bestFit="1" customWidth="1"/>
    <col min="33" max="33" width="13.7109375" style="52" bestFit="1" customWidth="1"/>
    <col min="34" max="34" width="10.7109375" style="52" bestFit="1" customWidth="1"/>
    <col min="35" max="35" width="11.7109375" style="52" bestFit="1" customWidth="1"/>
    <col min="36" max="36" width="9.5703125" style="52" bestFit="1" customWidth="1"/>
    <col min="37" max="37" width="10.7109375" style="52" bestFit="1" customWidth="1"/>
    <col min="38" max="38" width="13.7109375" style="52" bestFit="1" customWidth="1"/>
    <col min="39" max="39" width="10.7109375" style="52" bestFit="1" customWidth="1"/>
    <col min="40" max="40" width="13.7109375" style="52" bestFit="1" customWidth="1"/>
    <col min="41" max="41" width="10.7109375" style="52" bestFit="1" customWidth="1"/>
    <col min="42" max="42" width="13.7109375" style="52" bestFit="1" customWidth="1"/>
    <col min="43" max="43" width="10.7109375" style="52" bestFit="1" customWidth="1"/>
    <col min="44" max="44" width="13.7109375" style="52" bestFit="1" customWidth="1"/>
    <col min="45" max="55" width="10.7109375" style="52" bestFit="1" customWidth="1"/>
    <col min="56" max="56" width="11.42578125" style="52" bestFit="1" customWidth="1"/>
    <col min="57" max="61" width="10.7109375" style="52" bestFit="1" customWidth="1"/>
    <col min="62" max="62" width="13.7109375" style="52" bestFit="1" customWidth="1"/>
    <col min="63" max="63" width="11.42578125" style="52" bestFit="1" customWidth="1"/>
    <col min="64" max="64" width="13" style="52" bestFit="1" customWidth="1"/>
    <col min="65" max="65" width="11.5703125" style="52" bestFit="1" customWidth="1"/>
    <col min="66" max="66" width="9.5703125" style="52" bestFit="1" customWidth="1"/>
    <col min="67" max="68" width="10.7109375" style="52" bestFit="1" customWidth="1"/>
    <col min="69" max="16384" width="9.140625" style="52"/>
  </cols>
  <sheetData>
    <row r="1" spans="1:68" s="50" customFormat="1" ht="19.5" thickBot="1" x14ac:dyDescent="0.35">
      <c r="A1" s="50" t="s">
        <v>154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62" t="s">
        <v>6</v>
      </c>
      <c r="I1" s="62" t="s">
        <v>7</v>
      </c>
      <c r="J1" s="50" t="s">
        <v>8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62" t="s">
        <v>19</v>
      </c>
      <c r="U1" s="62" t="s">
        <v>20</v>
      </c>
      <c r="V1" s="50" t="s">
        <v>21</v>
      </c>
      <c r="W1" s="50" t="s">
        <v>22</v>
      </c>
      <c r="X1" s="50" t="s">
        <v>23</v>
      </c>
      <c r="Y1" s="50" t="s">
        <v>24</v>
      </c>
      <c r="Z1" s="62" t="s">
        <v>25</v>
      </c>
      <c r="AA1" s="62" t="s">
        <v>26</v>
      </c>
      <c r="AB1" s="50" t="s">
        <v>27</v>
      </c>
      <c r="AC1" s="50" t="s">
        <v>28</v>
      </c>
      <c r="AD1" s="50" t="s">
        <v>29</v>
      </c>
      <c r="AE1" s="50" t="s">
        <v>30</v>
      </c>
      <c r="AF1" s="50" t="s">
        <v>31</v>
      </c>
      <c r="AG1" s="50" t="s">
        <v>32</v>
      </c>
      <c r="AH1" s="50" t="s">
        <v>33</v>
      </c>
      <c r="AI1" s="62" t="s">
        <v>34</v>
      </c>
      <c r="AJ1" s="62" t="s">
        <v>35</v>
      </c>
      <c r="AK1" s="50" t="s">
        <v>36</v>
      </c>
      <c r="AL1" s="50" t="s">
        <v>37</v>
      </c>
      <c r="AM1" s="50" t="s">
        <v>38</v>
      </c>
      <c r="AN1" s="50" t="s">
        <v>39</v>
      </c>
      <c r="AO1" s="50" t="s">
        <v>41</v>
      </c>
      <c r="AP1" s="50" t="s">
        <v>42</v>
      </c>
      <c r="AQ1" s="50" t="s">
        <v>43</v>
      </c>
      <c r="AR1" s="50" t="s">
        <v>44</v>
      </c>
      <c r="AS1" s="50" t="s">
        <v>45</v>
      </c>
      <c r="AT1" s="50" t="s">
        <v>46</v>
      </c>
      <c r="AU1" s="50" t="s">
        <v>47</v>
      </c>
      <c r="AV1" s="50" t="s">
        <v>48</v>
      </c>
      <c r="AW1" s="50" t="s">
        <v>49</v>
      </c>
      <c r="AX1" s="50" t="s">
        <v>50</v>
      </c>
      <c r="AY1" s="50" t="s">
        <v>51</v>
      </c>
      <c r="AZ1" s="50" t="s">
        <v>52</v>
      </c>
      <c r="BA1" s="50" t="s">
        <v>53</v>
      </c>
      <c r="BB1" s="50" t="s">
        <v>54</v>
      </c>
      <c r="BC1" s="50" t="s">
        <v>55</v>
      </c>
      <c r="BD1" s="50" t="s">
        <v>56</v>
      </c>
      <c r="BE1" s="50" t="s">
        <v>57</v>
      </c>
      <c r="BF1" s="50" t="s">
        <v>58</v>
      </c>
      <c r="BG1" s="50" t="s">
        <v>59</v>
      </c>
      <c r="BH1" s="50" t="s">
        <v>60</v>
      </c>
      <c r="BI1" s="50" t="s">
        <v>61</v>
      </c>
      <c r="BJ1" s="50" t="s">
        <v>62</v>
      </c>
      <c r="BK1" s="50" t="s">
        <v>63</v>
      </c>
      <c r="BL1" s="50" t="s">
        <v>64</v>
      </c>
      <c r="BM1" s="62" t="s">
        <v>65</v>
      </c>
      <c r="BN1" s="62" t="s">
        <v>66</v>
      </c>
      <c r="BO1" s="50" t="s">
        <v>67</v>
      </c>
      <c r="BP1" s="50" t="s">
        <v>68</v>
      </c>
    </row>
    <row r="2" spans="1:68" s="51" customFormat="1" x14ac:dyDescent="0.3">
      <c r="B2" s="51" t="s">
        <v>111</v>
      </c>
      <c r="C2" s="51" t="s">
        <v>111</v>
      </c>
      <c r="D2" s="51" t="s">
        <v>111</v>
      </c>
      <c r="E2" s="51" t="s">
        <v>111</v>
      </c>
      <c r="F2" s="51" t="s">
        <v>111</v>
      </c>
      <c r="G2" s="51" t="s">
        <v>111</v>
      </c>
      <c r="H2" s="63" t="s">
        <v>171</v>
      </c>
      <c r="I2" s="63" t="s">
        <v>171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1" t="s">
        <v>111</v>
      </c>
      <c r="S2" s="51" t="s">
        <v>111</v>
      </c>
      <c r="T2" s="63" t="s">
        <v>171</v>
      </c>
      <c r="U2" s="63" t="s">
        <v>171</v>
      </c>
      <c r="V2" s="51" t="s">
        <v>111</v>
      </c>
      <c r="W2" s="51" t="s">
        <v>111</v>
      </c>
      <c r="X2" s="51" t="s">
        <v>111</v>
      </c>
      <c r="Y2" s="51" t="s">
        <v>111</v>
      </c>
      <c r="Z2" s="63" t="s">
        <v>171</v>
      </c>
      <c r="AA2" s="63" t="s">
        <v>171</v>
      </c>
      <c r="AB2" s="51" t="s">
        <v>111</v>
      </c>
      <c r="AC2" s="51" t="s">
        <v>111</v>
      </c>
      <c r="AD2" s="51" t="s">
        <v>111</v>
      </c>
      <c r="AE2" s="51" t="s">
        <v>111</v>
      </c>
      <c r="AF2" s="51" t="s">
        <v>111</v>
      </c>
      <c r="AG2" s="51" t="s">
        <v>111</v>
      </c>
      <c r="AH2" s="51" t="s">
        <v>111</v>
      </c>
      <c r="AI2" s="63" t="s">
        <v>171</v>
      </c>
      <c r="AJ2" s="63" t="s">
        <v>171</v>
      </c>
      <c r="AK2" s="51" t="s">
        <v>111</v>
      </c>
      <c r="AL2" s="51" t="s">
        <v>111</v>
      </c>
      <c r="AM2" s="51" t="s">
        <v>111</v>
      </c>
      <c r="AN2" s="51" t="s">
        <v>111</v>
      </c>
      <c r="AO2" s="51" t="s">
        <v>111</v>
      </c>
      <c r="AP2" s="51" t="s">
        <v>111</v>
      </c>
      <c r="AQ2" s="51" t="s">
        <v>111</v>
      </c>
      <c r="AR2" s="51" t="s">
        <v>111</v>
      </c>
      <c r="AS2" s="51" t="s">
        <v>111</v>
      </c>
      <c r="AT2" s="51" t="s">
        <v>111</v>
      </c>
      <c r="AU2" s="51" t="s">
        <v>111</v>
      </c>
      <c r="AV2" s="51" t="s">
        <v>111</v>
      </c>
      <c r="AW2" s="51" t="s">
        <v>111</v>
      </c>
      <c r="AX2" s="51" t="s">
        <v>111</v>
      </c>
      <c r="AY2" s="51" t="s">
        <v>111</v>
      </c>
      <c r="AZ2" s="51" t="s">
        <v>111</v>
      </c>
      <c r="BA2" s="51" t="s">
        <v>111</v>
      </c>
      <c r="BB2" s="51" t="s">
        <v>111</v>
      </c>
      <c r="BC2" s="51" t="s">
        <v>111</v>
      </c>
      <c r="BD2" s="51" t="s">
        <v>111</v>
      </c>
      <c r="BE2" s="51" t="s">
        <v>111</v>
      </c>
      <c r="BF2" s="51" t="s">
        <v>111</v>
      </c>
      <c r="BG2" s="51" t="s">
        <v>111</v>
      </c>
      <c r="BH2" s="51" t="s">
        <v>111</v>
      </c>
      <c r="BI2" s="51" t="s">
        <v>111</v>
      </c>
      <c r="BJ2" s="51" t="s">
        <v>111</v>
      </c>
      <c r="BK2" s="51" t="s">
        <v>111</v>
      </c>
      <c r="BL2" s="51" t="s">
        <v>111</v>
      </c>
      <c r="BM2" s="63" t="s">
        <v>171</v>
      </c>
      <c r="BN2" s="63" t="s">
        <v>171</v>
      </c>
      <c r="BO2" s="51" t="s">
        <v>111</v>
      </c>
      <c r="BP2" s="51" t="s">
        <v>111</v>
      </c>
    </row>
    <row r="3" spans="1:68" x14ac:dyDescent="0.3">
      <c r="A3" s="52" t="s">
        <v>69</v>
      </c>
      <c r="B3" s="52">
        <v>1.1499999999999999</v>
      </c>
      <c r="C3" s="52">
        <v>-3.5000000000000003E-2</v>
      </c>
      <c r="D3" s="52">
        <v>0.104</v>
      </c>
      <c r="E3" s="52">
        <v>0.34200000000000003</v>
      </c>
      <c r="F3" s="52">
        <v>2.0590000000000002</v>
      </c>
      <c r="G3" s="52">
        <v>-2.96</v>
      </c>
      <c r="H3" s="64">
        <v>1</v>
      </c>
      <c r="I3" s="64">
        <v>1</v>
      </c>
      <c r="J3" s="52">
        <v>-5.0000000000000001E-3</v>
      </c>
      <c r="K3" s="52">
        <v>-0.111</v>
      </c>
      <c r="L3" s="52">
        <v>1.7999999999999999E-2</v>
      </c>
      <c r="M3" s="52">
        <v>-2.1999999999999999E-2</v>
      </c>
      <c r="N3" s="52">
        <v>2E-3</v>
      </c>
      <c r="O3" s="52">
        <v>1E-3</v>
      </c>
      <c r="P3" s="52">
        <v>3.0000000000000001E-3</v>
      </c>
      <c r="Q3" s="52">
        <v>2.1999999999999999E-2</v>
      </c>
      <c r="R3" s="52">
        <v>-3.6160000000000001</v>
      </c>
      <c r="S3" s="52">
        <v>1E-3</v>
      </c>
      <c r="T3" s="64">
        <v>1</v>
      </c>
      <c r="U3" s="64">
        <v>1</v>
      </c>
      <c r="V3" s="52">
        <v>-6.0000000000000001E-3</v>
      </c>
      <c r="W3" s="52">
        <v>-0.218</v>
      </c>
      <c r="X3" s="52">
        <v>0</v>
      </c>
      <c r="Y3" s="52">
        <v>-1E-3</v>
      </c>
      <c r="Z3" s="64">
        <v>1</v>
      </c>
      <c r="AA3" s="64">
        <v>1</v>
      </c>
      <c r="AB3" s="52">
        <v>0</v>
      </c>
      <c r="AC3" s="52">
        <v>2E-3</v>
      </c>
      <c r="AD3" s="52">
        <v>0</v>
      </c>
      <c r="AE3" s="52">
        <v>0</v>
      </c>
      <c r="AF3" s="52">
        <v>0</v>
      </c>
      <c r="AG3" s="52">
        <v>3.7999999999999999E-2</v>
      </c>
      <c r="AH3" s="52">
        <v>0</v>
      </c>
      <c r="AI3" s="64">
        <v>1</v>
      </c>
      <c r="AJ3" s="64">
        <v>1</v>
      </c>
      <c r="AK3" s="52">
        <v>3.0000000000000001E-3</v>
      </c>
      <c r="AL3" s="52">
        <v>0</v>
      </c>
      <c r="AM3" s="52">
        <v>1E-3</v>
      </c>
      <c r="AN3" s="52">
        <v>0</v>
      </c>
      <c r="AO3" s="52">
        <v>1E-3</v>
      </c>
      <c r="AP3" s="52">
        <v>0</v>
      </c>
      <c r="AQ3" s="52">
        <v>2.9000000000000001E-2</v>
      </c>
      <c r="AR3" s="52">
        <v>0</v>
      </c>
      <c r="AS3" s="52">
        <v>0</v>
      </c>
      <c r="AT3" s="52">
        <v>0</v>
      </c>
      <c r="AU3" s="52">
        <v>0</v>
      </c>
      <c r="AV3" s="52">
        <v>0</v>
      </c>
      <c r="AW3" s="52">
        <v>0</v>
      </c>
      <c r="AX3" s="52">
        <v>0</v>
      </c>
      <c r="AY3" s="52">
        <v>0</v>
      </c>
      <c r="AZ3" s="52">
        <v>0</v>
      </c>
      <c r="BA3" s="52">
        <v>0</v>
      </c>
      <c r="BB3" s="52">
        <v>0</v>
      </c>
      <c r="BC3" s="52">
        <v>0</v>
      </c>
      <c r="BD3" s="52">
        <v>0</v>
      </c>
      <c r="BE3" s="52">
        <v>0</v>
      </c>
      <c r="BF3" s="52">
        <v>0</v>
      </c>
      <c r="BG3" s="52">
        <v>0</v>
      </c>
      <c r="BH3" s="52">
        <v>0</v>
      </c>
      <c r="BI3" s="52">
        <v>0</v>
      </c>
      <c r="BJ3" s="52">
        <v>1E-3</v>
      </c>
      <c r="BK3" s="52">
        <v>0</v>
      </c>
      <c r="BL3" s="52">
        <v>1E-3</v>
      </c>
      <c r="BM3" s="64">
        <v>1</v>
      </c>
      <c r="BN3" s="64">
        <v>1</v>
      </c>
      <c r="BO3" s="52">
        <v>0</v>
      </c>
      <c r="BP3" s="52">
        <v>0</v>
      </c>
    </row>
    <row r="4" spans="1:68" x14ac:dyDescent="0.3">
      <c r="A4" s="52" t="s">
        <v>69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64">
        <v>1</v>
      </c>
      <c r="I4" s="64">
        <v>1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-3.1789999999999998</v>
      </c>
      <c r="S4" s="52">
        <v>0</v>
      </c>
      <c r="T4" s="64">
        <v>1</v>
      </c>
      <c r="U4" s="64">
        <v>1</v>
      </c>
      <c r="V4" s="52">
        <v>0</v>
      </c>
      <c r="W4" s="52">
        <v>0</v>
      </c>
      <c r="X4" s="52">
        <v>0</v>
      </c>
      <c r="Y4" s="52">
        <v>0</v>
      </c>
      <c r="Z4" s="64">
        <v>1</v>
      </c>
      <c r="AA4" s="64">
        <v>1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  <c r="AG4" s="52">
        <v>0</v>
      </c>
      <c r="AH4" s="52">
        <v>0</v>
      </c>
      <c r="AI4" s="64">
        <v>1</v>
      </c>
      <c r="AJ4" s="64">
        <v>1</v>
      </c>
      <c r="AK4" s="52">
        <v>0</v>
      </c>
      <c r="AL4" s="52">
        <v>0</v>
      </c>
      <c r="AM4" s="52">
        <v>0</v>
      </c>
      <c r="AN4" s="52">
        <v>0</v>
      </c>
      <c r="AO4" s="52">
        <v>0</v>
      </c>
      <c r="AP4" s="52">
        <v>0</v>
      </c>
      <c r="AQ4" s="52">
        <v>0</v>
      </c>
      <c r="AR4" s="52">
        <v>0</v>
      </c>
      <c r="AS4" s="52">
        <v>0</v>
      </c>
      <c r="AT4" s="52">
        <v>0</v>
      </c>
      <c r="AU4" s="52">
        <v>0</v>
      </c>
      <c r="AV4" s="52">
        <v>0</v>
      </c>
      <c r="AW4" s="52">
        <v>0</v>
      </c>
      <c r="AX4" s="52">
        <v>0</v>
      </c>
      <c r="AY4" s="52">
        <v>0</v>
      </c>
      <c r="AZ4" s="52">
        <v>0</v>
      </c>
      <c r="BA4" s="52">
        <v>0</v>
      </c>
      <c r="BB4" s="52">
        <v>0</v>
      </c>
      <c r="BC4" s="52">
        <v>0</v>
      </c>
      <c r="BD4" s="52">
        <v>0</v>
      </c>
      <c r="BE4" s="52">
        <v>0</v>
      </c>
      <c r="BF4" s="52">
        <v>0</v>
      </c>
      <c r="BG4" s="52">
        <v>0</v>
      </c>
      <c r="BH4" s="52">
        <v>0</v>
      </c>
      <c r="BI4" s="52">
        <v>0</v>
      </c>
      <c r="BJ4" s="52">
        <v>0</v>
      </c>
      <c r="BK4" s="52">
        <v>0</v>
      </c>
      <c r="BL4" s="52">
        <v>0</v>
      </c>
      <c r="BM4" s="64">
        <v>1</v>
      </c>
      <c r="BN4" s="64">
        <v>1</v>
      </c>
      <c r="BO4" s="52">
        <v>0</v>
      </c>
      <c r="BP4" s="52">
        <v>0</v>
      </c>
    </row>
    <row r="5" spans="1:68" x14ac:dyDescent="0.3">
      <c r="A5" s="53" t="s">
        <v>155</v>
      </c>
      <c r="B5" s="52">
        <v>18.440000000000001</v>
      </c>
      <c r="C5" s="52">
        <v>14.79</v>
      </c>
      <c r="D5" s="52">
        <v>22.3</v>
      </c>
      <c r="E5" s="52">
        <v>12.8</v>
      </c>
      <c r="F5" s="52">
        <v>11.29</v>
      </c>
      <c r="G5" s="52">
        <v>7.077</v>
      </c>
      <c r="H5" s="64">
        <v>0.98026000000000002</v>
      </c>
      <c r="I5" s="64">
        <v>1.00238</v>
      </c>
      <c r="J5" s="52">
        <v>8.2850000000000001</v>
      </c>
      <c r="K5" s="52">
        <v>7.2690000000000001</v>
      </c>
      <c r="L5" s="52">
        <v>0.24199999999999999</v>
      </c>
      <c r="M5" s="52">
        <v>1.359</v>
      </c>
      <c r="N5" s="52">
        <v>18.32</v>
      </c>
      <c r="O5" s="52">
        <v>0.109</v>
      </c>
      <c r="P5" s="52">
        <v>0.14199999999999999</v>
      </c>
      <c r="Q5" s="52">
        <v>4.8000000000000001E-2</v>
      </c>
      <c r="R5" s="52">
        <v>1.4E-2</v>
      </c>
      <c r="S5" s="52">
        <v>4.3999999999999997E-2</v>
      </c>
      <c r="T5" s="64">
        <v>0.97628999999999999</v>
      </c>
      <c r="U5" s="64">
        <v>0.99409999999999998</v>
      </c>
      <c r="V5" s="52">
        <v>5.3999999999999999E-2</v>
      </c>
      <c r="W5" s="52">
        <v>7.6999999999999999E-2</v>
      </c>
      <c r="X5" s="52">
        <v>0.34499999999999997</v>
      </c>
      <c r="Y5" s="52">
        <v>0.14799999999999999</v>
      </c>
      <c r="Z5" s="64">
        <v>0.99221999999999999</v>
      </c>
      <c r="AA5" s="64">
        <v>0.99970000000000003</v>
      </c>
      <c r="AB5" s="52">
        <v>4.7E-2</v>
      </c>
      <c r="AC5" s="52">
        <v>0.13700000000000001</v>
      </c>
      <c r="AD5" s="52">
        <v>1.0999999999999999E-2</v>
      </c>
      <c r="AE5" s="52">
        <v>1.0999999999999999E-2</v>
      </c>
      <c r="AF5" s="52">
        <v>8.0000000000000002E-3</v>
      </c>
      <c r="AG5" s="52">
        <v>0.50700000000000001</v>
      </c>
      <c r="AH5" s="52">
        <v>0.13300000000000001</v>
      </c>
      <c r="AI5" s="64">
        <v>0.98653000000000002</v>
      </c>
      <c r="AJ5" s="64">
        <v>1.00525</v>
      </c>
      <c r="AK5" s="52">
        <v>1.2999999999999999E-2</v>
      </c>
      <c r="AL5" s="52">
        <v>1.0999999999999999E-2</v>
      </c>
      <c r="AM5" s="52">
        <v>1.2999999999999999E-2</v>
      </c>
      <c r="AN5" s="52">
        <v>6.3E-2</v>
      </c>
      <c r="AO5" s="52">
        <v>0.63300000000000001</v>
      </c>
      <c r="AP5" s="52">
        <v>0.02</v>
      </c>
      <c r="AQ5" s="52">
        <v>1.4E-2</v>
      </c>
      <c r="AR5" s="52">
        <v>1.7999999999999999E-2</v>
      </c>
      <c r="AS5" s="52">
        <v>1.9E-2</v>
      </c>
      <c r="AT5" s="52">
        <v>1.7000000000000001E-2</v>
      </c>
      <c r="AU5" s="52">
        <v>1.7000000000000001E-2</v>
      </c>
      <c r="AV5" s="52">
        <v>1.9E-2</v>
      </c>
      <c r="AW5" s="52">
        <v>1.7000000000000001E-2</v>
      </c>
      <c r="AX5" s="52">
        <v>1.7000000000000001E-2</v>
      </c>
      <c r="AY5" s="52">
        <v>1.7999999999999999E-2</v>
      </c>
      <c r="AZ5" s="52">
        <v>1.7000000000000001E-2</v>
      </c>
      <c r="BA5" s="52">
        <v>1.7999999999999999E-2</v>
      </c>
      <c r="BB5" s="52">
        <v>1.7999999999999999E-2</v>
      </c>
      <c r="BC5" s="52">
        <v>1.7999999999999999E-2</v>
      </c>
      <c r="BD5" s="52">
        <v>0.01</v>
      </c>
      <c r="BE5" s="52">
        <v>6.4000000000000001E-2</v>
      </c>
      <c r="BF5" s="52">
        <v>6.6000000000000003E-2</v>
      </c>
      <c r="BG5" s="52">
        <v>6.7000000000000004E-2</v>
      </c>
      <c r="BH5" s="52">
        <v>8.0000000000000002E-3</v>
      </c>
      <c r="BI5" s="52">
        <v>0.01</v>
      </c>
      <c r="BJ5" s="52">
        <v>6.0000000000000001E-3</v>
      </c>
      <c r="BK5" s="52">
        <v>0.40200000000000002</v>
      </c>
      <c r="BL5" s="52">
        <v>6.9000000000000006E-2</v>
      </c>
      <c r="BM5" s="64">
        <v>0.98517999999999994</v>
      </c>
      <c r="BN5" s="64">
        <v>0.99424999999999997</v>
      </c>
      <c r="BO5" s="52">
        <v>0.02</v>
      </c>
      <c r="BP5" s="52">
        <v>0.08</v>
      </c>
    </row>
    <row r="6" spans="1:68" x14ac:dyDescent="0.3">
      <c r="A6" s="53" t="s">
        <v>156</v>
      </c>
      <c r="B6" s="52">
        <v>45.84</v>
      </c>
      <c r="C6" s="52">
        <v>73.03</v>
      </c>
      <c r="D6" s="52">
        <v>78.67</v>
      </c>
      <c r="E6" s="52">
        <v>39.76</v>
      </c>
      <c r="F6" s="52">
        <v>81.55</v>
      </c>
      <c r="G6" s="52">
        <v>39.159999999999997</v>
      </c>
      <c r="H6" s="64">
        <v>1.00298</v>
      </c>
      <c r="I6" s="64">
        <v>0.99351</v>
      </c>
      <c r="J6" s="52">
        <v>41.34</v>
      </c>
      <c r="K6" s="52">
        <v>34.799999999999997</v>
      </c>
      <c r="L6" s="52">
        <v>0.84</v>
      </c>
      <c r="M6" s="52">
        <v>6.68</v>
      </c>
      <c r="N6" s="52">
        <v>85.76</v>
      </c>
      <c r="O6" s="52">
        <v>0.64700000000000002</v>
      </c>
      <c r="P6" s="52">
        <v>0.71299999999999997</v>
      </c>
      <c r="Q6" s="52">
        <v>0.64400000000000002</v>
      </c>
      <c r="R6" s="52">
        <v>0.30099999999999999</v>
      </c>
      <c r="S6" s="52">
        <v>0.22700000000000001</v>
      </c>
      <c r="T6" s="64">
        <v>1.01248</v>
      </c>
      <c r="U6" s="64">
        <v>0.99141999999999997</v>
      </c>
      <c r="V6" s="52">
        <v>0.41699999999999998</v>
      </c>
      <c r="W6" s="52">
        <v>0.46400000000000002</v>
      </c>
      <c r="X6" s="52">
        <v>1.702</v>
      </c>
      <c r="Y6" s="52">
        <v>0.69</v>
      </c>
      <c r="Z6" s="64">
        <v>1.00593</v>
      </c>
      <c r="AA6" s="64">
        <v>0.98856999999999995</v>
      </c>
      <c r="AB6" s="52">
        <v>0.22900000000000001</v>
      </c>
      <c r="AC6" s="52">
        <v>0.70199999999999996</v>
      </c>
      <c r="AD6" s="52">
        <v>5.1999999999999998E-2</v>
      </c>
      <c r="AE6" s="52">
        <v>5.3999999999999999E-2</v>
      </c>
      <c r="AF6" s="52">
        <v>0.04</v>
      </c>
      <c r="AG6" s="52">
        <v>1.7050000000000001</v>
      </c>
      <c r="AH6" s="52">
        <v>0.69499999999999995</v>
      </c>
      <c r="AI6" s="64">
        <v>1.00973</v>
      </c>
      <c r="AJ6" s="64">
        <v>0.99687000000000003</v>
      </c>
      <c r="AK6" s="52">
        <v>5.1999999999999998E-2</v>
      </c>
      <c r="AL6" s="52">
        <v>5.6000000000000001E-2</v>
      </c>
      <c r="AM6" s="52">
        <v>5.5E-2</v>
      </c>
      <c r="AN6" s="52">
        <v>0.312</v>
      </c>
      <c r="AO6" s="52">
        <v>3.13</v>
      </c>
      <c r="AP6" s="52">
        <v>9.1999999999999998E-2</v>
      </c>
      <c r="AQ6" s="52">
        <v>8.1000000000000003E-2</v>
      </c>
      <c r="AR6" s="52">
        <v>0.09</v>
      </c>
      <c r="AS6" s="52">
        <v>8.6999999999999994E-2</v>
      </c>
      <c r="AT6" s="52">
        <v>8.8999999999999996E-2</v>
      </c>
      <c r="AU6" s="52">
        <v>8.7999999999999995E-2</v>
      </c>
      <c r="AV6" s="52">
        <v>8.5999999999999993E-2</v>
      </c>
      <c r="AW6" s="52">
        <v>8.7999999999999995E-2</v>
      </c>
      <c r="AX6" s="52">
        <v>8.8999999999999996E-2</v>
      </c>
      <c r="AY6" s="52">
        <v>8.8999999999999996E-2</v>
      </c>
      <c r="AZ6" s="52">
        <v>0.09</v>
      </c>
      <c r="BA6" s="52">
        <v>8.8999999999999996E-2</v>
      </c>
      <c r="BB6" s="52">
        <v>8.6999999999999994E-2</v>
      </c>
      <c r="BC6" s="52">
        <v>8.7999999999999995E-2</v>
      </c>
      <c r="BD6" s="52">
        <v>4.7E-2</v>
      </c>
      <c r="BE6" s="52">
        <v>0.311</v>
      </c>
      <c r="BF6" s="52">
        <v>0.33500000000000002</v>
      </c>
      <c r="BG6" s="52">
        <v>0.33100000000000002</v>
      </c>
      <c r="BH6" s="52">
        <v>4.2000000000000003E-2</v>
      </c>
      <c r="BI6" s="52">
        <v>4.4999999999999998E-2</v>
      </c>
      <c r="BJ6" s="52">
        <v>1.0999999999999999E-2</v>
      </c>
      <c r="BK6" s="52">
        <v>2.0070000000000001</v>
      </c>
      <c r="BL6" s="52">
        <v>0.33500000000000002</v>
      </c>
      <c r="BM6" s="64">
        <v>0.99560000000000004</v>
      </c>
      <c r="BN6" s="64">
        <v>0.98902999999999996</v>
      </c>
      <c r="BO6" s="52">
        <v>8.8999999999999996E-2</v>
      </c>
      <c r="BP6" s="52">
        <v>0.39900000000000002</v>
      </c>
    </row>
    <row r="7" spans="1:68" x14ac:dyDescent="0.3">
      <c r="A7" s="53" t="s">
        <v>157</v>
      </c>
      <c r="B7" s="52">
        <v>95.47</v>
      </c>
      <c r="C7" s="52">
        <v>145</v>
      </c>
      <c r="D7" s="52">
        <v>163</v>
      </c>
      <c r="E7" s="52">
        <v>72.64</v>
      </c>
      <c r="F7" s="52">
        <v>160.19999999999999</v>
      </c>
      <c r="G7" s="52">
        <v>93.09</v>
      </c>
      <c r="H7" s="64">
        <v>1.0284199999999999</v>
      </c>
      <c r="I7" s="64">
        <v>1.00003</v>
      </c>
      <c r="J7" s="52">
        <v>81.650000000000006</v>
      </c>
      <c r="K7" s="52">
        <v>68.12</v>
      </c>
      <c r="L7" s="52">
        <v>1.577</v>
      </c>
      <c r="M7" s="52">
        <v>13.22</v>
      </c>
      <c r="N7" s="52">
        <v>169.7</v>
      </c>
      <c r="O7" s="52">
        <v>1.3220000000000001</v>
      </c>
      <c r="P7" s="52">
        <v>1.5029999999999999</v>
      </c>
      <c r="Q7" s="52">
        <v>1.3919999999999999</v>
      </c>
      <c r="R7" s="52">
        <v>1.5449999999999999</v>
      </c>
      <c r="S7" s="52">
        <v>0.44600000000000001</v>
      </c>
      <c r="T7" s="64">
        <v>1.02058</v>
      </c>
      <c r="U7" s="64">
        <v>0.99248999999999998</v>
      </c>
      <c r="V7" s="52">
        <v>0.68</v>
      </c>
      <c r="W7" s="52">
        <v>0.73099999999999998</v>
      </c>
      <c r="X7" s="52">
        <v>3.3769999999999998</v>
      </c>
      <c r="Y7" s="52">
        <v>1.3720000000000001</v>
      </c>
      <c r="Z7" s="64">
        <v>1.0321800000000001</v>
      </c>
      <c r="AA7" s="64">
        <v>1.0018</v>
      </c>
      <c r="AB7" s="52">
        <v>0.45600000000000002</v>
      </c>
      <c r="AC7" s="52">
        <v>1.41</v>
      </c>
      <c r="AD7" s="52">
        <v>0.109</v>
      </c>
      <c r="AE7" s="52">
        <v>0.105</v>
      </c>
      <c r="AF7" s="52">
        <v>7.8E-2</v>
      </c>
      <c r="AG7" s="52">
        <v>4.4059999999999997</v>
      </c>
      <c r="AH7" s="52">
        <v>1.3460000000000001</v>
      </c>
      <c r="AI7" s="64">
        <v>1.02867</v>
      </c>
      <c r="AJ7" s="64">
        <v>1.00448</v>
      </c>
      <c r="AK7" s="52">
        <v>0.104</v>
      </c>
      <c r="AL7" s="52">
        <v>0.107</v>
      </c>
      <c r="AM7" s="52">
        <v>0.108</v>
      </c>
      <c r="AN7" s="52">
        <v>0.61899999999999999</v>
      </c>
      <c r="AO7" s="52">
        <v>6.2240000000000002</v>
      </c>
      <c r="AP7" s="52">
        <v>0.184</v>
      </c>
      <c r="AQ7" s="52">
        <v>0.17100000000000001</v>
      </c>
      <c r="AR7" s="52">
        <v>0.17799999999999999</v>
      </c>
      <c r="AS7" s="52">
        <v>0.17599999999999999</v>
      </c>
      <c r="AT7" s="52">
        <v>0.16700000000000001</v>
      </c>
      <c r="AU7" s="52">
        <v>0.17699999999999999</v>
      </c>
      <c r="AV7" s="52">
        <v>0.16900000000000001</v>
      </c>
      <c r="AW7" s="52">
        <v>0.17399999999999999</v>
      </c>
      <c r="AX7" s="52">
        <v>0.17299999999999999</v>
      </c>
      <c r="AY7" s="52">
        <v>0.17399999999999999</v>
      </c>
      <c r="AZ7" s="52">
        <v>0.17199999999999999</v>
      </c>
      <c r="BA7" s="52">
        <v>0.17399999999999999</v>
      </c>
      <c r="BB7" s="52">
        <v>0.17499999999999999</v>
      </c>
      <c r="BC7" s="52">
        <v>0.17499999999999999</v>
      </c>
      <c r="BD7" s="52">
        <v>9.2999999999999999E-2</v>
      </c>
      <c r="BE7" s="52">
        <v>0.61799999999999999</v>
      </c>
      <c r="BF7" s="52">
        <v>0.64800000000000002</v>
      </c>
      <c r="BG7" s="52">
        <v>0.65800000000000003</v>
      </c>
      <c r="BH7" s="52">
        <v>8.2000000000000003E-2</v>
      </c>
      <c r="BI7" s="52">
        <v>9.0999999999999998E-2</v>
      </c>
      <c r="BJ7" s="52">
        <v>0.03</v>
      </c>
      <c r="BK7" s="52">
        <v>3.976</v>
      </c>
      <c r="BL7" s="52">
        <v>0.67</v>
      </c>
      <c r="BM7" s="64">
        <v>1.0027999999999999</v>
      </c>
      <c r="BN7" s="64">
        <v>0.99617</v>
      </c>
      <c r="BO7" s="52">
        <v>0.17699999999999999</v>
      </c>
      <c r="BP7" s="52">
        <v>0.79100000000000004</v>
      </c>
    </row>
    <row r="8" spans="1:68" x14ac:dyDescent="0.3">
      <c r="A8" s="53" t="s">
        <v>151</v>
      </c>
      <c r="B8" s="52">
        <v>380.1</v>
      </c>
      <c r="C8" s="52">
        <v>769.4</v>
      </c>
      <c r="D8" s="52">
        <v>757.9</v>
      </c>
      <c r="E8" s="52">
        <v>339.3</v>
      </c>
      <c r="F8" s="52">
        <v>736.5</v>
      </c>
      <c r="G8" s="52">
        <v>457.5</v>
      </c>
      <c r="H8" s="64">
        <v>1.05447</v>
      </c>
      <c r="I8" s="64">
        <v>1.0070600000000001</v>
      </c>
      <c r="J8" s="52">
        <v>447.2</v>
      </c>
      <c r="K8" s="52">
        <v>331.1</v>
      </c>
      <c r="L8" s="52">
        <v>7.3730000000000002</v>
      </c>
      <c r="M8" s="52">
        <v>64.209999999999994</v>
      </c>
      <c r="N8" s="52">
        <v>851.1</v>
      </c>
      <c r="O8" s="52">
        <v>6.5750000000000002</v>
      </c>
      <c r="P8" s="52">
        <v>7.0679999999999996</v>
      </c>
      <c r="Q8" s="52">
        <v>6.944</v>
      </c>
      <c r="R8" s="52">
        <v>9.859</v>
      </c>
      <c r="S8" s="52">
        <v>2.2240000000000002</v>
      </c>
      <c r="T8" s="64">
        <v>1.0457799999999999</v>
      </c>
      <c r="U8" s="64">
        <v>0.98828000000000005</v>
      </c>
      <c r="V8" s="52">
        <v>3.22</v>
      </c>
      <c r="W8" s="52">
        <v>3.3450000000000002</v>
      </c>
      <c r="X8" s="52">
        <v>16.41</v>
      </c>
      <c r="Y8" s="52">
        <v>6.71</v>
      </c>
      <c r="Z8" s="64">
        <v>1.0676000000000001</v>
      </c>
      <c r="AA8" s="64">
        <v>1.0121800000000001</v>
      </c>
      <c r="AB8" s="52">
        <v>2.2090000000000001</v>
      </c>
      <c r="AC8" s="52">
        <v>6.9370000000000003</v>
      </c>
      <c r="AD8" s="52">
        <v>0.51100000000000001</v>
      </c>
      <c r="AE8" s="52">
        <v>0.51600000000000001</v>
      </c>
      <c r="AF8" s="52">
        <v>0.41299999999999998</v>
      </c>
      <c r="AG8" s="52">
        <v>18.73</v>
      </c>
      <c r="AH8" s="52">
        <v>6.7089999999999996</v>
      </c>
      <c r="AI8" s="64">
        <v>1.04695</v>
      </c>
      <c r="AJ8" s="64">
        <v>0.99675000000000002</v>
      </c>
      <c r="AK8" s="52">
        <v>0.503</v>
      </c>
      <c r="AL8" s="52">
        <v>0.49199999999999999</v>
      </c>
      <c r="AM8" s="52">
        <v>0.53500000000000003</v>
      </c>
      <c r="AN8" s="52">
        <v>3.08</v>
      </c>
      <c r="AO8" s="52">
        <v>30.34</v>
      </c>
      <c r="AP8" s="52">
        <v>0.88700000000000001</v>
      </c>
      <c r="AQ8" s="52">
        <v>0.872</v>
      </c>
      <c r="AR8" s="52">
        <v>0.872</v>
      </c>
      <c r="AS8" s="52">
        <v>0.875</v>
      </c>
      <c r="AT8" s="52">
        <v>0.874</v>
      </c>
      <c r="AU8" s="52">
        <v>0.85799999999999998</v>
      </c>
      <c r="AV8" s="52">
        <v>0.85399999999999998</v>
      </c>
      <c r="AW8" s="52">
        <v>0.86599999999999999</v>
      </c>
      <c r="AX8" s="52">
        <v>0.85099999999999998</v>
      </c>
      <c r="AY8" s="52">
        <v>0.86799999999999999</v>
      </c>
      <c r="AZ8" s="52">
        <v>0.85399999999999998</v>
      </c>
      <c r="BA8" s="52">
        <v>0.86899999999999999</v>
      </c>
      <c r="BB8" s="52">
        <v>0.86</v>
      </c>
      <c r="BC8" s="52">
        <v>0.86499999999999999</v>
      </c>
      <c r="BD8" s="52">
        <v>0.47799999999999998</v>
      </c>
      <c r="BE8" s="52">
        <v>3.0779999999999998</v>
      </c>
      <c r="BF8" s="52">
        <v>3.2719999999999998</v>
      </c>
      <c r="BG8" s="52">
        <v>3.2909999999999999</v>
      </c>
      <c r="BH8" s="52">
        <v>0.41399999999999998</v>
      </c>
      <c r="BI8" s="52">
        <v>0.46200000000000002</v>
      </c>
      <c r="BJ8" s="52">
        <v>0.48599999999999999</v>
      </c>
      <c r="BK8" s="52">
        <v>19.52</v>
      </c>
      <c r="BL8" s="52">
        <v>3.2509999999999999</v>
      </c>
      <c r="BM8" s="64">
        <v>1.01678</v>
      </c>
      <c r="BN8" s="64">
        <v>0.98682000000000003</v>
      </c>
      <c r="BO8" s="52">
        <v>0.86799999999999999</v>
      </c>
      <c r="BP8" s="52">
        <v>3.9060000000000001</v>
      </c>
    </row>
    <row r="9" spans="1:68" x14ac:dyDescent="0.3">
      <c r="A9" s="53" t="s">
        <v>152</v>
      </c>
      <c r="B9" s="52">
        <v>749</v>
      </c>
      <c r="C9" s="52">
        <v>1548</v>
      </c>
      <c r="D9" s="52">
        <v>1507</v>
      </c>
      <c r="E9" s="52">
        <v>682.4</v>
      </c>
      <c r="F9" s="52">
        <v>1493</v>
      </c>
      <c r="G9" s="52">
        <v>881.2</v>
      </c>
      <c r="H9" s="64">
        <v>1.0884799999999999</v>
      </c>
      <c r="I9" s="64">
        <v>1.0165599999999999</v>
      </c>
      <c r="J9" s="52">
        <v>907.2</v>
      </c>
      <c r="K9" s="52">
        <v>671.4</v>
      </c>
      <c r="L9" s="52">
        <v>14.86</v>
      </c>
      <c r="M9" s="52">
        <v>140.69999999999999</v>
      </c>
      <c r="N9" s="52">
        <v>1656</v>
      </c>
      <c r="O9" s="52">
        <v>13.38</v>
      </c>
      <c r="P9" s="52">
        <v>14.32</v>
      </c>
      <c r="Q9" s="52">
        <v>14.07</v>
      </c>
      <c r="R9" s="52">
        <v>13.69</v>
      </c>
      <c r="S9" s="52">
        <v>4.49</v>
      </c>
      <c r="T9" s="64">
        <v>1.07524</v>
      </c>
      <c r="U9" s="64">
        <v>1.0000100000000001</v>
      </c>
      <c r="V9" s="52">
        <v>6.46</v>
      </c>
      <c r="W9" s="52">
        <v>6.702</v>
      </c>
      <c r="X9" s="52">
        <v>33.340000000000003</v>
      </c>
      <c r="Y9" s="52">
        <v>13.64</v>
      </c>
      <c r="Z9" s="64">
        <v>1.0868800000000001</v>
      </c>
      <c r="AA9" s="64">
        <v>1.01698</v>
      </c>
      <c r="AB9" s="52">
        <v>4.5590000000000002</v>
      </c>
      <c r="AC9" s="52">
        <v>14.18</v>
      </c>
      <c r="AD9" s="52">
        <v>1.0549999999999999</v>
      </c>
      <c r="AE9" s="52">
        <v>1.0629999999999999</v>
      </c>
      <c r="AF9" s="52">
        <v>0.84499999999999997</v>
      </c>
      <c r="AG9" s="52">
        <v>46.17</v>
      </c>
      <c r="AH9" s="52">
        <v>13.66</v>
      </c>
      <c r="AI9" s="64">
        <v>1.06595</v>
      </c>
      <c r="AJ9" s="64">
        <v>0.99863999999999997</v>
      </c>
      <c r="AK9" s="52">
        <v>1.0029999999999999</v>
      </c>
      <c r="AL9" s="52">
        <v>1.0069999999999999</v>
      </c>
      <c r="AM9" s="52">
        <v>1.0329999999999999</v>
      </c>
      <c r="AN9" s="52">
        <v>6.2220000000000004</v>
      </c>
      <c r="AO9" s="52">
        <v>61.28</v>
      </c>
      <c r="AP9" s="52">
        <v>1.796</v>
      </c>
      <c r="AQ9" s="52">
        <v>1.778</v>
      </c>
      <c r="AR9" s="52">
        <v>1.79</v>
      </c>
      <c r="AS9" s="52">
        <v>1.7809999999999999</v>
      </c>
      <c r="AT9" s="52">
        <v>1.778</v>
      </c>
      <c r="AU9" s="52">
        <v>1.7629999999999999</v>
      </c>
      <c r="AV9" s="52">
        <v>1.752</v>
      </c>
      <c r="AW9" s="52">
        <v>1.768</v>
      </c>
      <c r="AX9" s="52">
        <v>1.754</v>
      </c>
      <c r="AY9" s="52">
        <v>1.7749999999999999</v>
      </c>
      <c r="AZ9" s="52">
        <v>1.7509999999999999</v>
      </c>
      <c r="BA9" s="52">
        <v>1.7689999999999999</v>
      </c>
      <c r="BB9" s="52">
        <v>1.7549999999999999</v>
      </c>
      <c r="BC9" s="52">
        <v>1.784</v>
      </c>
      <c r="BD9" s="52">
        <v>0.97899999999999998</v>
      </c>
      <c r="BE9" s="52">
        <v>6.4029999999999996</v>
      </c>
      <c r="BF9" s="52">
        <v>6.6509999999999998</v>
      </c>
      <c r="BG9" s="52">
        <v>6.6970000000000001</v>
      </c>
      <c r="BH9" s="52">
        <v>0.81499999999999995</v>
      </c>
      <c r="BI9" s="52">
        <v>0.91100000000000003</v>
      </c>
      <c r="BJ9" s="52">
        <v>0.874</v>
      </c>
      <c r="BK9" s="52">
        <v>39.47</v>
      </c>
      <c r="BL9" s="52">
        <v>6.6790000000000003</v>
      </c>
      <c r="BM9" s="64">
        <v>1.0284599999999999</v>
      </c>
      <c r="BN9" s="64">
        <v>0.98087000000000002</v>
      </c>
      <c r="BO9" s="52">
        <v>1.7709999999999999</v>
      </c>
      <c r="BP9" s="52">
        <v>7.952</v>
      </c>
    </row>
    <row r="10" spans="1:68" x14ac:dyDescent="0.3">
      <c r="A10" s="53" t="s">
        <v>153</v>
      </c>
      <c r="B10" s="52">
        <v>6428</v>
      </c>
      <c r="C10" s="52">
        <v>13630</v>
      </c>
      <c r="D10" s="52">
        <v>13180</v>
      </c>
      <c r="E10" s="52">
        <v>6463</v>
      </c>
      <c r="F10" s="52">
        <v>13250</v>
      </c>
      <c r="G10" s="52">
        <v>8155</v>
      </c>
      <c r="H10" s="64">
        <v>1.2299</v>
      </c>
      <c r="I10" s="64">
        <v>1.1201300000000001</v>
      </c>
      <c r="J10" s="52">
        <v>8153</v>
      </c>
      <c r="K10" s="52">
        <v>6484</v>
      </c>
      <c r="L10" s="52">
        <v>132</v>
      </c>
      <c r="M10" s="52">
        <v>1285</v>
      </c>
      <c r="N10" s="52">
        <v>14270</v>
      </c>
      <c r="O10" s="52">
        <v>131.19999999999999</v>
      </c>
      <c r="P10" s="52">
        <v>131.69999999999999</v>
      </c>
      <c r="Q10" s="52">
        <v>131.9</v>
      </c>
      <c r="R10" s="52">
        <v>132.5</v>
      </c>
      <c r="S10" s="52">
        <v>42.66</v>
      </c>
      <c r="T10" s="64">
        <v>1.1010599999999999</v>
      </c>
      <c r="U10" s="64">
        <v>1.0179800000000001</v>
      </c>
      <c r="V10" s="52">
        <v>63.09</v>
      </c>
      <c r="W10" s="52">
        <v>63.06</v>
      </c>
      <c r="X10" s="52">
        <v>322</v>
      </c>
      <c r="Y10" s="52">
        <v>129.30000000000001</v>
      </c>
      <c r="Z10" s="64">
        <v>1.2475099999999999</v>
      </c>
      <c r="AA10" s="64">
        <v>1.1266700000000001</v>
      </c>
      <c r="AB10" s="52">
        <v>41.66</v>
      </c>
      <c r="AC10" s="52">
        <v>129.9</v>
      </c>
      <c r="AD10" s="52">
        <v>9.9039999999999999</v>
      </c>
      <c r="AE10" s="52">
        <v>9.9030000000000005</v>
      </c>
      <c r="AF10" s="52">
        <v>9.93</v>
      </c>
      <c r="AG10" s="52">
        <v>407.8</v>
      </c>
      <c r="AH10" s="52">
        <v>131.6</v>
      </c>
      <c r="AI10" s="64">
        <v>1.09144</v>
      </c>
      <c r="AJ10" s="64">
        <v>0.99773999999999996</v>
      </c>
      <c r="AK10" s="52">
        <v>9.9090000000000007</v>
      </c>
      <c r="AL10" s="52">
        <v>9.91</v>
      </c>
      <c r="AM10" s="52">
        <v>9.9049999999999994</v>
      </c>
      <c r="AN10" s="52">
        <v>63.41</v>
      </c>
      <c r="AO10" s="52">
        <v>649.1</v>
      </c>
      <c r="AP10" s="52">
        <v>17.68</v>
      </c>
      <c r="AQ10" s="52">
        <v>17.68</v>
      </c>
      <c r="AR10" s="52">
        <v>17.68</v>
      </c>
      <c r="AS10" s="52">
        <v>17.68</v>
      </c>
      <c r="AT10" s="52">
        <v>17.68</v>
      </c>
      <c r="AU10" s="52">
        <v>17.690000000000001</v>
      </c>
      <c r="AV10" s="52">
        <v>17.690000000000001</v>
      </c>
      <c r="AW10" s="52">
        <v>17.690000000000001</v>
      </c>
      <c r="AX10" s="52">
        <v>17.690000000000001</v>
      </c>
      <c r="AY10" s="52">
        <v>17.690000000000001</v>
      </c>
      <c r="AZ10" s="52">
        <v>17.690000000000001</v>
      </c>
      <c r="BA10" s="52">
        <v>17.690000000000001</v>
      </c>
      <c r="BB10" s="52">
        <v>17.690000000000001</v>
      </c>
      <c r="BC10" s="52">
        <v>17.68</v>
      </c>
      <c r="BD10" s="52">
        <v>9.9130000000000003</v>
      </c>
      <c r="BE10" s="52">
        <v>65.02</v>
      </c>
      <c r="BF10" s="52">
        <v>66.45</v>
      </c>
      <c r="BG10" s="52">
        <v>66.45</v>
      </c>
      <c r="BH10" s="52">
        <v>9.9329999999999998</v>
      </c>
      <c r="BI10" s="52">
        <v>9.9209999999999994</v>
      </c>
      <c r="BJ10" s="52">
        <v>9.9239999999999995</v>
      </c>
      <c r="BK10" s="52">
        <v>421.9</v>
      </c>
      <c r="BL10" s="52">
        <v>65.34</v>
      </c>
      <c r="BM10" s="64">
        <v>1.0230699999999999</v>
      </c>
      <c r="BN10" s="64">
        <v>0.98233999999999999</v>
      </c>
      <c r="BO10" s="52">
        <v>17.690000000000001</v>
      </c>
      <c r="BP10" s="52">
        <v>83.6</v>
      </c>
    </row>
    <row r="11" spans="1:68" x14ac:dyDescent="0.3">
      <c r="A11" s="52" t="s">
        <v>70</v>
      </c>
      <c r="B11" s="52">
        <v>0.38800000000000001</v>
      </c>
      <c r="C11" s="52">
        <v>6.0000000000000001E-3</v>
      </c>
      <c r="D11" s="52">
        <v>-7.1999999999999995E-2</v>
      </c>
      <c r="E11" s="52">
        <v>-3.581</v>
      </c>
      <c r="F11" s="52">
        <v>-4.0990000000000002</v>
      </c>
      <c r="G11" s="52">
        <v>-1.542</v>
      </c>
      <c r="H11" s="64">
        <v>1.09579</v>
      </c>
      <c r="I11" s="64">
        <v>1.03287</v>
      </c>
      <c r="J11" s="52">
        <v>0.02</v>
      </c>
      <c r="K11" s="52">
        <v>-0.03</v>
      </c>
      <c r="L11" s="52">
        <v>-0.01</v>
      </c>
      <c r="M11" s="52">
        <v>-0.05</v>
      </c>
      <c r="N11" s="52">
        <v>0.17799999999999999</v>
      </c>
      <c r="O11" s="52">
        <v>-1E-3</v>
      </c>
      <c r="P11" s="52">
        <v>-1E-3</v>
      </c>
      <c r="Q11" s="52">
        <v>-2E-3</v>
      </c>
      <c r="R11" s="52">
        <v>-4.4169999999999998</v>
      </c>
      <c r="S11" s="52">
        <v>0</v>
      </c>
      <c r="T11" s="64">
        <v>1.1077900000000001</v>
      </c>
      <c r="U11" s="64">
        <v>1.01139</v>
      </c>
      <c r="V11" s="52">
        <v>1.0999999999999999E-2</v>
      </c>
      <c r="W11" s="52">
        <v>-8.2000000000000003E-2</v>
      </c>
      <c r="X11" s="52">
        <v>1.9E-2</v>
      </c>
      <c r="Y11" s="52">
        <v>-1.2E-2</v>
      </c>
      <c r="Z11" s="64">
        <v>1.1150899999999999</v>
      </c>
      <c r="AA11" s="64">
        <v>1.0272300000000001</v>
      </c>
      <c r="AB11" s="52">
        <v>1E-3</v>
      </c>
      <c r="AC11" s="52">
        <v>0.47699999999999998</v>
      </c>
      <c r="AD11" s="52">
        <v>0</v>
      </c>
      <c r="AE11" s="52">
        <v>0</v>
      </c>
      <c r="AF11" s="52">
        <v>1E-3</v>
      </c>
      <c r="AG11" s="52">
        <v>5.0229999999999997</v>
      </c>
      <c r="AH11" s="52">
        <v>1E-3</v>
      </c>
      <c r="AI11" s="64">
        <v>1.07751</v>
      </c>
      <c r="AJ11" s="64">
        <v>1.0266200000000001</v>
      </c>
      <c r="AK11" s="52">
        <v>-4.0000000000000001E-3</v>
      </c>
      <c r="AL11" s="52">
        <v>0</v>
      </c>
      <c r="AM11" s="52">
        <v>1E-3</v>
      </c>
      <c r="AN11" s="52">
        <v>3.0000000000000001E-3</v>
      </c>
      <c r="AO11" s="52">
        <v>4.0000000000000001E-3</v>
      </c>
      <c r="AP11" s="52">
        <v>0</v>
      </c>
      <c r="AQ11" s="52">
        <v>-1.2999999999999999E-2</v>
      </c>
      <c r="AR11" s="52">
        <v>0</v>
      </c>
      <c r="AS11" s="52">
        <v>0</v>
      </c>
      <c r="AT11" s="52">
        <v>0</v>
      </c>
      <c r="AU11" s="52">
        <v>0</v>
      </c>
      <c r="AV11" s="52">
        <v>0</v>
      </c>
      <c r="AW11" s="52">
        <v>0</v>
      </c>
      <c r="AX11" s="52">
        <v>0</v>
      </c>
      <c r="AY11" s="52">
        <v>0</v>
      </c>
      <c r="AZ11" s="52">
        <v>0</v>
      </c>
      <c r="BA11" s="52">
        <v>0</v>
      </c>
      <c r="BB11" s="52">
        <v>0</v>
      </c>
      <c r="BC11" s="52">
        <v>0</v>
      </c>
      <c r="BD11" s="52">
        <v>0</v>
      </c>
      <c r="BE11" s="52">
        <v>7.4999999999999997E-2</v>
      </c>
      <c r="BF11" s="52">
        <v>1E-3</v>
      </c>
      <c r="BG11" s="52">
        <v>1E-3</v>
      </c>
      <c r="BH11" s="52">
        <v>1E-3</v>
      </c>
      <c r="BI11" s="52">
        <v>1E-3</v>
      </c>
      <c r="BJ11" s="52">
        <v>1.4999999999999999E-2</v>
      </c>
      <c r="BK11" s="52">
        <v>6.0000000000000001E-3</v>
      </c>
      <c r="BL11" s="52">
        <v>2E-3</v>
      </c>
      <c r="BM11" s="64">
        <v>1.03793</v>
      </c>
      <c r="BN11" s="64">
        <v>1.0175000000000001</v>
      </c>
      <c r="BO11" s="52">
        <v>0</v>
      </c>
      <c r="BP11" s="52">
        <v>2E-3</v>
      </c>
    </row>
    <row r="12" spans="1:68" x14ac:dyDescent="0.3">
      <c r="A12" s="52" t="s">
        <v>71</v>
      </c>
      <c r="B12" s="52">
        <v>373.3</v>
      </c>
      <c r="C12" s="52">
        <v>756.6</v>
      </c>
      <c r="D12" s="52">
        <v>755.4</v>
      </c>
      <c r="E12" s="52">
        <v>324.2</v>
      </c>
      <c r="F12" s="52">
        <v>735.4</v>
      </c>
      <c r="G12" s="52">
        <v>439.2</v>
      </c>
      <c r="H12" s="64">
        <v>1.1596599999999999</v>
      </c>
      <c r="I12" s="64">
        <v>1.0988899999999999</v>
      </c>
      <c r="J12" s="52">
        <v>448</v>
      </c>
      <c r="K12" s="52">
        <v>317.10000000000002</v>
      </c>
      <c r="L12" s="52">
        <v>7.0039999999999996</v>
      </c>
      <c r="M12" s="52">
        <v>61.3</v>
      </c>
      <c r="N12" s="52">
        <v>855.8</v>
      </c>
      <c r="O12" s="52">
        <v>6.4189999999999996</v>
      </c>
      <c r="P12" s="52">
        <v>6.9690000000000003</v>
      </c>
      <c r="Q12" s="52">
        <v>6.8550000000000004</v>
      </c>
      <c r="R12" s="52">
        <v>9.4909999999999997</v>
      </c>
      <c r="S12" s="52">
        <v>2.1930000000000001</v>
      </c>
      <c r="T12" s="64">
        <v>1.1736599999999999</v>
      </c>
      <c r="U12" s="64">
        <v>1.03545</v>
      </c>
      <c r="V12" s="52">
        <v>3.0219999999999998</v>
      </c>
      <c r="W12" s="52">
        <v>3.133</v>
      </c>
      <c r="X12" s="52">
        <v>15.75</v>
      </c>
      <c r="Y12" s="52">
        <v>6.3659999999999997</v>
      </c>
      <c r="Z12" s="64">
        <v>1.1882999999999999</v>
      </c>
      <c r="AA12" s="64">
        <v>1.1008500000000001</v>
      </c>
      <c r="AB12" s="52">
        <v>2.129</v>
      </c>
      <c r="AC12" s="52">
        <v>6.63</v>
      </c>
      <c r="AD12" s="52">
        <v>0.49299999999999999</v>
      </c>
      <c r="AE12" s="52">
        <v>0.505</v>
      </c>
      <c r="AF12" s="52">
        <v>0.39800000000000002</v>
      </c>
      <c r="AG12" s="52">
        <v>18.010000000000002</v>
      </c>
      <c r="AH12" s="52">
        <v>6.41</v>
      </c>
      <c r="AI12" s="64">
        <v>1.11551</v>
      </c>
      <c r="AJ12" s="64">
        <v>1.08199</v>
      </c>
      <c r="AK12" s="52">
        <v>0.46700000000000003</v>
      </c>
      <c r="AL12" s="52">
        <v>0.46300000000000002</v>
      </c>
      <c r="AM12" s="52">
        <v>0.47499999999999998</v>
      </c>
      <c r="AN12" s="52">
        <v>2.8879999999999999</v>
      </c>
      <c r="AO12" s="52">
        <v>28.46</v>
      </c>
      <c r="AP12" s="52">
        <v>0.83699999999999997</v>
      </c>
      <c r="AQ12" s="52">
        <v>0.81299999999999994</v>
      </c>
      <c r="AR12" s="52">
        <v>0.81699999999999995</v>
      </c>
      <c r="AS12" s="52">
        <v>0.81499999999999995</v>
      </c>
      <c r="AT12" s="52">
        <v>0.81399999999999995</v>
      </c>
      <c r="AU12" s="52">
        <v>0.80700000000000005</v>
      </c>
      <c r="AV12" s="52">
        <v>0.81299999999999994</v>
      </c>
      <c r="AW12" s="52">
        <v>0.81499999999999995</v>
      </c>
      <c r="AX12" s="52">
        <v>0.80700000000000005</v>
      </c>
      <c r="AY12" s="52">
        <v>0.81499999999999995</v>
      </c>
      <c r="AZ12" s="52">
        <v>0.8</v>
      </c>
      <c r="BA12" s="52">
        <v>0.80900000000000005</v>
      </c>
      <c r="BB12" s="52">
        <v>0.80400000000000005</v>
      </c>
      <c r="BC12" s="52">
        <v>0.80700000000000005</v>
      </c>
      <c r="BD12" s="52">
        <v>0.44400000000000001</v>
      </c>
      <c r="BE12" s="52">
        <v>2.883</v>
      </c>
      <c r="BF12" s="52">
        <v>3.044</v>
      </c>
      <c r="BG12" s="52">
        <v>3.1440000000000001</v>
      </c>
      <c r="BH12" s="52">
        <v>0.38700000000000001</v>
      </c>
      <c r="BI12" s="52">
        <v>0.43</v>
      </c>
      <c r="BJ12" s="52">
        <v>0.47</v>
      </c>
      <c r="BK12" s="52">
        <v>18.71</v>
      </c>
      <c r="BL12" s="52">
        <v>3.032</v>
      </c>
      <c r="BM12" s="64">
        <v>1.0449600000000001</v>
      </c>
      <c r="BN12" s="64">
        <v>1.06159</v>
      </c>
      <c r="BO12" s="52">
        <v>0.82799999999999996</v>
      </c>
      <c r="BP12" s="52">
        <v>3.5819999999999999</v>
      </c>
    </row>
    <row r="13" spans="1:68" x14ac:dyDescent="0.3"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</row>
    <row r="14" spans="1:68" x14ac:dyDescent="0.3">
      <c r="A14" s="66" t="s">
        <v>172</v>
      </c>
      <c r="B14" s="51" t="s">
        <v>178</v>
      </c>
      <c r="C14" s="51" t="s">
        <v>178</v>
      </c>
      <c r="D14" s="51" t="s">
        <v>178</v>
      </c>
      <c r="E14" s="51" t="s">
        <v>178</v>
      </c>
      <c r="F14" s="51" t="s">
        <v>178</v>
      </c>
      <c r="G14" s="51" t="s">
        <v>178</v>
      </c>
      <c r="H14" s="63" t="s">
        <v>171</v>
      </c>
      <c r="I14" s="64" t="s">
        <v>171</v>
      </c>
      <c r="J14" s="67" t="s">
        <v>178</v>
      </c>
      <c r="K14" s="67" t="s">
        <v>178</v>
      </c>
      <c r="L14" s="67" t="s">
        <v>178</v>
      </c>
      <c r="M14" s="67" t="s">
        <v>178</v>
      </c>
      <c r="N14" s="67" t="s">
        <v>178</v>
      </c>
      <c r="O14" s="67" t="s">
        <v>178</v>
      </c>
      <c r="P14" s="67" t="s">
        <v>178</v>
      </c>
      <c r="Q14" s="67" t="s">
        <v>178</v>
      </c>
      <c r="R14" s="67" t="s">
        <v>178</v>
      </c>
      <c r="S14" s="67" t="s">
        <v>178</v>
      </c>
      <c r="T14" s="64" t="s">
        <v>171</v>
      </c>
      <c r="U14" s="64" t="s">
        <v>171</v>
      </c>
      <c r="V14" s="67" t="s">
        <v>178</v>
      </c>
      <c r="W14" s="67" t="s">
        <v>178</v>
      </c>
      <c r="X14" s="67" t="s">
        <v>178</v>
      </c>
      <c r="Y14" s="67" t="s">
        <v>178</v>
      </c>
      <c r="Z14" s="64" t="s">
        <v>171</v>
      </c>
      <c r="AA14" s="64" t="s">
        <v>171</v>
      </c>
      <c r="AB14" s="67" t="s">
        <v>178</v>
      </c>
      <c r="AC14" s="67" t="s">
        <v>178</v>
      </c>
      <c r="AD14" s="67" t="s">
        <v>178</v>
      </c>
      <c r="AE14" s="67" t="s">
        <v>178</v>
      </c>
      <c r="AF14" s="67" t="s">
        <v>178</v>
      </c>
      <c r="AG14" s="67" t="s">
        <v>178</v>
      </c>
      <c r="AH14" s="67" t="s">
        <v>178</v>
      </c>
      <c r="AI14" s="64" t="s">
        <v>171</v>
      </c>
      <c r="AJ14" s="64" t="s">
        <v>171</v>
      </c>
      <c r="AK14" s="67" t="s">
        <v>178</v>
      </c>
      <c r="AL14" s="67" t="s">
        <v>178</v>
      </c>
      <c r="AM14" s="67" t="s">
        <v>178</v>
      </c>
      <c r="AN14" s="67" t="s">
        <v>178</v>
      </c>
      <c r="AO14" s="67" t="s">
        <v>178</v>
      </c>
      <c r="AP14" s="67" t="s">
        <v>178</v>
      </c>
      <c r="AQ14" s="67" t="s">
        <v>178</v>
      </c>
      <c r="AR14" s="67" t="s">
        <v>178</v>
      </c>
      <c r="AS14" s="67" t="s">
        <v>178</v>
      </c>
      <c r="AT14" s="67" t="s">
        <v>178</v>
      </c>
      <c r="AU14" s="67" t="s">
        <v>178</v>
      </c>
      <c r="AV14" s="67" t="s">
        <v>178</v>
      </c>
      <c r="AW14" s="67" t="s">
        <v>178</v>
      </c>
      <c r="AX14" s="67" t="s">
        <v>178</v>
      </c>
      <c r="AY14" s="67" t="s">
        <v>178</v>
      </c>
      <c r="AZ14" s="67" t="s">
        <v>178</v>
      </c>
      <c r="BA14" s="67" t="s">
        <v>178</v>
      </c>
      <c r="BB14" s="67" t="s">
        <v>178</v>
      </c>
      <c r="BC14" s="67" t="s">
        <v>178</v>
      </c>
      <c r="BD14" s="67" t="s">
        <v>178</v>
      </c>
      <c r="BE14" s="67" t="s">
        <v>178</v>
      </c>
      <c r="BF14" s="67" t="s">
        <v>178</v>
      </c>
      <c r="BG14" s="67" t="s">
        <v>178</v>
      </c>
      <c r="BH14" s="67" t="s">
        <v>178</v>
      </c>
      <c r="BI14" s="67" t="s">
        <v>178</v>
      </c>
      <c r="BJ14" s="67" t="s">
        <v>178</v>
      </c>
      <c r="BK14" s="67" t="s">
        <v>178</v>
      </c>
      <c r="BL14" s="67" t="s">
        <v>178</v>
      </c>
      <c r="BM14" s="64" t="s">
        <v>171</v>
      </c>
      <c r="BN14" s="64" t="s">
        <v>171</v>
      </c>
      <c r="BO14" s="67" t="s">
        <v>178</v>
      </c>
      <c r="BP14" s="67" t="s">
        <v>178</v>
      </c>
    </row>
    <row r="15" spans="1:68" x14ac:dyDescent="0.3">
      <c r="A15" s="52" t="s">
        <v>173</v>
      </c>
      <c r="B15" s="75">
        <f>(Input!B93*0.1/0.2529*1000)</f>
        <v>129.89323843416369</v>
      </c>
      <c r="C15" s="75">
        <f>(Input!C93*0.1/0.2529*1000)</f>
        <v>2293.0011862396204</v>
      </c>
      <c r="D15" s="75">
        <f>(Input!D93*0.1/0.2529*1000)</f>
        <v>134.08461842625545</v>
      </c>
      <c r="E15" s="75">
        <f>(Input!E93*0.1/0.2529*1000)</f>
        <v>1086.5954922894425</v>
      </c>
      <c r="F15" s="75">
        <f>(Input!F93*0.1/0.2529*1000)</f>
        <v>16892.052194543296</v>
      </c>
      <c r="G15" s="75">
        <f>(Input!G93*0.1/0.2529*1000)</f>
        <v>21455.120601028073</v>
      </c>
      <c r="H15" s="64">
        <v>1.2986899999999999</v>
      </c>
      <c r="I15" s="64">
        <v>1.1355999999999999</v>
      </c>
      <c r="J15" s="75">
        <f>(Input!J93*0.1/0.2529*1000)</f>
        <v>114.94661921708185</v>
      </c>
      <c r="K15" s="75">
        <f>(Input!L93*0.1/0.2529*1000)</f>
        <v>10.142348754448399</v>
      </c>
      <c r="L15" s="75">
        <f>(Input!M93*0.1/0.2529*1000)</f>
        <v>1.2526690391459074</v>
      </c>
      <c r="M15" s="75">
        <f>(Input!N93*0.1/0.2529*1000)</f>
        <v>40.41122973507315</v>
      </c>
      <c r="N15" s="75">
        <f>(Input!O93*0.1/0.2529*1000)</f>
        <v>157.76986951364177</v>
      </c>
      <c r="O15" s="75">
        <f>(Input!P93*0.1/0.2529*1000)</f>
        <v>0.11071569790431002</v>
      </c>
      <c r="P15" s="75">
        <f>(Input!Q93*0.1/0.2529*1000)</f>
        <v>1.3594306049822062</v>
      </c>
      <c r="Q15" s="75">
        <f>(Input!R93*0.1/0.2529*1000)</f>
        <v>18.714907077896399</v>
      </c>
      <c r="R15" s="75">
        <f>(Input!S93*0.1/0.2529*1000)</f>
        <v>20.858046658758404</v>
      </c>
      <c r="S15" s="75">
        <f>(Input!T93*0.1/0.2529*1000)</f>
        <v>0.4175563463819692</v>
      </c>
      <c r="T15" s="64">
        <v>1.1798900000000001</v>
      </c>
      <c r="U15" s="64">
        <v>1.01115</v>
      </c>
      <c r="V15" s="75">
        <f>(Input!W93*0.1/0.2529*1000)</f>
        <v>7.2756030051403714E-2</v>
      </c>
      <c r="W15" s="75">
        <f>(Input!X93*0.1/0.2529*1000)</f>
        <v>4.2111506524317912</v>
      </c>
      <c r="X15" s="75">
        <f>(Input!Y93*0.1/0.2529*1000)</f>
        <v>9.7311190193752459</v>
      </c>
      <c r="Y15" s="75">
        <f>(Input!Z93*0.1/0.2529*1000)</f>
        <v>88.414393040727575</v>
      </c>
      <c r="Z15" s="64">
        <v>1.2782800000000001</v>
      </c>
      <c r="AA15" s="64">
        <v>1.1553</v>
      </c>
      <c r="AB15" s="75">
        <f>(Input!AC93*0.1/0.2529*1000)</f>
        <v>2.2538552787663108E-2</v>
      </c>
      <c r="AC15" s="75">
        <f>(Input!AD93*0.1/0.2529*1000)</f>
        <v>0.44325820482404116</v>
      </c>
      <c r="AD15" s="75">
        <f>(Input!AE93*0.1/0.2529*1000)</f>
        <v>3.9541320680110711E-4</v>
      </c>
      <c r="AE15" s="75">
        <f>(Input!AF93*0.1/0.2529*1000)</f>
        <v>1.5816528272044285E-3</v>
      </c>
      <c r="AF15" s="75">
        <f>(Input!AG93*0.1/0.2529*1000)</f>
        <v>2.4911032028469754E-2</v>
      </c>
      <c r="AG15" s="75">
        <f>(Input!AH93*0.1/0.2529*1000)</f>
        <v>0.33886911822854887</v>
      </c>
      <c r="AH15" s="75">
        <f>(Input!AI93*0.1/0.2529*1000)</f>
        <v>0.11071569790431002</v>
      </c>
      <c r="AI15" s="64">
        <v>1.1836</v>
      </c>
      <c r="AJ15" s="64">
        <v>1.12391</v>
      </c>
      <c r="AK15" s="75">
        <f>(Input!AL93*0.1/0.2529*1000)</f>
        <v>1.6607354685646499E-2</v>
      </c>
      <c r="AL15" s="75">
        <f>(Input!AM93*0.1/0.2529*1000)</f>
        <v>3.9541320680110711E-4</v>
      </c>
      <c r="AM15" s="75">
        <f>(Input!AN93*0.1/0.2529*1000)</f>
        <v>0.15183867141162516</v>
      </c>
      <c r="AN15" s="75">
        <f>(Input!AO93*0.1/0.2529*1000)</f>
        <v>10.782918149466191</v>
      </c>
      <c r="AO15" s="75">
        <f>(Input!AQ93*0.1/0.2529*1000)</f>
        <v>0.14116251482799524</v>
      </c>
      <c r="AP15" s="75">
        <f>(Input!AR93*0.1/0.2529*1000)</f>
        <v>0.26611308817714513</v>
      </c>
      <c r="AQ15" s="75">
        <f>(Input!AS93*0.1/0.2529*1000)</f>
        <v>3.2423882957690789E-2</v>
      </c>
      <c r="AR15" s="75">
        <f>(Input!AT93*0.1/0.2529*1000)</f>
        <v>0.11901937524713324</v>
      </c>
      <c r="AS15" s="75">
        <f>(Input!AU93*0.1/0.2529*1000)</f>
        <v>2.2143139580862004E-2</v>
      </c>
      <c r="AT15" s="75">
        <f>(Input!AV93*0.1/0.2529*1000)</f>
        <v>5.5357848952155009E-3</v>
      </c>
      <c r="AU15" s="75">
        <f>(Input!AW93*0.1/0.2529*1000)</f>
        <v>2.0166073546856463E-2</v>
      </c>
      <c r="AV15" s="75">
        <f>(Input!AX93*0.1/0.2529*1000)</f>
        <v>2.7678924476077504E-3</v>
      </c>
      <c r="AW15" s="75">
        <f>(Input!AY93*0.1/0.2529*1000)</f>
        <v>1.4630288651640963E-2</v>
      </c>
      <c r="AX15" s="75">
        <f>(Input!AZ93*0.1/0.2529*1000)</f>
        <v>2.7678924476077504E-3</v>
      </c>
      <c r="AY15" s="75">
        <f>(Input!BA93*0.1/0.2529*1000)</f>
        <v>7.9082641360221449E-3</v>
      </c>
      <c r="AZ15" s="75">
        <f>(Input!BB93*0.1/0.2529*1000)</f>
        <v>1.1862396204033216E-3</v>
      </c>
      <c r="BA15" s="75">
        <f>(Input!BC93*0.1/0.2529*1000)</f>
        <v>7.1174377224199276E-3</v>
      </c>
      <c r="BB15" s="75">
        <f>(Input!BD93*0.1/0.2529*1000)</f>
        <v>1.1862396204033216E-3</v>
      </c>
      <c r="BC15" s="75">
        <f>(Input!BE93*0.1/0.2529*1000)</f>
        <v>3.9541320680110711E-4</v>
      </c>
      <c r="BD15" s="75">
        <f>(Input!BF93*0.1/0.2529*1000)</f>
        <v>6.4056939501779361E-2</v>
      </c>
      <c r="BE15" s="75">
        <f>(Input!BG93*0.1/0.2529*1000)</f>
        <v>0.15144325820482404</v>
      </c>
      <c r="BF15" s="75">
        <f>(Input!BH93*0.1/0.2529*1000)</f>
        <v>0.15500197706603402</v>
      </c>
      <c r="BG15" s="75">
        <f>(Input!BI93*0.1/0.2529*1000)</f>
        <v>3.9541320680110711E-4</v>
      </c>
      <c r="BH15" s="75">
        <f>(Input!BJ93*0.1/0.2529*1000)</f>
        <v>3.9541320680110711E-4</v>
      </c>
      <c r="BI15" s="75">
        <f>(Input!BK93*0.1/0.2529*1000)</f>
        <v>7.4733096085409262E-2</v>
      </c>
      <c r="BJ15" s="75">
        <f>(Input!BL93*0.1/0.2529*1000)</f>
        <v>1.9770660340055362E-3</v>
      </c>
      <c r="BK15" s="75">
        <f>(Input!BM93*0.1/0.2529*1000)</f>
        <v>0.7406089363384738</v>
      </c>
      <c r="BL15" s="75">
        <f>(Input!BN93*0.1/0.2529*1000)</f>
        <v>0.40956504547251876</v>
      </c>
      <c r="BM15" s="64">
        <v>1.03579</v>
      </c>
      <c r="BN15" s="64">
        <v>1.04765</v>
      </c>
      <c r="BO15" s="75">
        <f>(Input!BQ93*0.1/0.2529*1000)</f>
        <v>4.2309213127718466E-2</v>
      </c>
      <c r="BP15" s="75">
        <f>(Input!BR93*0.1/0.2529*1000)</f>
        <v>8.3036773428232496E-3</v>
      </c>
    </row>
    <row r="16" spans="1:68" x14ac:dyDescent="0.3">
      <c r="A16" s="52" t="s">
        <v>73</v>
      </c>
      <c r="B16" s="75">
        <f>(Input!B94*0.1/0.2515*1000)</f>
        <v>80.914512922465207</v>
      </c>
      <c r="C16" s="75">
        <f>(Input!C94*0.1/0.2515*1000)</f>
        <v>1972.1669980119284</v>
      </c>
      <c r="D16" s="75">
        <f>(Input!D94*0.1/0.2515*1000)</f>
        <v>128.74751491053678</v>
      </c>
      <c r="E16" s="75">
        <f>(Input!E94*0.1/0.2515*1000)</f>
        <v>1352.286282306163</v>
      </c>
      <c r="F16" s="75">
        <f>(Input!F94*0.1/0.2515*1000)</f>
        <v>22246.520874751492</v>
      </c>
      <c r="G16" s="75">
        <f>(Input!G94*0.1/0.2515*1000)</f>
        <v>16421.471172962225</v>
      </c>
      <c r="H16" s="64">
        <v>1.2097899999999999</v>
      </c>
      <c r="I16" s="64">
        <v>1.09263</v>
      </c>
      <c r="J16" s="75">
        <f>(Input!J94*0.1/0.2515*1000)</f>
        <v>89.22465208747515</v>
      </c>
      <c r="K16" s="75">
        <f>(Input!L94*0.1/0.2515*1000)</f>
        <v>10.648111332007952</v>
      </c>
      <c r="L16" s="75">
        <f>(Input!M94*0.1/0.2515*1000)</f>
        <v>1.4337972166998012</v>
      </c>
      <c r="M16" s="75">
        <f>(Input!N94*0.1/0.2515*1000)</f>
        <v>37.912524850894634</v>
      </c>
      <c r="N16" s="75">
        <f>(Input!O94*0.1/0.2515*1000)</f>
        <v>152.04771371769382</v>
      </c>
      <c r="O16" s="75">
        <f>(Input!P94*0.1/0.2515*1000)</f>
        <v>0.12842942345924452</v>
      </c>
      <c r="P16" s="75">
        <f>(Input!Q94*0.1/0.2515*1000)</f>
        <v>0.94751491053677939</v>
      </c>
      <c r="Q16" s="75">
        <f>(Input!R94*0.1/0.2515*1000)</f>
        <v>9.4990059642147138</v>
      </c>
      <c r="R16" s="75">
        <f>(Input!S94*0.1/0.2515*1000)</f>
        <v>4.286282306163022</v>
      </c>
      <c r="S16" s="75">
        <f>(Input!T94*0.1/0.2515*1000)</f>
        <v>0.29860834990059648</v>
      </c>
      <c r="T16" s="64">
        <v>1.1189499999999999</v>
      </c>
      <c r="U16" s="64">
        <v>0.98748000000000002</v>
      </c>
      <c r="V16" s="75">
        <f>(Input!W94*0.1/0.2515*1000)</f>
        <v>3.4194831013916502E-2</v>
      </c>
      <c r="W16" s="75">
        <f>(Input!X94*0.1/0.2515*1000)</f>
        <v>5.1451292246520879</v>
      </c>
      <c r="X16" s="75">
        <f>(Input!Y94*0.1/0.2515*1000)</f>
        <v>9.1848906560636188</v>
      </c>
      <c r="Y16" s="75">
        <f>(Input!Z94*0.1/0.2515*1000)</f>
        <v>44.453280318091451</v>
      </c>
      <c r="Z16" s="64">
        <v>1.20112</v>
      </c>
      <c r="AA16" s="64">
        <v>1.1119300000000001</v>
      </c>
      <c r="AB16" s="75">
        <f>(Input!AC94*0.1/0.2515*1000)</f>
        <v>2.2266401590457258E-2</v>
      </c>
      <c r="AC16" s="75">
        <f>(Input!AD94*0.1/0.2515*1000)</f>
        <v>0.36819085487077541</v>
      </c>
      <c r="AD16" s="75">
        <f>(Input!AE94*0.1/0.2515*1000)</f>
        <v>3.9761431411530811E-4</v>
      </c>
      <c r="AE16" s="75">
        <f>(Input!AF94*0.1/0.2515*1000)</f>
        <v>1.1928429423459245E-3</v>
      </c>
      <c r="AF16" s="75">
        <f>(Input!AG94*0.1/0.2515*1000)</f>
        <v>1.272365805168986E-2</v>
      </c>
      <c r="AG16" s="75">
        <f>(Input!AH94*0.1/0.2515*1000)</f>
        <v>9.5427435387673953E-2</v>
      </c>
      <c r="AH16" s="75">
        <f>(Input!AI94*0.1/0.2515*1000)</f>
        <v>6.3220675944334018E-2</v>
      </c>
      <c r="AI16" s="64">
        <v>1.1215299999999999</v>
      </c>
      <c r="AJ16" s="64">
        <v>1.0903400000000001</v>
      </c>
      <c r="AK16" s="75">
        <f>(Input!AL94*0.1/0.2515*1000)</f>
        <v>1.8687872763419485E-2</v>
      </c>
      <c r="AL16" s="75">
        <f>(Input!AM94*0.1/0.2515*1000)</f>
        <v>1.1928429423459245E-3</v>
      </c>
      <c r="AM16" s="75">
        <f>(Input!AN94*0.1/0.2515*1000)</f>
        <v>0.12286282306163022</v>
      </c>
      <c r="AN16" s="75">
        <f>(Input!AO94*0.1/0.2515*1000)</f>
        <v>7.713717693836978</v>
      </c>
      <c r="AO16" s="75">
        <f>(Input!AQ94*0.1/0.2515*1000)</f>
        <v>0.11133200795228629</v>
      </c>
      <c r="AP16" s="75">
        <f>(Input!AR94*0.1/0.2515*1000)</f>
        <v>0.21510934393638173</v>
      </c>
      <c r="AQ16" s="75">
        <f>(Input!AS94*0.1/0.2515*1000)</f>
        <v>2.6640159045725649E-2</v>
      </c>
      <c r="AR16" s="75">
        <f>(Input!AT94*0.1/0.2515*1000)</f>
        <v>9.7813121272365813E-2</v>
      </c>
      <c r="AS16" s="75">
        <f>(Input!AU94*0.1/0.2515*1000)</f>
        <v>1.8687872763419485E-2</v>
      </c>
      <c r="AT16" s="75">
        <f>(Input!AV94*0.1/0.2515*1000)</f>
        <v>4.7713717693836982E-3</v>
      </c>
      <c r="AU16" s="75">
        <f>(Input!AW94*0.1/0.2515*1000)</f>
        <v>1.6699801192842943E-2</v>
      </c>
      <c r="AV16" s="75">
        <f>(Input!AX94*0.1/0.2515*1000)</f>
        <v>2.3856858846918491E-3</v>
      </c>
      <c r="AW16" s="75">
        <f>(Input!AY94*0.1/0.2515*1000)</f>
        <v>1.272365805168986E-2</v>
      </c>
      <c r="AX16" s="75">
        <f>(Input!AZ94*0.1/0.2515*1000)</f>
        <v>2.3856858846918491E-3</v>
      </c>
      <c r="AY16" s="75">
        <f>(Input!BA94*0.1/0.2515*1000)</f>
        <v>6.7594433399602383E-3</v>
      </c>
      <c r="AZ16" s="75">
        <f>(Input!BB94*0.1/0.2515*1000)</f>
        <v>7.9522862823061622E-4</v>
      </c>
      <c r="BA16" s="75">
        <f>(Input!BC94*0.1/0.2515*1000)</f>
        <v>6.3618290258449298E-3</v>
      </c>
      <c r="BB16" s="75">
        <f>(Input!BD94*0.1/0.2515*1000)</f>
        <v>7.9522862823061622E-4</v>
      </c>
      <c r="BC16" s="75">
        <f>(Input!BE94*0.1/0.2515*1000)</f>
        <v>3.9761431411530811E-4</v>
      </c>
      <c r="BD16" s="75">
        <f>(Input!BF94*0.1/0.2515*1000)</f>
        <v>4.7713717693836977E-2</v>
      </c>
      <c r="BE16" s="75">
        <f>(Input!BG94*0.1/0.2515*1000)</f>
        <v>0.13638170974155073</v>
      </c>
      <c r="BF16" s="75">
        <f>(Input!BH94*0.1/0.2515*1000)</f>
        <v>0.14115308151093436</v>
      </c>
      <c r="BG16" s="75">
        <f>(Input!BI94*0.1/0.2515*1000)</f>
        <v>0</v>
      </c>
      <c r="BH16" s="75">
        <f>(Input!BJ94*0.1/0.2515*1000)</f>
        <v>0</v>
      </c>
      <c r="BI16" s="75">
        <f>(Input!BK94*0.1/0.2515*1000)</f>
        <v>7.9522862823061632E-2</v>
      </c>
      <c r="BJ16" s="75">
        <f>(Input!BL94*0.1/0.2515*1000)</f>
        <v>3.1809145129224649E-3</v>
      </c>
      <c r="BK16" s="75">
        <f>(Input!BM94*0.1/0.2515*1000)</f>
        <v>0.64731610337972167</v>
      </c>
      <c r="BL16" s="75">
        <f>(Input!BN94*0.1/0.2515*1000)</f>
        <v>0.3986083499005964</v>
      </c>
      <c r="BM16" s="64">
        <v>1.0024999999999999</v>
      </c>
      <c r="BN16" s="64">
        <v>1.03782</v>
      </c>
      <c r="BO16" s="75">
        <f>(Input!BQ94*0.1/0.2515*1000)</f>
        <v>2.6640159045725649E-2</v>
      </c>
      <c r="BP16" s="75">
        <f>(Input!BR94*0.1/0.2515*1000)</f>
        <v>7.157057654075546E-3</v>
      </c>
    </row>
    <row r="17" spans="1:69" x14ac:dyDescent="0.3">
      <c r="A17" s="52" t="s">
        <v>74</v>
      </c>
      <c r="B17" s="75">
        <f>(Input!B95*0.1/0.2541*1000)</f>
        <v>53.797717434081072</v>
      </c>
      <c r="C17" s="75">
        <f>(Input!C95*0.1/0.2541*1000)</f>
        <v>1593.4671389216846</v>
      </c>
      <c r="D17" s="75">
        <f>(Input!D95*0.1/0.2541*1000)</f>
        <v>132.97914207005115</v>
      </c>
      <c r="E17" s="75">
        <f>(Input!E95*0.1/0.2541*1000)</f>
        <v>1107.831562377017</v>
      </c>
      <c r="F17" s="75">
        <f>(Input!F95*0.1/0.2541*1000)</f>
        <v>22270.75954348682</v>
      </c>
      <c r="G17" s="75">
        <f>(Input!G95*0.1/0.2541*1000)</f>
        <v>13734.750098386463</v>
      </c>
      <c r="H17" s="64">
        <v>1.2309699999999999</v>
      </c>
      <c r="I17" s="64">
        <v>1.1269199999999999</v>
      </c>
      <c r="J17" s="75">
        <f>(Input!J95*0.1/0.2541*1000)</f>
        <v>77.292404565131847</v>
      </c>
      <c r="K17" s="75">
        <f>(Input!L95*0.1/0.2541*1000)</f>
        <v>10.066902794175521</v>
      </c>
      <c r="L17" s="75">
        <f>(Input!M95*0.1/0.2541*1000)</f>
        <v>1.2589531680440773</v>
      </c>
      <c r="M17" s="75">
        <f>(Input!N95*0.1/0.2541*1000)</f>
        <v>37.166469893742629</v>
      </c>
      <c r="N17" s="75">
        <f>(Input!O95*0.1/0.2541*1000)</f>
        <v>158.83510428964979</v>
      </c>
      <c r="O17" s="75">
        <f>(Input!P95*0.1/0.2541*1000)</f>
        <v>0.15466351829988198</v>
      </c>
      <c r="P17" s="75">
        <f>(Input!Q95*0.1/0.2541*1000)</f>
        <v>2.3408107044470685</v>
      </c>
      <c r="Q17" s="75">
        <f>(Input!R95*0.1/0.2541*1000)</f>
        <v>12.72727272727273</v>
      </c>
      <c r="R17" s="75">
        <f>(Input!S95*0.1/0.2541*1000)</f>
        <v>3.5730027548209371</v>
      </c>
      <c r="S17" s="75">
        <f>(Input!T95*0.1/0.2541*1000)</f>
        <v>0.1042896497441952</v>
      </c>
      <c r="T17" s="64">
        <v>1.11405</v>
      </c>
      <c r="U17" s="64">
        <v>1.0040500000000001</v>
      </c>
      <c r="V17" s="75">
        <f>(Input!W95*0.1/0.2541*1000)</f>
        <v>4.0928768201495477E-2</v>
      </c>
      <c r="W17" s="75">
        <f>(Input!X95*0.1/0.2541*1000)</f>
        <v>3.0295159386068482</v>
      </c>
      <c r="X17" s="75">
        <f>(Input!Y95*0.1/0.2541*1000)</f>
        <v>13.290043290043291</v>
      </c>
      <c r="Y17" s="75">
        <f>(Input!Z95*0.1/0.2541*1000)</f>
        <v>31.983471074380169</v>
      </c>
      <c r="Z17" s="64">
        <v>1.20408</v>
      </c>
      <c r="AA17" s="64">
        <v>1.1451100000000001</v>
      </c>
      <c r="AB17" s="75">
        <f>(Input!AC95*0.1/0.2541*1000)</f>
        <v>1.8890200708382529E-2</v>
      </c>
      <c r="AC17" s="75">
        <f>(Input!AD95*0.1/0.2541*1000)</f>
        <v>0.15741833923652107</v>
      </c>
      <c r="AD17" s="75">
        <f>(Input!AE95*0.1/0.2541*1000)</f>
        <v>3.9354584809130262E-4</v>
      </c>
      <c r="AE17" s="75">
        <f>(Input!AF95*0.1/0.2541*1000)</f>
        <v>7.8709169618260523E-4</v>
      </c>
      <c r="AF17" s="75">
        <f>(Input!AG95*0.1/0.2541*1000)</f>
        <v>9.0515545060999604E-3</v>
      </c>
      <c r="AG17" s="75">
        <f>(Input!AH95*0.1/0.2541*1000)</f>
        <v>5.9425423061786692E-2</v>
      </c>
      <c r="AH17" s="75">
        <f>(Input!AI95*0.1/0.2541*1000)</f>
        <v>3.2270759543486821E-2</v>
      </c>
      <c r="AI17" s="64">
        <v>1.11981</v>
      </c>
      <c r="AJ17" s="64">
        <v>1.12517</v>
      </c>
      <c r="AK17" s="75">
        <f>(Input!AL95*0.1/0.2541*1000)</f>
        <v>1.6528925619834715E-2</v>
      </c>
      <c r="AL17" s="75">
        <f>(Input!AM95*0.1/0.2541*1000)</f>
        <v>0</v>
      </c>
      <c r="AM17" s="75">
        <f>(Input!AN95*0.1/0.2541*1000)</f>
        <v>9.7205824478551764E-2</v>
      </c>
      <c r="AN17" s="75">
        <f>(Input!AO95*0.1/0.2541*1000)</f>
        <v>2.3223140495867773</v>
      </c>
      <c r="AO17" s="75">
        <f>(Input!AQ95*0.1/0.2541*1000)</f>
        <v>0.11334120425029515</v>
      </c>
      <c r="AP17" s="75">
        <f>(Input!AR95*0.1/0.2541*1000)</f>
        <v>0.21763085399449036</v>
      </c>
      <c r="AQ17" s="75">
        <f>(Input!AS95*0.1/0.2541*1000)</f>
        <v>2.7154663518299888E-2</v>
      </c>
      <c r="AR17" s="75">
        <f>(Input!AT95*0.1/0.2541*1000)</f>
        <v>0.10035419126328218</v>
      </c>
      <c r="AS17" s="75">
        <f>(Input!AU95*0.1/0.2541*1000)</f>
        <v>1.9283746556473833E-2</v>
      </c>
      <c r="AT17" s="75">
        <f>(Input!AV95*0.1/0.2541*1000)</f>
        <v>3.9354584809130266E-3</v>
      </c>
      <c r="AU17" s="75">
        <f>(Input!AW95*0.1/0.2541*1000)</f>
        <v>1.6922471467926012E-2</v>
      </c>
      <c r="AV17" s="75">
        <f>(Input!AX95*0.1/0.2541*1000)</f>
        <v>2.3612750885478161E-3</v>
      </c>
      <c r="AW17" s="75">
        <f>(Input!AY95*0.1/0.2541*1000)</f>
        <v>1.2199921290830385E-2</v>
      </c>
      <c r="AX17" s="75">
        <f>(Input!AZ95*0.1/0.2541*1000)</f>
        <v>2.3612750885478161E-3</v>
      </c>
      <c r="AY17" s="75">
        <f>(Input!BA95*0.1/0.2541*1000)</f>
        <v>6.6902794175521451E-3</v>
      </c>
      <c r="AZ17" s="75">
        <f>(Input!BB95*0.1/0.2541*1000)</f>
        <v>7.8709169618260523E-4</v>
      </c>
      <c r="BA17" s="75">
        <f>(Input!BC95*0.1/0.2541*1000)</f>
        <v>5.5096418732782379E-3</v>
      </c>
      <c r="BB17" s="75">
        <f>(Input!BD95*0.1/0.2541*1000)</f>
        <v>7.8709169618260523E-4</v>
      </c>
      <c r="BC17" s="75">
        <f>(Input!BE95*0.1/0.2541*1000)</f>
        <v>3.9354584809130262E-4</v>
      </c>
      <c r="BD17" s="75">
        <f>(Input!BF95*0.1/0.2541*1000)</f>
        <v>3.8173947264856359E-2</v>
      </c>
      <c r="BE17" s="75">
        <f>(Input!BG95*0.1/0.2541*1000)</f>
        <v>9.2089728453364827E-2</v>
      </c>
      <c r="BF17" s="75">
        <f>(Input!BH95*0.1/0.2541*1000)</f>
        <v>9.5238095238095261E-2</v>
      </c>
      <c r="BG17" s="75">
        <f>(Input!BI95*0.1/0.2541*1000)</f>
        <v>0</v>
      </c>
      <c r="BH17" s="75">
        <f>(Input!BJ95*0.1/0.2541*1000)</f>
        <v>0</v>
      </c>
      <c r="BI17" s="75">
        <f>(Input!BK95*0.1/0.2541*1000)</f>
        <v>5.5883510428964979E-2</v>
      </c>
      <c r="BJ17" s="75">
        <f>(Input!BL95*0.1/0.2541*1000)</f>
        <v>1.5741833923652105E-3</v>
      </c>
      <c r="BK17" s="75">
        <f>(Input!BM95*0.1/0.2541*1000)</f>
        <v>0.26761117670208584</v>
      </c>
      <c r="BL17" s="75">
        <f>(Input!BN95*0.1/0.2541*1000)</f>
        <v>0.39248720975993701</v>
      </c>
      <c r="BM17" s="64">
        <v>0.99731000000000003</v>
      </c>
      <c r="BN17" s="64">
        <v>1.0577700000000001</v>
      </c>
      <c r="BO17" s="75">
        <f>(Input!BQ95*0.1/0.2541*1000)</f>
        <v>3.187721369539552E-2</v>
      </c>
      <c r="BP17" s="75">
        <f>(Input!BR95*0.1/0.2541*1000)</f>
        <v>6.6902794175521451E-3</v>
      </c>
    </row>
    <row r="18" spans="1:69" x14ac:dyDescent="0.3">
      <c r="A18" s="52" t="s">
        <v>75</v>
      </c>
      <c r="B18" s="75">
        <f>(Input!B96*0.1/0.2586*1000)</f>
        <v>73.433874709976806</v>
      </c>
      <c r="C18" s="75">
        <f>(Input!C96*0.1/0.2586*1000)</f>
        <v>1546.4037122969837</v>
      </c>
      <c r="D18" s="75">
        <f>(Input!D96*0.1/0.2586*1000)</f>
        <v>102.01082753286931</v>
      </c>
      <c r="E18" s="75">
        <f>(Input!E96*0.1/0.2586*1000)</f>
        <v>1022.4284609435423</v>
      </c>
      <c r="F18" s="75">
        <f>(Input!F96*0.1/0.2586*1000)</f>
        <v>30073.472544470224</v>
      </c>
      <c r="G18" s="75">
        <f>(Input!G96*0.1/0.2586*1000)</f>
        <v>10139.211136890952</v>
      </c>
      <c r="H18" s="64">
        <v>1.25549</v>
      </c>
      <c r="I18" s="64">
        <v>1.16791</v>
      </c>
      <c r="J18" s="75">
        <f>(Input!J96*0.1/0.2586*1000)</f>
        <v>48.066511987625674</v>
      </c>
      <c r="K18" s="75">
        <f>(Input!L96*0.1/0.2586*1000)</f>
        <v>10.800464037122971</v>
      </c>
      <c r="L18" s="75">
        <f>(Input!M96*0.1/0.2586*1000)</f>
        <v>1.5355761794276876</v>
      </c>
      <c r="M18" s="75">
        <f>(Input!N96*0.1/0.2586*1000)</f>
        <v>15.707656612529</v>
      </c>
      <c r="N18" s="75">
        <f>(Input!O96*0.1/0.2586*1000)</f>
        <v>129.54369682907969</v>
      </c>
      <c r="O18" s="75">
        <f>(Input!P96*0.1/0.2586*1000)</f>
        <v>8.507347254447023E-2</v>
      </c>
      <c r="P18" s="75">
        <f>(Input!Q96*0.1/0.2586*1000)</f>
        <v>0.91995359628770312</v>
      </c>
      <c r="Q18" s="75">
        <f>(Input!R96*0.1/0.2586*1000)</f>
        <v>5.9203402938901792</v>
      </c>
      <c r="R18" s="75">
        <f>(Input!S96*0.1/0.2586*1000)</f>
        <v>3.1747873163186395</v>
      </c>
      <c r="S18" s="75">
        <f>(Input!T96*0.1/0.2586*1000)</f>
        <v>0.33294663573085853</v>
      </c>
      <c r="T18" s="64">
        <v>1.1423399999999999</v>
      </c>
      <c r="U18" s="64">
        <v>1.03291</v>
      </c>
      <c r="V18" s="75">
        <f>(Input!W96*0.1/0.2586*1000)</f>
        <v>4.2923433874709982E-2</v>
      </c>
      <c r="W18" s="75">
        <f>(Input!X96*0.1/0.2586*1000)</f>
        <v>1.0177880897138438</v>
      </c>
      <c r="X18" s="75">
        <f>(Input!Y96*0.1/0.2586*1000)</f>
        <v>3.9365815931941222</v>
      </c>
      <c r="Y18" s="75">
        <f>(Input!Z96*0.1/0.2586*1000)</f>
        <v>112.99303944315545</v>
      </c>
      <c r="Z18" s="64">
        <v>1.2208300000000001</v>
      </c>
      <c r="AA18" s="64">
        <v>1.1735100000000001</v>
      </c>
      <c r="AB18" s="75">
        <f>(Input!AC96*0.1/0.2586*1000)</f>
        <v>1.7014694508894045E-2</v>
      </c>
      <c r="AC18" s="75">
        <f>(Input!AD96*0.1/0.2586*1000)</f>
        <v>0.31825212683681359</v>
      </c>
      <c r="AD18" s="75">
        <f>(Input!AE96*0.1/0.2586*1000)</f>
        <v>7.7339520494972924E-4</v>
      </c>
      <c r="AE18" s="75">
        <f>(Input!AF96*0.1/0.2586*1000)</f>
        <v>2.3201856148491883E-3</v>
      </c>
      <c r="AF18" s="75">
        <f>(Input!AG96*0.1/0.2586*1000)</f>
        <v>2.8615622583139984E-2</v>
      </c>
      <c r="AG18" s="75">
        <f>(Input!AH96*0.1/0.2586*1000)</f>
        <v>5.7231245166279969E-2</v>
      </c>
      <c r="AH18" s="75">
        <f>(Input!AI96*0.1/0.2586*1000)</f>
        <v>3.0162412993039442E-2</v>
      </c>
      <c r="AI18" s="64">
        <v>1.1276299999999999</v>
      </c>
      <c r="AJ18" s="64">
        <v>1.14838</v>
      </c>
      <c r="AK18" s="75">
        <f>(Input!AL96*0.1/0.2586*1000)</f>
        <v>1.8174787316318639E-2</v>
      </c>
      <c r="AL18" s="75">
        <f>(Input!AM96*0.1/0.2586*1000)</f>
        <v>1.1600928074245941E-3</v>
      </c>
      <c r="AM18" s="75">
        <f>(Input!AN96*0.1/0.2586*1000)</f>
        <v>2.7068832173240531E-2</v>
      </c>
      <c r="AN18" s="75">
        <f>(Input!AO96*0.1/0.2586*1000)</f>
        <v>8.5653518948182512</v>
      </c>
      <c r="AO18" s="75">
        <f>(Input!AQ96*0.1/0.2586*1000)</f>
        <v>0.1129156999226605</v>
      </c>
      <c r="AP18" s="75">
        <f>(Input!AR96*0.1/0.2586*1000)</f>
        <v>0.20997679814385156</v>
      </c>
      <c r="AQ18" s="75">
        <f>(Input!AS96*0.1/0.2586*1000)</f>
        <v>2.5135344160866206E-2</v>
      </c>
      <c r="AR18" s="75">
        <f>(Input!AT96*0.1/0.2586*1000)</f>
        <v>9.2807424593967527E-2</v>
      </c>
      <c r="AS18" s="75">
        <f>(Input!AU96*0.1/0.2586*1000)</f>
        <v>1.7788089713843776E-2</v>
      </c>
      <c r="AT18" s="75">
        <f>(Input!AV96*0.1/0.2586*1000)</f>
        <v>4.6403712296983765E-3</v>
      </c>
      <c r="AU18" s="75">
        <f>(Input!AW96*0.1/0.2586*1000)</f>
        <v>1.6241299303944315E-2</v>
      </c>
      <c r="AV18" s="75">
        <f>(Input!AX96*0.1/0.2586*1000)</f>
        <v>2.3201856148491883E-3</v>
      </c>
      <c r="AW18" s="75">
        <f>(Input!AY96*0.1/0.2586*1000)</f>
        <v>1.1600928074245941E-2</v>
      </c>
      <c r="AX18" s="75">
        <f>(Input!AZ96*0.1/0.2586*1000)</f>
        <v>2.3201856148491883E-3</v>
      </c>
      <c r="AY18" s="75">
        <f>(Input!BA96*0.1/0.2586*1000)</f>
        <v>6.1871616395978339E-3</v>
      </c>
      <c r="AZ18" s="75">
        <f>(Input!BB96*0.1/0.2586*1000)</f>
        <v>7.7339520494972924E-4</v>
      </c>
      <c r="BA18" s="75">
        <f>(Input!BC96*0.1/0.2586*1000)</f>
        <v>4.6403712296983765E-3</v>
      </c>
      <c r="BB18" s="75">
        <f>(Input!BD96*0.1/0.2586*1000)</f>
        <v>7.7339520494972924E-4</v>
      </c>
      <c r="BC18" s="75">
        <f>(Input!BE96*0.1/0.2586*1000)</f>
        <v>3.8669760247486462E-4</v>
      </c>
      <c r="BD18" s="75">
        <f>(Input!BF96*0.1/0.2586*1000)</f>
        <v>4.021655065738592E-2</v>
      </c>
      <c r="BE18" s="75">
        <f>(Input!BG96*0.1/0.2586*1000)</f>
        <v>3.7896365042536746E-2</v>
      </c>
      <c r="BF18" s="75">
        <f>(Input!BH96*0.1/0.2586*1000)</f>
        <v>3.9056457849961333E-2</v>
      </c>
      <c r="BG18" s="75">
        <f>(Input!BI96*0.1/0.2586*1000)</f>
        <v>0</v>
      </c>
      <c r="BH18" s="75">
        <f>(Input!BJ96*0.1/0.2586*1000)</f>
        <v>0</v>
      </c>
      <c r="BI18" s="75">
        <f>(Input!BK96*0.1/0.2586*1000)</f>
        <v>4.4856921887084303E-2</v>
      </c>
      <c r="BJ18" s="75">
        <f>(Input!BL96*0.1/0.2586*1000)</f>
        <v>1.1600928074245941E-3</v>
      </c>
      <c r="BK18" s="75">
        <f>(Input!BM96*0.1/0.2586*1000)</f>
        <v>0.22467130703789634</v>
      </c>
      <c r="BL18" s="75">
        <f>(Input!BN96*0.1/0.2586*1000)</f>
        <v>0.38947409126063415</v>
      </c>
      <c r="BM18" s="64">
        <v>1.00718</v>
      </c>
      <c r="BN18" s="64">
        <v>1.0771299999999999</v>
      </c>
      <c r="BO18" s="75">
        <f>(Input!BQ96*0.1/0.2586*1000)</f>
        <v>3.1322505800464043E-2</v>
      </c>
      <c r="BP18" s="75">
        <f>(Input!BR96*0.1/0.2586*1000)</f>
        <v>6.1871616395978339E-3</v>
      </c>
    </row>
    <row r="19" spans="1:69" x14ac:dyDescent="0.3">
      <c r="A19" s="52" t="s">
        <v>76</v>
      </c>
      <c r="B19" s="75">
        <f>(Input!B97*0.1/0.2567*1000)</f>
        <v>98.20802493182704</v>
      </c>
      <c r="C19" s="75">
        <f>(Input!C97*0.1/0.2567*1000)</f>
        <v>1747.5652512660695</v>
      </c>
      <c r="D19" s="75">
        <f>(Input!D97*0.1/0.2567*1000)</f>
        <v>115.42656797818466</v>
      </c>
      <c r="E19" s="75">
        <f>(Input!E97*0.1/0.2567*1000)</f>
        <v>1104.7915855083756</v>
      </c>
      <c r="F19" s="75">
        <f>(Input!F97*0.1/0.2567*1000)</f>
        <v>19840.28048305415</v>
      </c>
      <c r="G19" s="75">
        <f>(Input!G97*0.1/0.2567*1000)</f>
        <v>17604.207245812235</v>
      </c>
      <c r="H19" s="64">
        <v>1.29996</v>
      </c>
      <c r="I19" s="64">
        <v>1.2014</v>
      </c>
      <c r="J19" s="75">
        <f>(Input!J97*0.1/0.2567*1000)</f>
        <v>94.507206856252438</v>
      </c>
      <c r="K19" s="75">
        <f>(Input!L97*0.1/0.2567*1000)</f>
        <v>11.266069341643943</v>
      </c>
      <c r="L19" s="75">
        <f>(Input!M97*0.1/0.2567*1000)</f>
        <v>1.564472146474484</v>
      </c>
      <c r="M19" s="75">
        <f>(Input!N97*0.1/0.2567*1000)</f>
        <v>27.565251266069346</v>
      </c>
      <c r="N19" s="75">
        <f>(Input!O97*0.1/0.2567*1000)</f>
        <v>137.43669653291781</v>
      </c>
      <c r="O19" s="75">
        <f>(Input!P97*0.1/0.2567*1000)</f>
        <v>0.12543825477210754</v>
      </c>
      <c r="P19" s="75">
        <f>(Input!Q97*0.1/0.2567*1000)</f>
        <v>1.3992987923646283</v>
      </c>
      <c r="Q19" s="75">
        <f>(Input!R97*0.1/0.2567*1000)</f>
        <v>13.4164394234515</v>
      </c>
      <c r="R19" s="75">
        <f>(Input!S97*0.1/0.2567*1000)</f>
        <v>7.6938059992208823</v>
      </c>
      <c r="S19" s="75">
        <f>(Input!T97*0.1/0.2567*1000)</f>
        <v>0.46552395792754198</v>
      </c>
      <c r="T19" s="64">
        <v>1.1666799999999999</v>
      </c>
      <c r="U19" s="64">
        <v>1.04664</v>
      </c>
      <c r="V19" s="75">
        <f>(Input!W97*0.1/0.2567*1000)</f>
        <v>4.3241137514608494E-2</v>
      </c>
      <c r="W19" s="75">
        <f>(Input!X97*0.1/0.2567*1000)</f>
        <v>2.6891312816517337</v>
      </c>
      <c r="X19" s="75">
        <f>(Input!Y97*0.1/0.2567*1000)</f>
        <v>7.6275808336579658</v>
      </c>
      <c r="Y19" s="75">
        <f>(Input!Z97*0.1/0.2567*1000)</f>
        <v>44.955200623295688</v>
      </c>
      <c r="Z19" s="64">
        <v>1.26135</v>
      </c>
      <c r="AA19" s="64">
        <v>1.21217</v>
      </c>
      <c r="AB19" s="75">
        <f>(Input!AC97*0.1/0.2567*1000)</f>
        <v>1.402415270744059E-2</v>
      </c>
      <c r="AC19" s="75">
        <f>(Input!AD97*0.1/0.2567*1000)</f>
        <v>0.2150370081807558</v>
      </c>
      <c r="AD19" s="75">
        <f>(Input!AE97*0.1/0.2567*1000)</f>
        <v>3.8955979742890534E-4</v>
      </c>
      <c r="AE19" s="75">
        <f>(Input!AF97*0.1/0.2567*1000)</f>
        <v>7.7911959485781068E-4</v>
      </c>
      <c r="AF19" s="75">
        <f>(Input!AG97*0.1/0.2567*1000)</f>
        <v>1.3245033112582783E-2</v>
      </c>
      <c r="AG19" s="75">
        <f>(Input!AH97*0.1/0.2567*1000)</f>
        <v>3.9735099337748353E-2</v>
      </c>
      <c r="AH19" s="75">
        <f>(Input!AI97*0.1/0.2567*1000)</f>
        <v>4.6357615894039736E-2</v>
      </c>
      <c r="AI19" s="64">
        <v>1.1643600000000001</v>
      </c>
      <c r="AJ19" s="64">
        <v>1.1833100000000001</v>
      </c>
      <c r="AK19" s="75">
        <f>(Input!AL97*0.1/0.2567*1000)</f>
        <v>2.0646669263731984E-2</v>
      </c>
      <c r="AL19" s="75">
        <f>(Input!AM97*0.1/0.2567*1000)</f>
        <v>7.7911959485781068E-4</v>
      </c>
      <c r="AM19" s="75">
        <f>(Input!AN97*0.1/0.2567*1000)</f>
        <v>6.5056486170627204E-2</v>
      </c>
      <c r="AN19" s="75">
        <f>(Input!AO97*0.1/0.2567*1000)</f>
        <v>11.90105181145306</v>
      </c>
      <c r="AO19" s="75">
        <f>(Input!AQ97*0.1/0.2567*1000)</f>
        <v>9.894818854694197E-2</v>
      </c>
      <c r="AP19" s="75">
        <f>(Input!AR97*0.1/0.2567*1000)</f>
        <v>0.18932606155044801</v>
      </c>
      <c r="AQ19" s="75">
        <f>(Input!AS97*0.1/0.2567*1000)</f>
        <v>2.2984028048305415E-2</v>
      </c>
      <c r="AR19" s="75">
        <f>(Input!AT97*0.1/0.2567*1000)</f>
        <v>8.7261394624074812E-2</v>
      </c>
      <c r="AS19" s="75">
        <f>(Input!AU97*0.1/0.2567*1000)</f>
        <v>1.5582391897156217E-2</v>
      </c>
      <c r="AT19" s="75">
        <f>(Input!AV97*0.1/0.2567*1000)</f>
        <v>5.0642773665757704E-3</v>
      </c>
      <c r="AU19" s="75">
        <f>(Input!AW97*0.1/0.2567*1000)</f>
        <v>1.4413712504869499E-2</v>
      </c>
      <c r="AV19" s="75">
        <f>(Input!AX97*0.1/0.2567*1000)</f>
        <v>1.9477989871445271E-3</v>
      </c>
      <c r="AW19" s="75">
        <f>(Input!AY97*0.1/0.2567*1000)</f>
        <v>1.0518114530580446E-2</v>
      </c>
      <c r="AX19" s="75">
        <f>(Input!AZ97*0.1/0.2567*1000)</f>
        <v>1.9477989871445271E-3</v>
      </c>
      <c r="AY19" s="75">
        <f>(Input!BA97*0.1/0.2567*1000)</f>
        <v>5.4538371640046757E-3</v>
      </c>
      <c r="AZ19" s="75">
        <f>(Input!BB97*0.1/0.2567*1000)</f>
        <v>7.7911959485781068E-4</v>
      </c>
      <c r="BA19" s="75">
        <f>(Input!BC97*0.1/0.2567*1000)</f>
        <v>5.0642773665757704E-3</v>
      </c>
      <c r="BB19" s="75">
        <f>(Input!BD97*0.1/0.2567*1000)</f>
        <v>7.7911959485781068E-4</v>
      </c>
      <c r="BC19" s="75">
        <f>(Input!BE97*0.1/0.2567*1000)</f>
        <v>0</v>
      </c>
      <c r="BD19" s="75">
        <f>(Input!BF97*0.1/0.2567*1000)</f>
        <v>2.7658745617452279E-2</v>
      </c>
      <c r="BE19" s="75">
        <f>(Input!BG97*0.1/0.2567*1000)</f>
        <v>7.8691079080638895E-2</v>
      </c>
      <c r="BF19" s="75">
        <f>(Input!BH97*0.1/0.2567*1000)</f>
        <v>8.1417997662641212E-2</v>
      </c>
      <c r="BG19" s="75">
        <f>(Input!BI97*0.1/0.2567*1000)</f>
        <v>0</v>
      </c>
      <c r="BH19" s="75">
        <f>(Input!BJ97*0.1/0.2567*1000)</f>
        <v>0</v>
      </c>
      <c r="BI19" s="75">
        <f>(Input!BK97*0.1/0.2567*1000)</f>
        <v>7.0899883132060776E-2</v>
      </c>
      <c r="BJ19" s="75">
        <f>(Input!BL97*0.1/0.2567*1000)</f>
        <v>1.5582391897156214E-3</v>
      </c>
      <c r="BK19" s="75">
        <f>(Input!BM97*0.1/0.2567*1000)</f>
        <v>0.42500973899493572</v>
      </c>
      <c r="BL19" s="75">
        <f>(Input!BN97*0.1/0.2567*1000)</f>
        <v>0.40068952084144915</v>
      </c>
      <c r="BM19" s="64">
        <v>1.02857</v>
      </c>
      <c r="BN19" s="64">
        <v>1.09779</v>
      </c>
      <c r="BO19" s="75">
        <f>(Input!BQ97*0.1/0.2567*1000)</f>
        <v>2.3373587845734321E-2</v>
      </c>
      <c r="BP19" s="75">
        <f>(Input!BR97*0.1/0.2567*1000)</f>
        <v>4.6747175691468652E-3</v>
      </c>
    </row>
    <row r="20" spans="1:69" x14ac:dyDescent="0.3">
      <c r="A20" s="52" t="s">
        <v>77</v>
      </c>
      <c r="B20" s="75">
        <f>(Input!B98*0.1/0.2563*1000)</f>
        <v>134.10066328521268</v>
      </c>
      <c r="C20" s="75">
        <f>(Input!C98*0.1/0.2563*1000)</f>
        <v>1127.5848614904412</v>
      </c>
      <c r="D20" s="75">
        <f>(Input!D98*0.1/0.2563*1000)</f>
        <v>179.7502926258291</v>
      </c>
      <c r="E20" s="75">
        <f>(Input!E98*0.1/0.2563*1000)</f>
        <v>920.79594225516985</v>
      </c>
      <c r="F20" s="75">
        <f>(Input!F98*0.1/0.2563*1000)</f>
        <v>21439.719079204064</v>
      </c>
      <c r="G20" s="75">
        <f>(Input!G98*0.1/0.2563*1000)</f>
        <v>12399.531798673434</v>
      </c>
      <c r="H20" s="64">
        <v>1.2691699999999999</v>
      </c>
      <c r="I20" s="64">
        <v>1.1868700000000001</v>
      </c>
      <c r="J20" s="75">
        <f>(Input!J98*0.1/0.2563*1000)</f>
        <v>77.604369879048008</v>
      </c>
      <c r="K20" s="75">
        <f>(Input!L98*0.1/0.2563*1000)</f>
        <v>11.712836519703474</v>
      </c>
      <c r="L20" s="75">
        <f>(Input!M98*0.1/0.2563*1000)</f>
        <v>1.4311353882169335</v>
      </c>
      <c r="M20" s="75">
        <f>(Input!N98*0.1/0.2563*1000)</f>
        <v>14.502536090518925</v>
      </c>
      <c r="N20" s="75">
        <f>(Input!O98*0.1/0.2563*1000)</f>
        <v>226.68747561451428</v>
      </c>
      <c r="O20" s="75">
        <f>(Input!P98*0.1/0.2563*1000)</f>
        <v>0.13577838470542333</v>
      </c>
      <c r="P20" s="75">
        <f>(Input!Q98*0.1/0.2563*1000)</f>
        <v>1.1213421771361689</v>
      </c>
      <c r="Q20" s="75">
        <f>(Input!R98*0.1/0.2563*1000)</f>
        <v>16.433866562621926</v>
      </c>
      <c r="R20" s="75">
        <f>(Input!S98*0.1/0.2563*1000)</f>
        <v>15.696449473273509</v>
      </c>
      <c r="S20" s="75">
        <f>(Input!T98*0.1/0.2563*1000)</f>
        <v>0.29808817791650416</v>
      </c>
      <c r="T20" s="64">
        <v>1.1457299999999999</v>
      </c>
      <c r="U20" s="64">
        <v>1.0391900000000001</v>
      </c>
      <c r="V20" s="75">
        <f>(Input!W98*0.1/0.2563*1000)</f>
        <v>8.0374561061256344E-2</v>
      </c>
      <c r="W20" s="75">
        <f>(Input!X98*0.1/0.2563*1000)</f>
        <v>1.8271556769410848</v>
      </c>
      <c r="X20" s="75">
        <f>(Input!Y98*0.1/0.2563*1000)</f>
        <v>5.8720249707374181</v>
      </c>
      <c r="Y20" s="75">
        <f>(Input!Z98*0.1/0.2563*1000)</f>
        <v>52.321498244245028</v>
      </c>
      <c r="Z20" s="64">
        <v>1.2425900000000001</v>
      </c>
      <c r="AA20" s="64">
        <v>1.1988099999999999</v>
      </c>
      <c r="AB20" s="75">
        <f>(Input!AC98*0.1/0.2563*1000)</f>
        <v>4.0967616074912214E-2</v>
      </c>
      <c r="AC20" s="75">
        <f>(Input!AD98*0.1/0.2563*1000)</f>
        <v>0.25126804525946161</v>
      </c>
      <c r="AD20" s="75">
        <f>(Input!AE98*0.1/0.2563*1000)</f>
        <v>3.9016777214202108E-4</v>
      </c>
      <c r="AE20" s="75">
        <f>(Input!AF98*0.1/0.2563*1000)</f>
        <v>1.1705033164260636E-3</v>
      </c>
      <c r="AF20" s="75">
        <f>(Input!AG98*0.1/0.2563*1000)</f>
        <v>1.4046039797112757E-2</v>
      </c>
      <c r="AG20" s="75">
        <f>(Input!AH98*0.1/0.2563*1000)</f>
        <v>0.12524385485758877</v>
      </c>
      <c r="AH20" s="75">
        <f>(Input!AI98*0.1/0.2563*1000)</f>
        <v>0.16348029652750684</v>
      </c>
      <c r="AI20" s="64">
        <v>1.1368499999999999</v>
      </c>
      <c r="AJ20" s="64">
        <v>1.17092</v>
      </c>
      <c r="AK20" s="75">
        <f>(Input!AL98*0.1/0.2563*1000)</f>
        <v>6.6718689036285625E-2</v>
      </c>
      <c r="AL20" s="75">
        <f>(Input!AM98*0.1/0.2563*1000)</f>
        <v>1.1705033164260636E-3</v>
      </c>
      <c r="AM20" s="75">
        <f>(Input!AN98*0.1/0.2563*1000)</f>
        <v>3.9797112758486151E-2</v>
      </c>
      <c r="AN20" s="75">
        <f>(Input!AO98*0.1/0.2563*1000)</f>
        <v>7.3234490831057357</v>
      </c>
      <c r="AO20" s="75">
        <f>(Input!AQ98*0.1/0.2563*1000)</f>
        <v>0.14670308232539991</v>
      </c>
      <c r="AP20" s="75">
        <f>(Input!AR98*0.1/0.2563*1000)</f>
        <v>0.28599297698010151</v>
      </c>
      <c r="AQ20" s="75">
        <f>(Input!AS98*0.1/0.2563*1000)</f>
        <v>3.3554428404213812E-2</v>
      </c>
      <c r="AR20" s="75">
        <f>(Input!AT98*0.1/0.2563*1000)</f>
        <v>0.13226687475614518</v>
      </c>
      <c r="AS20" s="75">
        <f>(Input!AU98*0.1/0.2563*1000)</f>
        <v>2.731174404994148E-2</v>
      </c>
      <c r="AT20" s="75">
        <f>(Input!AV98*0.1/0.2563*1000)</f>
        <v>7.4131876706984021E-3</v>
      </c>
      <c r="AU20" s="75">
        <f>(Input!AW98*0.1/0.2563*1000)</f>
        <v>3.3554428404213812E-2</v>
      </c>
      <c r="AV20" s="75">
        <f>(Input!AX98*0.1/0.2563*1000)</f>
        <v>7.0230198985563787E-3</v>
      </c>
      <c r="AW20" s="75">
        <f>(Input!AY98*0.1/0.2563*1000)</f>
        <v>4.760046820132658E-2</v>
      </c>
      <c r="AX20" s="75">
        <f>(Input!AZ98*0.1/0.2563*1000)</f>
        <v>1.014436207569255E-2</v>
      </c>
      <c r="AY20" s="75">
        <f>(Input!BA98*0.1/0.2563*1000)</f>
        <v>3.3164260632071799E-2</v>
      </c>
      <c r="AZ20" s="75">
        <f>(Input!BB98*0.1/0.2563*1000)</f>
        <v>5.4623488099882957E-3</v>
      </c>
      <c r="BA20" s="75">
        <f>(Input!BC98*0.1/0.2563*1000)</f>
        <v>3.8626609442060096E-2</v>
      </c>
      <c r="BB20" s="75">
        <f>(Input!BD98*0.1/0.2563*1000)</f>
        <v>5.4623488099882957E-3</v>
      </c>
      <c r="BC20" s="75">
        <f>(Input!BE98*0.1/0.2563*1000)</f>
        <v>5.072181037846275E-3</v>
      </c>
      <c r="BD20" s="75">
        <f>(Input!BF98*0.1/0.2563*1000)</f>
        <v>3.8626609442060096E-2</v>
      </c>
      <c r="BE20" s="75">
        <f>(Input!BG98*0.1/0.2563*1000)</f>
        <v>7.3741708934841999E-2</v>
      </c>
      <c r="BF20" s="75">
        <f>(Input!BH98*0.1/0.2563*1000)</f>
        <v>7.6472883339836137E-2</v>
      </c>
      <c r="BG20" s="75">
        <f>(Input!BI98*0.1/0.2563*1000)</f>
        <v>0</v>
      </c>
      <c r="BH20" s="75">
        <f>(Input!BJ98*0.1/0.2563*1000)</f>
        <v>7.8033554428404216E-4</v>
      </c>
      <c r="BI20" s="75">
        <f>(Input!BK98*0.1/0.2563*1000)</f>
        <v>4.6429964884900511E-2</v>
      </c>
      <c r="BJ20" s="75">
        <f>(Input!BL98*0.1/0.2563*1000)</f>
        <v>2.3410066328521271E-3</v>
      </c>
      <c r="BK20" s="75">
        <f>(Input!BM98*0.1/0.2563*1000)</f>
        <v>1.2774092859929773</v>
      </c>
      <c r="BL20" s="75">
        <f>(Input!BN98*0.1/0.2563*1000)</f>
        <v>0.39693328131096373</v>
      </c>
      <c r="BM20" s="64">
        <v>1.0173399999999999</v>
      </c>
      <c r="BN20" s="64">
        <v>1.09575</v>
      </c>
      <c r="BO20" s="75">
        <f>(Input!BQ98*0.1/0.2563*1000)</f>
        <v>6.1646507998439334E-2</v>
      </c>
      <c r="BP20" s="75">
        <f>(Input!BR98*0.1/0.2563*1000)</f>
        <v>2.380023410066329E-2</v>
      </c>
    </row>
    <row r="21" spans="1:69" x14ac:dyDescent="0.3">
      <c r="A21" s="52" t="s">
        <v>78</v>
      </c>
      <c r="B21" s="75">
        <f>(Input!B99*0.1/0.252*1000)</f>
        <v>124.16666666666666</v>
      </c>
      <c r="C21" s="75">
        <f>(Input!C99*0.1/0.252*1000)</f>
        <v>1570.6349206349207</v>
      </c>
      <c r="D21" s="75">
        <f>(Input!D99*0.1/0.252*1000)</f>
        <v>164.48412698412699</v>
      </c>
      <c r="E21" s="75">
        <f>(Input!E99*0.1/0.252*1000)</f>
        <v>736.50793650793651</v>
      </c>
      <c r="F21" s="75">
        <f>(Input!F99*0.1/0.252*1000)</f>
        <v>11964.285714285716</v>
      </c>
      <c r="G21" s="75">
        <f>(Input!G99*0.1/0.252*1000)</f>
        <v>25964.285714285717</v>
      </c>
      <c r="H21" s="64">
        <v>1.2935700000000001</v>
      </c>
      <c r="I21" s="64">
        <v>1.19292</v>
      </c>
      <c r="J21" s="75">
        <f>(Input!J99*0.1/0.252*1000)</f>
        <v>138.29365079365081</v>
      </c>
      <c r="K21" s="75">
        <f>(Input!L99*0.1/0.252*1000)</f>
        <v>12.884920634920634</v>
      </c>
      <c r="L21" s="75">
        <f>(Input!M99*0.1/0.252*1000)</f>
        <v>1.6484126984126986</v>
      </c>
      <c r="M21" s="75">
        <f>(Input!N99*0.1/0.252*1000)</f>
        <v>52.103174603174608</v>
      </c>
      <c r="N21" s="75">
        <f>(Input!O99*0.1/0.252*1000)</f>
        <v>198.73015873015876</v>
      </c>
      <c r="O21" s="75">
        <f>(Input!P99*0.1/0.252*1000)</f>
        <v>0.12579365079365082</v>
      </c>
      <c r="P21" s="75">
        <f>(Input!Q99*0.1/0.252*1000)</f>
        <v>1.5079365079365081</v>
      </c>
      <c r="Q21" s="75">
        <f>(Input!R99*0.1/0.252*1000)</f>
        <v>14.476190476190478</v>
      </c>
      <c r="R21" s="75">
        <f>(Input!S99*0.1/0.252*1000)</f>
        <v>9.2341269841269842</v>
      </c>
      <c r="S21" s="75">
        <f>(Input!T99*0.1/0.252*1000)</f>
        <v>0.41269841269841279</v>
      </c>
      <c r="T21" s="64">
        <v>1.17012</v>
      </c>
      <c r="U21" s="64">
        <v>1.0459000000000001</v>
      </c>
      <c r="V21" s="75">
        <f>(Input!W99*0.1/0.252*1000)</f>
        <v>5.8333333333333334E-2</v>
      </c>
      <c r="W21" s="75">
        <f>(Input!X99*0.1/0.252*1000)</f>
        <v>1.7892857142857144</v>
      </c>
      <c r="X21" s="75">
        <f>(Input!Y99*0.1/0.252*1000)</f>
        <v>6.6111111111111116</v>
      </c>
      <c r="Y21" s="75">
        <f>(Input!Z99*0.1/0.252*1000)</f>
        <v>100.99206349206349</v>
      </c>
      <c r="Z21" s="64">
        <v>1.2512700000000001</v>
      </c>
      <c r="AA21" s="64">
        <v>1.2012400000000001</v>
      </c>
      <c r="AB21" s="75">
        <f>(Input!AC99*0.1/0.252*1000)</f>
        <v>1.984126984126984E-2</v>
      </c>
      <c r="AC21" s="75">
        <f>(Input!AD99*0.1/0.252*1000)</f>
        <v>0.19563492063492063</v>
      </c>
      <c r="AD21" s="75">
        <f>(Input!AE99*0.1/0.252*1000)</f>
        <v>3.9682539682539683E-4</v>
      </c>
      <c r="AE21" s="75">
        <f>(Input!AF99*0.1/0.252*1000)</f>
        <v>1.9841269841269845E-3</v>
      </c>
      <c r="AF21" s="75">
        <f>(Input!AG99*0.1/0.252*1000)</f>
        <v>2.6587301587301587E-2</v>
      </c>
      <c r="AG21" s="75">
        <f>(Input!AH99*0.1/0.252*1000)</f>
        <v>6.9444444444444461E-2</v>
      </c>
      <c r="AH21" s="75">
        <f>(Input!AI99*0.1/0.252*1000)</f>
        <v>3.3333333333333333E-2</v>
      </c>
      <c r="AI21" s="64">
        <v>1.1535299999999999</v>
      </c>
      <c r="AJ21" s="64">
        <v>1.1778500000000001</v>
      </c>
      <c r="AK21" s="75">
        <f>(Input!AL99*0.1/0.252*1000)</f>
        <v>5.1190476190476196E-2</v>
      </c>
      <c r="AL21" s="75">
        <f>(Input!AM99*0.1/0.252*1000)</f>
        <v>1.5873015873015873E-3</v>
      </c>
      <c r="AM21" s="75">
        <f>(Input!AN99*0.1/0.252*1000)</f>
        <v>0.13055555555555559</v>
      </c>
      <c r="AN21" s="75">
        <f>(Input!AO99*0.1/0.252*1000)</f>
        <v>10.464285714285715</v>
      </c>
      <c r="AO21" s="75">
        <f>(Input!AQ99*0.1/0.252*1000)</f>
        <v>0.14682539682539686</v>
      </c>
      <c r="AP21" s="75">
        <f>(Input!AR99*0.1/0.252*1000)</f>
        <v>0.26825396825396824</v>
      </c>
      <c r="AQ21" s="75">
        <f>(Input!AS99*0.1/0.252*1000)</f>
        <v>3.1746031746031751E-2</v>
      </c>
      <c r="AR21" s="75">
        <f>(Input!AT99*0.1/0.252*1000)</f>
        <v>0.12023809523809524</v>
      </c>
      <c r="AS21" s="75">
        <f>(Input!AU99*0.1/0.252*1000)</f>
        <v>2.3809523809523812E-2</v>
      </c>
      <c r="AT21" s="75">
        <f>(Input!AV99*0.1/0.252*1000)</f>
        <v>7.9365079365079378E-3</v>
      </c>
      <c r="AU21" s="75">
        <f>(Input!AW99*0.1/0.252*1000)</f>
        <v>2.1031746031746033E-2</v>
      </c>
      <c r="AV21" s="75">
        <f>(Input!AX99*0.1/0.252*1000)</f>
        <v>4.7619047619047623E-3</v>
      </c>
      <c r="AW21" s="75">
        <f>(Input!AY99*0.1/0.252*1000)</f>
        <v>1.4285714285714284E-2</v>
      </c>
      <c r="AX21" s="75">
        <f>(Input!AZ99*0.1/0.252*1000)</f>
        <v>2.7777777777777779E-3</v>
      </c>
      <c r="AY21" s="75">
        <f>(Input!BA99*0.1/0.252*1000)</f>
        <v>7.1428571428571418E-3</v>
      </c>
      <c r="AZ21" s="75">
        <f>(Input!BB99*0.1/0.252*1000)</f>
        <v>7.9365079365079365E-4</v>
      </c>
      <c r="BA21" s="75">
        <f>(Input!BC99*0.1/0.252*1000)</f>
        <v>5.9523809523809529E-3</v>
      </c>
      <c r="BB21" s="75">
        <f>(Input!BD99*0.1/0.252*1000)</f>
        <v>7.9365079365079365E-4</v>
      </c>
      <c r="BC21" s="75">
        <f>(Input!BE99*0.1/0.252*1000)</f>
        <v>3.9682539682539683E-4</v>
      </c>
      <c r="BD21" s="75">
        <f>(Input!BF99*0.1/0.252*1000)</f>
        <v>3.3333333333333333E-2</v>
      </c>
      <c r="BE21" s="75">
        <f>(Input!BG99*0.1/0.252*1000)</f>
        <v>5.9523809523809514E-2</v>
      </c>
      <c r="BF21" s="75">
        <f>(Input!BH99*0.1/0.252*1000)</f>
        <v>6.1111111111111123E-2</v>
      </c>
      <c r="BG21" s="75">
        <f>(Input!BI99*0.1/0.252*1000)</f>
        <v>0</v>
      </c>
      <c r="BH21" s="75">
        <f>(Input!BJ99*0.1/0.252*1000)</f>
        <v>0</v>
      </c>
      <c r="BI21" s="75">
        <f>(Input!BK99*0.1/0.252*1000)</f>
        <v>5.5555555555555559E-2</v>
      </c>
      <c r="BJ21" s="75">
        <f>(Input!BL99*0.1/0.252*1000)</f>
        <v>2.3809523809523812E-3</v>
      </c>
      <c r="BK21" s="75">
        <f>(Input!BM99*0.1/0.252*1000)</f>
        <v>0.30198412698412702</v>
      </c>
      <c r="BL21" s="75">
        <f>(Input!BN99*0.1/0.252*1000)</f>
        <v>0.40944047619047619</v>
      </c>
      <c r="BM21" s="64">
        <v>1.03179</v>
      </c>
      <c r="BN21" s="64">
        <v>1.0999699999999999</v>
      </c>
      <c r="BO21" s="75">
        <f>(Input!BQ99*0.1/0.252*1000)</f>
        <v>3.2936507936507937E-2</v>
      </c>
      <c r="BP21" s="75">
        <f>(Input!BR99*0.1/0.252*1000)</f>
        <v>5.9523809523809529E-3</v>
      </c>
    </row>
    <row r="22" spans="1:69" x14ac:dyDescent="0.3">
      <c r="A22" s="52" t="s">
        <v>79</v>
      </c>
      <c r="B22" s="75">
        <f>(Input!B100*0.1/0.2548*1000)</f>
        <v>203.13971742543171</v>
      </c>
      <c r="C22" s="75">
        <f>(Input!C100*0.1/0.2548*1000)</f>
        <v>1691.9152276295133</v>
      </c>
      <c r="D22" s="75">
        <f>(Input!D100*0.1/0.2548*1000)</f>
        <v>181.63265306122449</v>
      </c>
      <c r="E22" s="75">
        <f>(Input!E100*0.1/0.2548*1000)</f>
        <v>769.23076923076917</v>
      </c>
      <c r="F22" s="75">
        <f>(Input!F100*0.1/0.2548*1000)</f>
        <v>14474.097331240189</v>
      </c>
      <c r="G22" s="75">
        <f>(Input!G100*0.1/0.2548*1000)</f>
        <v>24340.659340659342</v>
      </c>
      <c r="H22" s="64">
        <v>1.2765500000000001</v>
      </c>
      <c r="I22" s="64">
        <v>1.1738500000000001</v>
      </c>
      <c r="J22" s="75">
        <f>(Input!J100*0.1/0.2548*1000)</f>
        <v>133.12401883830455</v>
      </c>
      <c r="K22" s="75">
        <f>(Input!L100*0.1/0.2548*1000)</f>
        <v>11.330455259026687</v>
      </c>
      <c r="L22" s="75">
        <f>(Input!M100*0.1/0.2548*1000)</f>
        <v>1.2425431711145996</v>
      </c>
      <c r="M22" s="75">
        <f>(Input!N100*0.1/0.2548*1000)</f>
        <v>46.428571428571423</v>
      </c>
      <c r="N22" s="75">
        <f>(Input!O100*0.1/0.2548*1000)</f>
        <v>235.63579277864989</v>
      </c>
      <c r="O22" s="75">
        <f>(Input!P100*0.1/0.2548*1000)</f>
        <v>0.16875981161695447</v>
      </c>
      <c r="P22" s="75">
        <f>(Input!Q100*0.1/0.2548*1000)</f>
        <v>1.2684458398744114</v>
      </c>
      <c r="Q22" s="75">
        <f>(Input!R100*0.1/0.2548*1000)</f>
        <v>15.098116169544738</v>
      </c>
      <c r="R22" s="75">
        <f>(Input!S100*0.1/0.2548*1000)</f>
        <v>5.7417582417582418</v>
      </c>
      <c r="S22" s="75">
        <f>(Input!T100*0.1/0.2548*1000)</f>
        <v>0.51648351648351654</v>
      </c>
      <c r="T22" s="64">
        <v>1.15751</v>
      </c>
      <c r="U22" s="64">
        <v>1.0397099999999999</v>
      </c>
      <c r="V22" s="75">
        <f>(Input!W100*0.1/0.2548*1000)</f>
        <v>6.9466248037676592E-2</v>
      </c>
      <c r="W22" s="75">
        <f>(Input!X100*0.1/0.2548*1000)</f>
        <v>2.1934850863422293</v>
      </c>
      <c r="X22" s="75">
        <f>(Input!Y100*0.1/0.2548*1000)</f>
        <v>3.4972527472527464</v>
      </c>
      <c r="Y22" s="75">
        <f>(Input!Z100*0.1/0.2548*1000)</f>
        <v>110.04709576138146</v>
      </c>
      <c r="Z22" s="64">
        <v>1.2389699999999999</v>
      </c>
      <c r="AA22" s="64">
        <v>1.1853100000000001</v>
      </c>
      <c r="AB22" s="75">
        <f>(Input!AC100*0.1/0.2548*1000)</f>
        <v>2.5902668759811617E-2</v>
      </c>
      <c r="AC22" s="75">
        <f>(Input!AD100*0.1/0.2548*1000)</f>
        <v>0.21507064364207223</v>
      </c>
      <c r="AD22" s="75">
        <f>(Input!AE100*0.1/0.2548*1000)</f>
        <v>3.9246467817896386E-4</v>
      </c>
      <c r="AE22" s="75">
        <f>(Input!AF100*0.1/0.2548*1000)</f>
        <v>1.9623233908948197E-3</v>
      </c>
      <c r="AF22" s="75">
        <f>(Input!AG100*0.1/0.2548*1000)</f>
        <v>2.8257456828885395E-2</v>
      </c>
      <c r="AG22" s="75">
        <f>(Input!AH100*0.1/0.2548*1000)</f>
        <v>0.11656200941915228</v>
      </c>
      <c r="AH22" s="75">
        <f>(Input!AI100*0.1/0.2548*1000)</f>
        <v>4.3563579277864993E-2</v>
      </c>
      <c r="AI22" s="64">
        <v>1.1362699999999999</v>
      </c>
      <c r="AJ22" s="64">
        <v>1.16211</v>
      </c>
      <c r="AK22" s="75">
        <f>(Input!AL100*0.1/0.2548*1000)</f>
        <v>7.1036106750392444E-2</v>
      </c>
      <c r="AL22" s="75">
        <f>(Input!AM100*0.1/0.2548*1000)</f>
        <v>3.9246467817896386E-4</v>
      </c>
      <c r="AM22" s="75">
        <f>(Input!AN100*0.1/0.2548*1000)</f>
        <v>3.6891679748822598E-2</v>
      </c>
      <c r="AN22" s="75">
        <f>(Input!AO100*0.1/0.2548*1000)</f>
        <v>13.445839874411304</v>
      </c>
      <c r="AO22" s="75">
        <f>(Input!AQ100*0.1/0.2548*1000)</f>
        <v>0.16365777080062793</v>
      </c>
      <c r="AP22" s="75">
        <f>(Input!AR100*0.1/0.2548*1000)</f>
        <v>0.30847723704866564</v>
      </c>
      <c r="AQ22" s="75">
        <f>(Input!AS100*0.1/0.2548*1000)</f>
        <v>3.6106750392464672E-2</v>
      </c>
      <c r="AR22" s="75">
        <f>(Input!AT100*0.1/0.2548*1000)</f>
        <v>0.13304552590266874</v>
      </c>
      <c r="AS22" s="75">
        <f>(Input!AU100*0.1/0.2548*1000)</f>
        <v>2.5117739403453687E-2</v>
      </c>
      <c r="AT22" s="75">
        <f>(Input!AV100*0.1/0.2548*1000)</f>
        <v>7.849293563579279E-3</v>
      </c>
      <c r="AU22" s="75">
        <f>(Input!AW100*0.1/0.2548*1000)</f>
        <v>2.2370486656200943E-2</v>
      </c>
      <c r="AV22" s="75">
        <f>(Input!AX100*0.1/0.2548*1000)</f>
        <v>4.3171114599686025E-3</v>
      </c>
      <c r="AW22" s="75">
        <f>(Input!AY100*0.1/0.2548*1000)</f>
        <v>1.6875981161695443E-2</v>
      </c>
      <c r="AX22" s="75">
        <f>(Input!AZ100*0.1/0.2548*1000)</f>
        <v>3.1397174254317109E-3</v>
      </c>
      <c r="AY22" s="75">
        <f>(Input!BA100*0.1/0.2548*1000)</f>
        <v>8.2417582417582402E-3</v>
      </c>
      <c r="AZ22" s="75">
        <f>(Input!BB100*0.1/0.2548*1000)</f>
        <v>1.1773940345368918E-3</v>
      </c>
      <c r="BA22" s="75">
        <f>(Input!BC100*0.1/0.2548*1000)</f>
        <v>7.4568288854003142E-3</v>
      </c>
      <c r="BB22" s="75">
        <f>(Input!BD100*0.1/0.2548*1000)</f>
        <v>1.1773940345368918E-3</v>
      </c>
      <c r="BC22" s="75">
        <f>(Input!BE100*0.1/0.2548*1000)</f>
        <v>3.9246467817896386E-4</v>
      </c>
      <c r="BD22" s="75">
        <f>(Input!BF100*0.1/0.2548*1000)</f>
        <v>4.5525902668759811E-2</v>
      </c>
      <c r="BE22" s="75">
        <f>(Input!BG100*0.1/0.2548*1000)</f>
        <v>7.7315541601255894E-2</v>
      </c>
      <c r="BF22" s="75">
        <f>(Input!BH100*0.1/0.2548*1000)</f>
        <v>7.8492935635792779E-2</v>
      </c>
      <c r="BG22" s="75">
        <f>(Input!BI100*0.1/0.2548*1000)</f>
        <v>0</v>
      </c>
      <c r="BH22" s="75">
        <f>(Input!BJ100*0.1/0.2548*1000)</f>
        <v>0</v>
      </c>
      <c r="BI22" s="75">
        <f>(Input!BK100*0.1/0.2548*1000)</f>
        <v>5.1805337519623233E-2</v>
      </c>
      <c r="BJ22" s="75">
        <f>(Input!BL100*0.1/0.2548*1000)</f>
        <v>1.5698587127158554E-3</v>
      </c>
      <c r="BK22" s="75">
        <f>(Input!BM100*0.1/0.2548*1000)</f>
        <v>0.42189952904238615</v>
      </c>
      <c r="BL22" s="75">
        <f>(Input!BN100*0.1/0.2548*1000)</f>
        <v>0.40131083202511769</v>
      </c>
      <c r="BM22" s="64">
        <v>1.02254</v>
      </c>
      <c r="BN22" s="64">
        <v>1.0902799999999999</v>
      </c>
      <c r="BO22" s="75">
        <f>(Input!BQ100*0.1/0.2548*1000)</f>
        <v>4.2386185243328094E-2</v>
      </c>
      <c r="BP22" s="75">
        <f>(Input!BR100*0.1/0.2548*1000)</f>
        <v>8.2417582417582402E-3</v>
      </c>
    </row>
    <row r="23" spans="1:69" x14ac:dyDescent="0.3">
      <c r="A23" s="52" t="s">
        <v>80</v>
      </c>
      <c r="B23" s="75">
        <f>(Input!B101*0.1/0.2549*1000)</f>
        <v>108.51314240878777</v>
      </c>
      <c r="C23" s="75">
        <f>(Input!C101*0.1/0.2549*1000)</f>
        <v>1866.614358571989</v>
      </c>
      <c r="D23" s="75">
        <f>(Input!D101*0.1/0.2549*1000)</f>
        <v>131.77716751667322</v>
      </c>
      <c r="E23" s="75">
        <f>(Input!E101*0.1/0.2549*1000)</f>
        <v>1014.5154962730483</v>
      </c>
      <c r="F23" s="75">
        <f>(Input!F101*0.1/0.2549*1000)</f>
        <v>14225.186347587287</v>
      </c>
      <c r="G23" s="75">
        <f>(Input!G101*0.1/0.2549*1000)</f>
        <v>15429.580227540211</v>
      </c>
      <c r="H23" s="64">
        <v>1.2757499999999999</v>
      </c>
      <c r="I23" s="64">
        <v>1.17178</v>
      </c>
      <c r="J23" s="75">
        <f>(Input!J101*0.1/0.2549*1000)</f>
        <v>85.837583366025896</v>
      </c>
      <c r="K23" s="75">
        <f>(Input!L101*0.1/0.2549*1000)</f>
        <v>11.965476657512751</v>
      </c>
      <c r="L23" s="75">
        <f>(Input!M101*0.1/0.2549*1000)</f>
        <v>1.6241663397410746</v>
      </c>
      <c r="M23" s="75">
        <f>(Input!N101*0.1/0.2549*1000)</f>
        <v>40.408003138485682</v>
      </c>
      <c r="N23" s="75">
        <f>(Input!O101*0.1/0.2549*1000)</f>
        <v>175.51981169085914</v>
      </c>
      <c r="O23" s="75">
        <f>(Input!P101*0.1/0.2549*1000)</f>
        <v>0.11337779521380932</v>
      </c>
      <c r="P23" s="75">
        <f>(Input!Q101*0.1/0.2549*1000)</f>
        <v>1.4790113770105924</v>
      </c>
      <c r="Q23" s="75">
        <f>(Input!R101*0.1/0.2549*1000)</f>
        <v>14.08395449195763</v>
      </c>
      <c r="R23" s="75">
        <f>(Input!S101*0.1/0.2549*1000)</f>
        <v>8.1365241271086699</v>
      </c>
      <c r="S23" s="75">
        <f>(Input!T101*0.1/0.2549*1000)</f>
        <v>0.44527265594350723</v>
      </c>
      <c r="T23" s="64">
        <v>1.1444799999999999</v>
      </c>
      <c r="U23" s="64">
        <v>1.0285899999999999</v>
      </c>
      <c r="V23" s="75">
        <f>(Input!W101*0.1/0.2549*1000)</f>
        <v>5.4923499411533939E-2</v>
      </c>
      <c r="W23" s="75">
        <f>(Input!X101*0.1/0.2549*1000)</f>
        <v>3.4554727344056495</v>
      </c>
      <c r="X23" s="75">
        <f>(Input!Y101*0.1/0.2549*1000)</f>
        <v>4.4370341310317771</v>
      </c>
      <c r="Y23" s="75">
        <f>(Input!Z101*0.1/0.2549*1000)</f>
        <v>58.689682228324827</v>
      </c>
      <c r="Z23" s="64">
        <v>1.2361500000000001</v>
      </c>
      <c r="AA23" s="64">
        <v>1.1874100000000001</v>
      </c>
      <c r="AB23" s="75">
        <f>(Input!AC101*0.1/0.2549*1000)</f>
        <v>1.6084739113377794E-2</v>
      </c>
      <c r="AC23" s="75">
        <f>(Input!AD101*0.1/0.2549*1000)</f>
        <v>0.31737936445664972</v>
      </c>
      <c r="AD23" s="75">
        <f>(Input!AE101*0.1/0.2549*1000)</f>
        <v>0</v>
      </c>
      <c r="AE23" s="75">
        <f>(Input!AF101*0.1/0.2549*1000)</f>
        <v>1.1769321302471558E-3</v>
      </c>
      <c r="AF23" s="75">
        <f>(Input!AG101*0.1/0.2549*1000)</f>
        <v>1.7261671243624949E-2</v>
      </c>
      <c r="AG23" s="75">
        <f>(Input!AH101*0.1/0.2549*1000)</f>
        <v>6.5123577873675953E-2</v>
      </c>
      <c r="AH23" s="75">
        <f>(Input!AI101*0.1/0.2549*1000)</f>
        <v>2.4323264025107885E-2</v>
      </c>
      <c r="AI23" s="64">
        <v>1.1372</v>
      </c>
      <c r="AJ23" s="64">
        <v>1.16913</v>
      </c>
      <c r="AK23" s="75">
        <f>(Input!AL101*0.1/0.2549*1000)</f>
        <v>3.6484896037661835E-2</v>
      </c>
      <c r="AL23" s="75">
        <f>(Input!AM101*0.1/0.2549*1000)</f>
        <v>7.8462142016477038E-4</v>
      </c>
      <c r="AM23" s="75">
        <f>(Input!AN101*0.1/0.2549*1000)</f>
        <v>4.4723420949391919E-2</v>
      </c>
      <c r="AN23" s="75">
        <f>(Input!AO101*0.1/0.2549*1000)</f>
        <v>11.353471949784229</v>
      </c>
      <c r="AO23" s="75">
        <f>(Input!AQ101*0.1/0.2549*1000)</f>
        <v>0.12279325225578658</v>
      </c>
      <c r="AP23" s="75">
        <f>(Input!AR101*0.1/0.2549*1000)</f>
        <v>0.24362495096116124</v>
      </c>
      <c r="AQ23" s="75">
        <f>(Input!AS101*0.1/0.2549*1000)</f>
        <v>2.8638681836014122E-2</v>
      </c>
      <c r="AR23" s="75">
        <f>(Input!AT101*0.1/0.2549*1000)</f>
        <v>0.10827775598273834</v>
      </c>
      <c r="AS23" s="75">
        <f>(Input!AU101*0.1/0.2549*1000)</f>
        <v>2.0792467634366419E-2</v>
      </c>
      <c r="AT23" s="75">
        <f>(Input!AV101*0.1/0.2549*1000)</f>
        <v>5.8846606512357787E-3</v>
      </c>
      <c r="AU23" s="75">
        <f>(Input!AW101*0.1/0.2549*1000)</f>
        <v>1.8830914083954493E-2</v>
      </c>
      <c r="AV23" s="75">
        <f>(Input!AX101*0.1/0.2549*1000)</f>
        <v>3.1384856806590815E-3</v>
      </c>
      <c r="AW23" s="75">
        <f>(Input!AY101*0.1/0.2549*1000)</f>
        <v>1.3338564142801098E-2</v>
      </c>
      <c r="AX23" s="75">
        <f>(Input!AZ101*0.1/0.2549*1000)</f>
        <v>2.3538642604943117E-3</v>
      </c>
      <c r="AY23" s="75">
        <f>(Input!BA101*0.1/0.2549*1000)</f>
        <v>6.669282071400549E-3</v>
      </c>
      <c r="AZ23" s="75">
        <f>(Input!BB101*0.1/0.2549*1000)</f>
        <v>7.8462142016477038E-4</v>
      </c>
      <c r="BA23" s="75">
        <f>(Input!BC101*0.1/0.2549*1000)</f>
        <v>6.276971361318163E-3</v>
      </c>
      <c r="BB23" s="75">
        <f>(Input!BD101*0.1/0.2549*1000)</f>
        <v>7.8462142016477038E-4</v>
      </c>
      <c r="BC23" s="75">
        <f>(Input!BE101*0.1/0.2549*1000)</f>
        <v>3.9231071008238519E-4</v>
      </c>
      <c r="BD23" s="75">
        <f>(Input!BF101*0.1/0.2549*1000)</f>
        <v>3.2561788936837976E-2</v>
      </c>
      <c r="BE23" s="75">
        <f>(Input!BG101*0.1/0.2549*1000)</f>
        <v>0.10749313456257358</v>
      </c>
      <c r="BF23" s="75">
        <f>(Input!BH101*0.1/0.2549*1000)</f>
        <v>0.11141624166339741</v>
      </c>
      <c r="BG23" s="75">
        <f>(Input!BI101*0.1/0.2549*1000)</f>
        <v>0</v>
      </c>
      <c r="BH23" s="75">
        <f>(Input!BJ101*0.1/0.2549*1000)</f>
        <v>0</v>
      </c>
      <c r="BI23" s="75">
        <f>(Input!BK101*0.1/0.2549*1000)</f>
        <v>2.5892506865437433E-2</v>
      </c>
      <c r="BJ23" s="75">
        <f>(Input!BL101*0.1/0.2549*1000)</f>
        <v>1.9615535504119265E-3</v>
      </c>
      <c r="BK23" s="75">
        <f>(Input!BM101*0.1/0.2549*1000)</f>
        <v>0.80855237347979592</v>
      </c>
      <c r="BL23" s="75">
        <f>(Input!BN101*0.1/0.2549*1000)</f>
        <v>0.40165162808944693</v>
      </c>
      <c r="BM23" s="64">
        <v>1.0238100000000001</v>
      </c>
      <c r="BN23" s="64">
        <v>1.09941</v>
      </c>
      <c r="BO23" s="75">
        <f>(Input!BQ101*0.1/0.2549*1000)</f>
        <v>2.6284817575519811E-2</v>
      </c>
      <c r="BP23" s="75">
        <f>(Input!BR101*0.1/0.2549*1000)</f>
        <v>6.276971361318163E-3</v>
      </c>
    </row>
    <row r="24" spans="1:69" x14ac:dyDescent="0.3">
      <c r="A24" s="52" t="s">
        <v>81</v>
      </c>
      <c r="B24" s="75">
        <f>(Input!B102*0.1/0.2589*1000)</f>
        <v>59.289300888373894</v>
      </c>
      <c r="C24" s="75">
        <f>(Input!C102*0.1/0.2589*1000)</f>
        <v>1550.7918115102354</v>
      </c>
      <c r="D24" s="75">
        <f>(Input!D102*0.1/0.2589*1000)</f>
        <v>128.0030899961375</v>
      </c>
      <c r="E24" s="75">
        <f>(Input!E102*0.1/0.2589*1000)</f>
        <v>808.80648899188873</v>
      </c>
      <c r="F24" s="75">
        <f>(Input!F102*0.1/0.2589*1000)</f>
        <v>20517.574353032058</v>
      </c>
      <c r="G24" s="75">
        <f>(Input!G102*0.1/0.2589*1000)</f>
        <v>19768.250289687137</v>
      </c>
      <c r="H24" s="64">
        <v>1.23204</v>
      </c>
      <c r="I24" s="64">
        <v>1.14788</v>
      </c>
      <c r="J24" s="75">
        <f>(Input!J102*0.1/0.2589*1000)</f>
        <v>106.60486674391657</v>
      </c>
      <c r="K24" s="75">
        <f>(Input!L102*0.1/0.2589*1000)</f>
        <v>10.992661259173424</v>
      </c>
      <c r="L24" s="75">
        <f>(Input!M102*0.1/0.2589*1000)</f>
        <v>1.5048281189648511</v>
      </c>
      <c r="M24" s="75">
        <f>(Input!N102*0.1/0.2589*1000)</f>
        <v>33.572808033989951</v>
      </c>
      <c r="N24" s="75">
        <f>(Input!O102*0.1/0.2589*1000)</f>
        <v>385.05214368482041</v>
      </c>
      <c r="O24" s="75">
        <f>(Input!P102*0.1/0.2589*1000)</f>
        <v>0.13364233294708378</v>
      </c>
      <c r="P24" s="75">
        <f>(Input!Q102*0.1/0.2589*1000)</f>
        <v>1.1278485901892621</v>
      </c>
      <c r="Q24" s="75">
        <f>(Input!R102*0.1/0.2589*1000)</f>
        <v>8.752414059482426</v>
      </c>
      <c r="R24" s="75">
        <f>(Input!S102*0.1/0.2589*1000)</f>
        <v>11.919660100424874</v>
      </c>
      <c r="S24" s="75">
        <f>(Input!T102*0.1/0.2589*1000)</f>
        <v>0.29663962920046349</v>
      </c>
      <c r="T24" s="64">
        <v>1.1111200000000001</v>
      </c>
      <c r="U24" s="64">
        <v>1.0131399999999999</v>
      </c>
      <c r="V24" s="75">
        <f>(Input!W102*0.1/0.2589*1000)</f>
        <v>9.6176129779837763E-2</v>
      </c>
      <c r="W24" s="75">
        <f>(Input!X102*0.1/0.2589*1000)</f>
        <v>4.8435689455388173</v>
      </c>
      <c r="X24" s="75">
        <f>(Input!Y102*0.1/0.2589*1000)</f>
        <v>12.348397064503668</v>
      </c>
      <c r="Y24" s="75">
        <f>(Input!Z102*0.1/0.2589*1000)</f>
        <v>59.173426033217453</v>
      </c>
      <c r="Z24" s="64">
        <v>1.1937599999999999</v>
      </c>
      <c r="AA24" s="64">
        <v>1.16378</v>
      </c>
      <c r="AB24" s="75">
        <f>(Input!AC102*0.1/0.2589*1000)</f>
        <v>1.6994978756276553E-2</v>
      </c>
      <c r="AC24" s="75">
        <f>(Input!AD102*0.1/0.2589*1000)</f>
        <v>0.33371958285052145</v>
      </c>
      <c r="AD24" s="75">
        <f>(Input!AE102*0.1/0.2589*1000)</f>
        <v>3.8624951718810345E-4</v>
      </c>
      <c r="AE24" s="75">
        <f>(Input!AF102*0.1/0.2589*1000)</f>
        <v>1.1587485515643105E-3</v>
      </c>
      <c r="AF24" s="75">
        <f>(Input!AG102*0.1/0.2589*1000)</f>
        <v>1.4677481653147934E-2</v>
      </c>
      <c r="AG24" s="75">
        <f>(Input!AH102*0.1/0.2589*1000)</f>
        <v>0.2665121668597914</v>
      </c>
      <c r="AH24" s="75">
        <f>(Input!AI102*0.1/0.2589*1000)</f>
        <v>2.7037466203167246E-2</v>
      </c>
      <c r="AI24" s="64">
        <v>1.0971200000000001</v>
      </c>
      <c r="AJ24" s="64">
        <v>1.14276</v>
      </c>
      <c r="AK24" s="75">
        <f>(Input!AL102*0.1/0.2589*1000)</f>
        <v>5.2916183854770184E-2</v>
      </c>
      <c r="AL24" s="75">
        <f>(Input!AM102*0.1/0.2589*1000)</f>
        <v>1.1587485515643105E-3</v>
      </c>
      <c r="AM24" s="75">
        <f>(Input!AN102*0.1/0.2589*1000)</f>
        <v>8.2271147161066052E-2</v>
      </c>
      <c r="AN24" s="75">
        <f>(Input!AO102*0.1/0.2589*1000)</f>
        <v>7.5704905368868305</v>
      </c>
      <c r="AO24" s="75">
        <f>(Input!AQ102*0.1/0.2589*1000)</f>
        <v>0.13827732715334104</v>
      </c>
      <c r="AP24" s="75">
        <f>(Input!AR102*0.1/0.2589*1000)</f>
        <v>0.25492468134414831</v>
      </c>
      <c r="AQ24" s="75">
        <f>(Input!AS102*0.1/0.2589*1000)</f>
        <v>3.0899961375048284E-2</v>
      </c>
      <c r="AR24" s="75">
        <f>(Input!AT102*0.1/0.2589*1000)</f>
        <v>0.11510235612205484</v>
      </c>
      <c r="AS24" s="75">
        <f>(Input!AU102*0.1/0.2589*1000)</f>
        <v>2.3174971031286209E-2</v>
      </c>
      <c r="AT24" s="75">
        <f>(Input!AV102*0.1/0.2589*1000)</f>
        <v>5.7937427578215522E-3</v>
      </c>
      <c r="AU24" s="75">
        <f>(Input!AW102*0.1/0.2589*1000)</f>
        <v>2.0084974893781381E-2</v>
      </c>
      <c r="AV24" s="75">
        <f>(Input!AX102*0.1/0.2589*1000)</f>
        <v>3.0899961375048276E-3</v>
      </c>
      <c r="AW24" s="75">
        <f>(Input!AY102*0.1/0.2589*1000)</f>
        <v>1.4677481653147934E-2</v>
      </c>
      <c r="AX24" s="75">
        <f>(Input!AZ102*0.1/0.2589*1000)</f>
        <v>2.703746620316725E-3</v>
      </c>
      <c r="AY24" s="75">
        <f>(Input!BA102*0.1/0.2589*1000)</f>
        <v>7.724990343762071E-3</v>
      </c>
      <c r="AZ24" s="75">
        <f>(Input!BB102*0.1/0.2589*1000)</f>
        <v>1.1587485515643105E-3</v>
      </c>
      <c r="BA24" s="75">
        <f>(Input!BC102*0.1/0.2589*1000)</f>
        <v>6.9524913093858614E-3</v>
      </c>
      <c r="BB24" s="75">
        <f>(Input!BD102*0.1/0.2589*1000)</f>
        <v>1.1587485515643105E-3</v>
      </c>
      <c r="BC24" s="75">
        <f>(Input!BE102*0.1/0.2589*1000)</f>
        <v>3.8624951718810345E-4</v>
      </c>
      <c r="BD24" s="75">
        <f>(Input!BF102*0.1/0.2589*1000)</f>
        <v>3.3989957512553105E-2</v>
      </c>
      <c r="BE24" s="75">
        <f>(Input!BG102*0.1/0.2589*1000)</f>
        <v>5.1757435303205868E-2</v>
      </c>
      <c r="BF24" s="75">
        <f>(Input!BH102*0.1/0.2589*1000)</f>
        <v>5.4074932406334493E-2</v>
      </c>
      <c r="BG24" s="75">
        <f>(Input!BI102*0.1/0.2589*1000)</f>
        <v>0</v>
      </c>
      <c r="BH24" s="75">
        <f>(Input!BJ102*0.1/0.2589*1000)</f>
        <v>3.8624951718810345E-4</v>
      </c>
      <c r="BI24" s="75">
        <f>(Input!BK102*0.1/0.2589*1000)</f>
        <v>0.15295480880648901</v>
      </c>
      <c r="BJ24" s="75">
        <f>(Input!BL102*0.1/0.2589*1000)</f>
        <v>4.2487446890691382E-3</v>
      </c>
      <c r="BK24" s="75">
        <f>(Input!BM102*0.1/0.2589*1000)</f>
        <v>0.50057937427578214</v>
      </c>
      <c r="BL24" s="75">
        <f>(Input!BN102*0.1/0.2589*1000)</f>
        <v>0.38362302047122449</v>
      </c>
      <c r="BM24" s="64">
        <v>0.99319999999999997</v>
      </c>
      <c r="BN24" s="64">
        <v>1.0764899999999999</v>
      </c>
      <c r="BO24" s="75">
        <f>(Input!BQ102*0.1/0.2589*1000)</f>
        <v>3.2831208960988803E-2</v>
      </c>
      <c r="BP24" s="75">
        <f>(Input!BR102*0.1/0.2589*1000)</f>
        <v>6.9524913093858614E-3</v>
      </c>
    </row>
    <row r="25" spans="1:69" x14ac:dyDescent="0.3">
      <c r="A25" s="52" t="s">
        <v>82</v>
      </c>
      <c r="B25" s="75">
        <f>(Input!B103*0.1/0.2568*1000)</f>
        <v>267.09501557632404</v>
      </c>
      <c r="C25" s="75">
        <f>(Input!C103*0.1/0.2568*1000)</f>
        <v>1741.433021806854</v>
      </c>
      <c r="D25" s="75">
        <f>(Input!D103*0.1/0.2568*1000)</f>
        <v>124.88317757009347</v>
      </c>
      <c r="E25" s="75">
        <f>(Input!E103*0.1/0.2568*1000)</f>
        <v>1548.6760124610591</v>
      </c>
      <c r="F25" s="75">
        <f>(Input!F103*0.1/0.2568*1000)</f>
        <v>19295.171339563865</v>
      </c>
      <c r="G25" s="75">
        <f>(Input!G103*0.1/0.2568*1000)</f>
        <v>17924.45482866044</v>
      </c>
      <c r="H25" s="64">
        <v>1.2191399999999999</v>
      </c>
      <c r="I25" s="64">
        <v>1.16032</v>
      </c>
      <c r="J25" s="75">
        <f>(Input!J103*0.1/0.2568*1000)</f>
        <v>96.612149532710291</v>
      </c>
      <c r="K25" s="75">
        <f>(Input!L103*0.1/0.2568*1000)</f>
        <v>10.919003115264799</v>
      </c>
      <c r="L25" s="75">
        <f>(Input!M103*0.1/0.2568*1000)</f>
        <v>1.5116822429906545</v>
      </c>
      <c r="M25" s="75">
        <f>(Input!N103*0.1/0.2568*1000)</f>
        <v>40.926791277258573</v>
      </c>
      <c r="N25" s="75">
        <f>(Input!O103*0.1/0.2568*1000)</f>
        <v>275.03894080996889</v>
      </c>
      <c r="O25" s="75">
        <f>(Input!P103*0.1/0.2568*1000)</f>
        <v>0.13395638629283491</v>
      </c>
      <c r="P25" s="75">
        <f>(Input!Q103*0.1/0.2568*1000)</f>
        <v>1.3625389408099688</v>
      </c>
      <c r="Q25" s="75">
        <f>(Input!R103*0.1/0.2568*1000)</f>
        <v>16.479750778816204</v>
      </c>
      <c r="R25" s="75">
        <f>(Input!S103*0.1/0.2568*1000)</f>
        <v>7.35202492211838</v>
      </c>
      <c r="S25" s="75">
        <f>(Input!T103*0.1/0.2568*1000)</f>
        <v>0.54400311526479761</v>
      </c>
      <c r="T25" s="64">
        <v>1.10798</v>
      </c>
      <c r="U25" s="64">
        <v>1.0082</v>
      </c>
      <c r="V25" s="75">
        <f>(Input!W103*0.1/0.2568*1000)</f>
        <v>8.0996884735202501E-2</v>
      </c>
      <c r="W25" s="75">
        <f>(Input!X103*0.1/0.2568*1000)</f>
        <v>7.7531152647975095</v>
      </c>
      <c r="X25" s="75">
        <f>(Input!Y103*0.1/0.2568*1000)</f>
        <v>5.0739875389408109</v>
      </c>
      <c r="Y25" s="75">
        <f>(Input!Z103*0.1/0.2568*1000)</f>
        <v>87.889408099688481</v>
      </c>
      <c r="Z25" s="64">
        <v>1.18781</v>
      </c>
      <c r="AA25" s="64">
        <v>1.17526</v>
      </c>
      <c r="AB25" s="75">
        <f>(Input!AC103*0.1/0.2568*1000)</f>
        <v>1.2461059190031154E-2</v>
      </c>
      <c r="AC25" s="75">
        <f>(Input!AD103*0.1/0.2568*1000)</f>
        <v>0.38239875389408107</v>
      </c>
      <c r="AD25" s="75">
        <f>(Input!AE103*0.1/0.2568*1000)</f>
        <v>3.8940809968847356E-4</v>
      </c>
      <c r="AE25" s="75">
        <f>(Input!AF103*0.1/0.2568*1000)</f>
        <v>1.5576323987538943E-3</v>
      </c>
      <c r="AF25" s="75">
        <f>(Input!AG103*0.1/0.2568*1000)</f>
        <v>2.3753894080996887E-2</v>
      </c>
      <c r="AG25" s="75">
        <f>(Input!AH103*0.1/0.2568*1000)</f>
        <v>0.16004672897196259</v>
      </c>
      <c r="AH25" s="75">
        <f>(Input!AI103*0.1/0.2568*1000)</f>
        <v>1.9080996884735205E-2</v>
      </c>
      <c r="AI25" s="64">
        <v>1.0943700000000001</v>
      </c>
      <c r="AJ25" s="64">
        <v>1.15509</v>
      </c>
      <c r="AK25" s="75">
        <f>(Input!AL103*0.1/0.2568*1000)</f>
        <v>1.2850467289719629E-2</v>
      </c>
      <c r="AL25" s="75">
        <f>(Input!AM103*0.1/0.2568*1000)</f>
        <v>3.8940809968847356E-4</v>
      </c>
      <c r="AM25" s="75">
        <f>(Input!AN103*0.1/0.2568*1000)</f>
        <v>4.5560747663551414E-2</v>
      </c>
      <c r="AN25" s="75">
        <f>(Input!AO103*0.1/0.2568*1000)</f>
        <v>13.983644859813085</v>
      </c>
      <c r="AO25" s="75">
        <f>(Input!AQ103*0.1/0.2568*1000)</f>
        <v>0.10085669781931465</v>
      </c>
      <c r="AP25" s="75">
        <f>(Input!AR103*0.1/0.2568*1000)</f>
        <v>0.19314641744548292</v>
      </c>
      <c r="AQ25" s="75">
        <f>(Input!AS103*0.1/0.2568*1000)</f>
        <v>2.3364485981308414E-2</v>
      </c>
      <c r="AR25" s="75">
        <f>(Input!AT103*0.1/0.2568*1000)</f>
        <v>8.9174454828660446E-2</v>
      </c>
      <c r="AS25" s="75">
        <f>(Input!AU103*0.1/0.2568*1000)</f>
        <v>1.8691588785046735E-2</v>
      </c>
      <c r="AT25" s="75">
        <f>(Input!AV103*0.1/0.2568*1000)</f>
        <v>5.4517133956386299E-3</v>
      </c>
      <c r="AU25" s="75">
        <f>(Input!AW103*0.1/0.2568*1000)</f>
        <v>1.596573208722742E-2</v>
      </c>
      <c r="AV25" s="75">
        <f>(Input!AX103*0.1/0.2568*1000)</f>
        <v>2.3364485981308418E-3</v>
      </c>
      <c r="AW25" s="75">
        <f>(Input!AY103*0.1/0.2568*1000)</f>
        <v>1.1682242990654207E-2</v>
      </c>
      <c r="AX25" s="75">
        <f>(Input!AZ103*0.1/0.2568*1000)</f>
        <v>1.947040498442368E-3</v>
      </c>
      <c r="AY25" s="75">
        <f>(Input!BA103*0.1/0.2568*1000)</f>
        <v>5.4517133956386299E-3</v>
      </c>
      <c r="AZ25" s="75">
        <f>(Input!BB103*0.1/0.2568*1000)</f>
        <v>7.7881619937694713E-4</v>
      </c>
      <c r="BA25" s="75">
        <f>(Input!BC103*0.1/0.2568*1000)</f>
        <v>4.6728971962616836E-3</v>
      </c>
      <c r="BB25" s="75">
        <f>(Input!BD103*0.1/0.2568*1000)</f>
        <v>7.7881619937694713E-4</v>
      </c>
      <c r="BC25" s="75">
        <f>(Input!BE103*0.1/0.2568*1000)</f>
        <v>7.7881619937694713E-4</v>
      </c>
      <c r="BD25" s="75">
        <f>(Input!BF103*0.1/0.2568*1000)</f>
        <v>4.5171339563862933E-2</v>
      </c>
      <c r="BE25" s="75">
        <f>(Input!BG103*0.1/0.2568*1000)</f>
        <v>6.6978193146417453E-2</v>
      </c>
      <c r="BF25" s="75">
        <f>(Input!BH103*0.1/0.2568*1000)</f>
        <v>6.8146417445482874E-2</v>
      </c>
      <c r="BG25" s="75">
        <f>(Input!BI103*0.1/0.2568*1000)</f>
        <v>0</v>
      </c>
      <c r="BH25" s="75">
        <f>(Input!BJ103*0.1/0.2568*1000)</f>
        <v>0</v>
      </c>
      <c r="BI25" s="75">
        <f>(Input!BK103*0.1/0.2568*1000)</f>
        <v>5.1012461059190044E-2</v>
      </c>
      <c r="BJ25" s="75">
        <f>(Input!BL103*0.1/0.2568*1000)</f>
        <v>1.947040498442368E-3</v>
      </c>
      <c r="BK25" s="75">
        <f>(Input!BM103*0.1/0.2568*1000)</f>
        <v>0.43613707165109045</v>
      </c>
      <c r="BL25" s="75">
        <f>(Input!BN103*0.1/0.2568*1000)</f>
        <v>0.38565420560747671</v>
      </c>
      <c r="BM25" s="64">
        <v>0.99036000000000002</v>
      </c>
      <c r="BN25" s="64">
        <v>1.0866199999999999</v>
      </c>
      <c r="BO25" s="75">
        <f>(Input!BQ103*0.1/0.2568*1000)</f>
        <v>3.1542056074766359E-2</v>
      </c>
      <c r="BP25" s="75">
        <f>(Input!BR103*0.1/0.2568*1000)</f>
        <v>5.4517133956386299E-3</v>
      </c>
    </row>
    <row r="26" spans="1:69" x14ac:dyDescent="0.3">
      <c r="A26" s="52" t="s">
        <v>83</v>
      </c>
      <c r="B26" s="75">
        <f>(Input!B104*0.1/0.2544*1000)</f>
        <v>190.48742138364778</v>
      </c>
      <c r="C26" s="75">
        <f>(Input!C104*0.1/0.2544*1000)</f>
        <v>1741.7452830188679</v>
      </c>
      <c r="D26" s="75">
        <f>(Input!D104*0.1/0.2544*1000)</f>
        <v>149.76415094339623</v>
      </c>
      <c r="E26" s="75">
        <f>(Input!E104*0.1/0.2544*1000)</f>
        <v>1152.51572327044</v>
      </c>
      <c r="F26" s="75">
        <f>(Input!F104*0.1/0.2544*1000)</f>
        <v>21497.641509433961</v>
      </c>
      <c r="G26" s="75">
        <f>(Input!G104*0.1/0.2544*1000)</f>
        <v>19280.66037735849</v>
      </c>
      <c r="H26" s="64">
        <v>1.2141599999999999</v>
      </c>
      <c r="I26" s="64">
        <v>1.1486000000000001</v>
      </c>
      <c r="J26" s="75">
        <f>(Input!J104*0.1/0.2544*1000)</f>
        <v>104.36320754716982</v>
      </c>
      <c r="K26" s="75">
        <f>(Input!L104*0.1/0.2544*1000)</f>
        <v>12.311320754716981</v>
      </c>
      <c r="L26" s="75">
        <f>(Input!M104*0.1/0.2544*1000)</f>
        <v>1.5805817610062893</v>
      </c>
      <c r="M26" s="75">
        <f>(Input!N104*0.1/0.2544*1000)</f>
        <v>51.022012578616348</v>
      </c>
      <c r="N26" s="75">
        <f>(Input!O104*0.1/0.2544*1000)</f>
        <v>191.47012578616352</v>
      </c>
      <c r="O26" s="75">
        <f>(Input!P104*0.1/0.2544*1000)</f>
        <v>0.21265723270440254</v>
      </c>
      <c r="P26" s="75">
        <f>(Input!Q104*0.1/0.2544*1000)</f>
        <v>1.21187106918239</v>
      </c>
      <c r="Q26" s="75">
        <f>(Input!R104*0.1/0.2544*1000)</f>
        <v>16.238207547169811</v>
      </c>
      <c r="R26" s="75">
        <f>(Input!S104*0.1/0.2544*1000)</f>
        <v>3.9583333333333335</v>
      </c>
      <c r="S26" s="75">
        <f>(Input!T104*0.1/0.2544*1000)</f>
        <v>0.40015723270440251</v>
      </c>
      <c r="T26" s="64">
        <v>1.09832</v>
      </c>
      <c r="U26" s="64">
        <v>1.00156</v>
      </c>
      <c r="V26" s="75">
        <f>(Input!W104*0.1/0.2544*1000)</f>
        <v>6.7610062893081746E-2</v>
      </c>
      <c r="W26" s="75">
        <f>(Input!X104*0.1/0.2544*1000)</f>
        <v>9.6816037735849054</v>
      </c>
      <c r="X26" s="75">
        <f>(Input!Y104*0.1/0.2544*1000)</f>
        <v>6.2224842767295607</v>
      </c>
      <c r="Y26" s="75">
        <f>(Input!Z104*0.1/0.2544*1000)</f>
        <v>102.39779874213838</v>
      </c>
      <c r="Z26" s="64">
        <v>1.1814800000000001</v>
      </c>
      <c r="AA26" s="64">
        <v>1.1672100000000001</v>
      </c>
      <c r="AB26" s="75">
        <f>(Input!AC104*0.1/0.2544*1000)</f>
        <v>1.4937106918238996E-2</v>
      </c>
      <c r="AC26" s="75">
        <f>(Input!AD104*0.1/0.2544*1000)</f>
        <v>0.50904088050314467</v>
      </c>
      <c r="AD26" s="75">
        <f>(Input!AE104*0.1/0.2544*1000)</f>
        <v>3.9308176100628928E-4</v>
      </c>
      <c r="AE26" s="75">
        <f>(Input!AF104*0.1/0.2544*1000)</f>
        <v>1.965408805031447E-3</v>
      </c>
      <c r="AF26" s="75">
        <f>(Input!AG104*0.1/0.2544*1000)</f>
        <v>2.5157232704402514E-2</v>
      </c>
      <c r="AG26" s="75">
        <f>(Input!AH104*0.1/0.2544*1000)</f>
        <v>3.4198113207547162E-2</v>
      </c>
      <c r="AH26" s="75">
        <f>(Input!AI104*0.1/0.2544*1000)</f>
        <v>1.7688679245283018E-2</v>
      </c>
      <c r="AI26" s="64">
        <v>1.0868100000000001</v>
      </c>
      <c r="AJ26" s="64">
        <v>1.1428100000000001</v>
      </c>
      <c r="AK26" s="75">
        <f>(Input!AL104*0.1/0.2544*1000)</f>
        <v>1.1792452830188678E-2</v>
      </c>
      <c r="AL26" s="75">
        <f>(Input!AM104*0.1/0.2544*1000)</f>
        <v>7.8616352201257855E-4</v>
      </c>
      <c r="AM26" s="75">
        <f>(Input!AN104*0.1/0.2544*1000)</f>
        <v>5.3066037735849059E-2</v>
      </c>
      <c r="AN26" s="75">
        <f>(Input!AO104*0.1/0.2544*1000)</f>
        <v>10.196540880503145</v>
      </c>
      <c r="AO26" s="75">
        <f>(Input!AQ104*0.1/0.2544*1000)</f>
        <v>0.12185534591194969</v>
      </c>
      <c r="AP26" s="75">
        <f>(Input!AR104*0.1/0.2544*1000)</f>
        <v>0.23506289308176101</v>
      </c>
      <c r="AQ26" s="75">
        <f>(Input!AS104*0.1/0.2544*1000)</f>
        <v>2.8301886792452824E-2</v>
      </c>
      <c r="AR26" s="75">
        <f>(Input!AT104*0.1/0.2544*1000)</f>
        <v>0.10966981132075472</v>
      </c>
      <c r="AS26" s="75">
        <f>(Input!AU104*0.1/0.2544*1000)</f>
        <v>2.20125786163522E-2</v>
      </c>
      <c r="AT26" s="75">
        <f>(Input!AV104*0.1/0.2544*1000)</f>
        <v>5.50314465408805E-3</v>
      </c>
      <c r="AU26" s="75">
        <f>(Input!AW104*0.1/0.2544*1000)</f>
        <v>1.9654088050314465E-2</v>
      </c>
      <c r="AV26" s="75">
        <f>(Input!AX104*0.1/0.2544*1000)</f>
        <v>2.751572327044025E-3</v>
      </c>
      <c r="AW26" s="75">
        <f>(Input!AY104*0.1/0.2544*1000)</f>
        <v>1.4937106918238996E-2</v>
      </c>
      <c r="AX26" s="75">
        <f>(Input!AZ104*0.1/0.2544*1000)</f>
        <v>2.751572327044025E-3</v>
      </c>
      <c r="AY26" s="75">
        <f>(Input!BA104*0.1/0.2544*1000)</f>
        <v>7.4685534591194978E-3</v>
      </c>
      <c r="AZ26" s="75">
        <f>(Input!BB104*0.1/0.2544*1000)</f>
        <v>7.8616352201257855E-4</v>
      </c>
      <c r="BA26" s="75">
        <f>(Input!BC104*0.1/0.2544*1000)</f>
        <v>5.8962264150943392E-3</v>
      </c>
      <c r="BB26" s="75">
        <f>(Input!BD104*0.1/0.2544*1000)</f>
        <v>7.8616352201257855E-4</v>
      </c>
      <c r="BC26" s="75">
        <f>(Input!BE104*0.1/0.2544*1000)</f>
        <v>3.9308176100628928E-4</v>
      </c>
      <c r="BD26" s="75">
        <f>(Input!BF104*0.1/0.2544*1000)</f>
        <v>4.40251572327044E-2</v>
      </c>
      <c r="BE26" s="75">
        <f>(Input!BG104*0.1/0.2544*1000)</f>
        <v>0.13718553459119498</v>
      </c>
      <c r="BF26" s="75">
        <f>(Input!BH104*0.1/0.2544*1000)</f>
        <v>0.142688679245283</v>
      </c>
      <c r="BG26" s="75">
        <f>(Input!BI104*0.1/0.2544*1000)</f>
        <v>0</v>
      </c>
      <c r="BH26" s="75">
        <f>(Input!BJ104*0.1/0.2544*1000)</f>
        <v>0</v>
      </c>
      <c r="BI26" s="75">
        <f>(Input!BK104*0.1/0.2544*1000)</f>
        <v>4.9135220125786166E-2</v>
      </c>
      <c r="BJ26" s="75">
        <f>(Input!BL104*0.1/0.2544*1000)</f>
        <v>1.965408805031447E-3</v>
      </c>
      <c r="BK26" s="75">
        <f>(Input!BM104*0.1/0.2544*1000)</f>
        <v>0.6301100628930818</v>
      </c>
      <c r="BL26" s="75">
        <f>(Input!BN104*0.1/0.2544*1000)</f>
        <v>0.38779088050314464</v>
      </c>
      <c r="BM26" s="64">
        <v>0.98653999999999997</v>
      </c>
      <c r="BN26" s="64">
        <v>1.0783199999999999</v>
      </c>
      <c r="BO26" s="75">
        <f>(Input!BQ104*0.1/0.2544*1000)</f>
        <v>3.6949685534591194E-2</v>
      </c>
      <c r="BP26" s="75">
        <f>(Input!BR104*0.1/0.2544*1000)</f>
        <v>7.075471698113206E-3</v>
      </c>
    </row>
    <row r="27" spans="1:69" x14ac:dyDescent="0.3">
      <c r="A27" s="52" t="s">
        <v>84</v>
      </c>
      <c r="B27" s="75">
        <f>(Input!B105*0.1/0.2561*1000)</f>
        <v>200.89808668488871</v>
      </c>
      <c r="C27" s="75">
        <f>(Input!C105*0.1/0.2561*1000)</f>
        <v>1609.1370558375638</v>
      </c>
      <c r="D27" s="75">
        <f>(Input!D105*0.1/0.2561*1000)</f>
        <v>125.38071065989847</v>
      </c>
      <c r="E27" s="75">
        <f>(Input!E105*0.1/0.2561*1000)</f>
        <v>1584.1468176493561</v>
      </c>
      <c r="F27" s="75">
        <f>(Input!F105*0.1/0.2561*1000)</f>
        <v>20406.091370558373</v>
      </c>
      <c r="G27" s="75">
        <f>(Input!G105*0.1/0.2561*1000)</f>
        <v>18586.489652479504</v>
      </c>
      <c r="H27" s="64">
        <v>1.21102</v>
      </c>
      <c r="I27" s="64">
        <v>1.1499900000000001</v>
      </c>
      <c r="J27" s="75">
        <f>(Input!J105*0.1/0.2561*1000)</f>
        <v>97.657165169855531</v>
      </c>
      <c r="K27" s="75">
        <f>(Input!L105*0.1/0.2561*1000)</f>
        <v>9.5314330339711084</v>
      </c>
      <c r="L27" s="75">
        <f>(Input!M105*0.1/0.2561*1000)</f>
        <v>1.1940648184303007</v>
      </c>
      <c r="M27" s="75">
        <f>(Input!N105*0.1/0.2561*1000)</f>
        <v>54.588051542366266</v>
      </c>
      <c r="N27" s="75">
        <f>(Input!O105*0.1/0.2561*1000)</f>
        <v>155.56423272159316</v>
      </c>
      <c r="O27" s="75">
        <f>(Input!P105*0.1/0.2561*1000)</f>
        <v>0.22256930886372511</v>
      </c>
      <c r="P27" s="75">
        <f>(Input!Q105*0.1/0.2561*1000)</f>
        <v>2.0542756735650141</v>
      </c>
      <c r="Q27" s="75">
        <f>(Input!R105*0.1/0.2561*1000)</f>
        <v>65.794611479890676</v>
      </c>
      <c r="R27" s="75">
        <f>(Input!S105*0.1/0.2561*1000)</f>
        <v>6.8254588051542369</v>
      </c>
      <c r="S27" s="75">
        <f>(Input!T105*0.1/0.2561*1000)</f>
        <v>0.68566966028894971</v>
      </c>
      <c r="T27" s="64">
        <v>1.0867500000000001</v>
      </c>
      <c r="U27" s="64">
        <v>1.00095</v>
      </c>
      <c r="V27" s="75">
        <f>(Input!W105*0.1/0.2561*1000)</f>
        <v>7.8094494338149162E-2</v>
      </c>
      <c r="W27" s="75">
        <f>(Input!X105*0.1/0.2561*1000)</f>
        <v>30.648184303006641</v>
      </c>
      <c r="X27" s="75">
        <f>(Input!Y105*0.1/0.2561*1000)</f>
        <v>6.481843030066381</v>
      </c>
      <c r="Y27" s="75">
        <f>(Input!Z105*0.1/0.2561*1000)</f>
        <v>129.40257711831316</v>
      </c>
      <c r="Z27" s="64">
        <v>1.1795599999999999</v>
      </c>
      <c r="AA27" s="64">
        <v>1.1678200000000001</v>
      </c>
      <c r="AB27" s="75">
        <f>(Input!AC105*0.1/0.2561*1000)</f>
        <v>1.3276064037485357E-2</v>
      </c>
      <c r="AC27" s="75">
        <f>(Input!AD105*0.1/0.2561*1000)</f>
        <v>0.40101522842639598</v>
      </c>
      <c r="AD27" s="75">
        <f>(Input!AE105*0.1/0.2561*1000)</f>
        <v>7.8094494338149152E-4</v>
      </c>
      <c r="AE27" s="75">
        <f>(Input!AF105*0.1/0.2561*1000)</f>
        <v>5.8570870753611873E-3</v>
      </c>
      <c r="AF27" s="75">
        <f>(Input!AG105*0.1/0.2561*1000)</f>
        <v>4.8418586489652485E-2</v>
      </c>
      <c r="AG27" s="75">
        <f>(Input!AH105*0.1/0.2561*1000)</f>
        <v>8.3561108941819603E-2</v>
      </c>
      <c r="AH27" s="75">
        <f>(Input!AI105*0.1/0.2561*1000)</f>
        <v>4.8418586489652485E-2</v>
      </c>
      <c r="AI27" s="64">
        <v>1.0825499999999999</v>
      </c>
      <c r="AJ27" s="64">
        <v>1.1438999999999999</v>
      </c>
      <c r="AK27" s="75">
        <f>(Input!AL105*0.1/0.2561*1000)</f>
        <v>1.6399843811011325E-2</v>
      </c>
      <c r="AL27" s="75">
        <f>(Input!AM105*0.1/0.2561*1000)</f>
        <v>1.1714174150722375E-3</v>
      </c>
      <c r="AM27" s="75">
        <f>(Input!AN105*0.1/0.2561*1000)</f>
        <v>3.7094884810620857E-2</v>
      </c>
      <c r="AN27" s="75">
        <f>(Input!AO105*0.1/0.2561*1000)</f>
        <v>18.110113237016794</v>
      </c>
      <c r="AO27" s="75">
        <f>(Input!AQ105*0.1/0.2561*1000)</f>
        <v>0.10503709488481064</v>
      </c>
      <c r="AP27" s="75">
        <f>(Input!AR105*0.1/0.2561*1000)</f>
        <v>0.19055056618508395</v>
      </c>
      <c r="AQ27" s="75">
        <f>(Input!AS105*0.1/0.2561*1000)</f>
        <v>2.4209293244826242E-2</v>
      </c>
      <c r="AR27" s="75">
        <f>(Input!AT105*0.1/0.2561*1000)</f>
        <v>8.9808668488871549E-2</v>
      </c>
      <c r="AS27" s="75">
        <f>(Input!AU105*0.1/0.2561*1000)</f>
        <v>1.7571261226083563E-2</v>
      </c>
      <c r="AT27" s="75">
        <f>(Input!AV105*0.1/0.2561*1000)</f>
        <v>7.0285044904334227E-3</v>
      </c>
      <c r="AU27" s="75">
        <f>(Input!AW105*0.1/0.2561*1000)</f>
        <v>1.6399843811011325E-2</v>
      </c>
      <c r="AV27" s="75">
        <f>(Input!AX105*0.1/0.2561*1000)</f>
        <v>2.3428348301444751E-3</v>
      </c>
      <c r="AW27" s="75">
        <f>(Input!AY105*0.1/0.2561*1000)</f>
        <v>1.2104646622413121E-2</v>
      </c>
      <c r="AX27" s="75">
        <f>(Input!AZ105*0.1/0.2561*1000)</f>
        <v>2.3428348301444751E-3</v>
      </c>
      <c r="AY27" s="75">
        <f>(Input!BA105*0.1/0.2561*1000)</f>
        <v>6.2475595470519322E-3</v>
      </c>
      <c r="AZ27" s="75">
        <f>(Input!BB105*0.1/0.2561*1000)</f>
        <v>7.8094494338149152E-4</v>
      </c>
      <c r="BA27" s="75">
        <f>(Input!BC105*0.1/0.2561*1000)</f>
        <v>5.0761421319796959E-3</v>
      </c>
      <c r="BB27" s="75">
        <f>(Input!BD105*0.1/0.2561*1000)</f>
        <v>7.8094494338149152E-4</v>
      </c>
      <c r="BC27" s="75">
        <f>(Input!BE105*0.1/0.2561*1000)</f>
        <v>3.9047247169074576E-4</v>
      </c>
      <c r="BD27" s="75">
        <f>(Input!BF105*0.1/0.2561*1000)</f>
        <v>5.4275673565013678E-2</v>
      </c>
      <c r="BE27" s="75">
        <f>(Input!BG105*0.1/0.2561*1000)</f>
        <v>0.10933229207340883</v>
      </c>
      <c r="BF27" s="75">
        <f>(Input!BH105*0.1/0.2561*1000)</f>
        <v>0.11284654431862554</v>
      </c>
      <c r="BG27" s="75">
        <f>(Input!BI105*0.1/0.2561*1000)</f>
        <v>0</v>
      </c>
      <c r="BH27" s="75">
        <f>(Input!BJ105*0.1/0.2561*1000)</f>
        <v>0</v>
      </c>
      <c r="BI27" s="75">
        <f>(Input!BK105*0.1/0.2561*1000)</f>
        <v>4.0609137055837567E-2</v>
      </c>
      <c r="BJ27" s="75">
        <f>(Input!BL105*0.1/0.2561*1000)</f>
        <v>2.7333073018352208E-3</v>
      </c>
      <c r="BK27" s="75">
        <f>(Input!BM105*0.1/0.2561*1000)</f>
        <v>113.15892229597814</v>
      </c>
      <c r="BL27" s="75">
        <f>(Input!BN105*0.1/0.2561*1000)</f>
        <v>0.38381101132370177</v>
      </c>
      <c r="BM27" s="64">
        <v>0.98294000000000004</v>
      </c>
      <c r="BN27" s="64">
        <v>1.07768</v>
      </c>
      <c r="BO27" s="75">
        <f>(Input!BQ105*0.1/0.2561*1000)</f>
        <v>1.7571261226083563E-2</v>
      </c>
      <c r="BP27" s="75">
        <f>(Input!BR105*0.1/0.2561*1000)</f>
        <v>5.8570870753611873E-3</v>
      </c>
    </row>
    <row r="28" spans="1:69" x14ac:dyDescent="0.3">
      <c r="A28" s="52" t="s">
        <v>85</v>
      </c>
      <c r="B28" s="75">
        <f>(Input!B106*0.1/0.2561*1000)</f>
        <v>93.401015228426388</v>
      </c>
      <c r="C28" s="75">
        <f>(Input!C106*0.1/0.2561*1000)</f>
        <v>1508.3951581413512</v>
      </c>
      <c r="D28" s="75">
        <f>(Input!D106*0.1/0.2561*1000)</f>
        <v>98.672393596251482</v>
      </c>
      <c r="E28" s="75">
        <f>(Input!E106*0.1/0.2561*1000)</f>
        <v>1335.0253807106601</v>
      </c>
      <c r="F28" s="75">
        <f>(Input!F106*0.1/0.2561*1000)</f>
        <v>22428.738773916441</v>
      </c>
      <c r="G28" s="75">
        <f>(Input!G106*0.1/0.2561*1000)</f>
        <v>13752.440452948069</v>
      </c>
      <c r="H28" s="64">
        <v>1.20306</v>
      </c>
      <c r="I28" s="64">
        <v>1.15151</v>
      </c>
      <c r="J28" s="75">
        <f>(Input!J106*0.1/0.2561*1000)</f>
        <v>74.189769621241709</v>
      </c>
      <c r="K28" s="75">
        <f>(Input!L106*0.1/0.2561*1000)</f>
        <v>9.066770792659117</v>
      </c>
      <c r="L28" s="75">
        <f>(Input!M106*0.1/0.2561*1000)</f>
        <v>1.2862163217493168</v>
      </c>
      <c r="M28" s="75">
        <f>(Input!N106*0.1/0.2561*1000)</f>
        <v>35.700898086684894</v>
      </c>
      <c r="N28" s="75">
        <f>(Input!O106*0.1/0.2561*1000)</f>
        <v>134.47871925029284</v>
      </c>
      <c r="O28" s="75">
        <f>(Input!P106*0.1/0.2561*1000)</f>
        <v>0.20343615775087856</v>
      </c>
      <c r="P28" s="75">
        <f>(Input!Q106*0.1/0.2561*1000)</f>
        <v>2.4861382272549788</v>
      </c>
      <c r="Q28" s="75">
        <f>(Input!R106*0.1/0.2561*1000)</f>
        <v>12.811401796173371</v>
      </c>
      <c r="R28" s="75">
        <f>(Input!S106*0.1/0.2561*1000)</f>
        <v>2.6837172979304964</v>
      </c>
      <c r="S28" s="75">
        <f>(Input!T106*0.1/0.2561*1000)</f>
        <v>0.42092932448262399</v>
      </c>
      <c r="T28" s="64">
        <v>1.0643199999999999</v>
      </c>
      <c r="U28" s="64">
        <v>1.00064</v>
      </c>
      <c r="V28" s="75">
        <f>(Input!W106*0.1/0.2561*1000)</f>
        <v>5.974228816868412E-2</v>
      </c>
      <c r="W28" s="75">
        <f>(Input!X106*0.1/0.2561*1000)</f>
        <v>9.1682936352987117</v>
      </c>
      <c r="X28" s="75">
        <f>(Input!Y106*0.1/0.2561*1000)</f>
        <v>10.269426005466617</v>
      </c>
      <c r="Y28" s="75">
        <f>(Input!Z106*0.1/0.2561*1000)</f>
        <v>56.930886372510749</v>
      </c>
      <c r="Z28" s="64">
        <v>1.15812</v>
      </c>
      <c r="AA28" s="64">
        <v>1.16764</v>
      </c>
      <c r="AB28" s="75">
        <f>(Input!AC106*0.1/0.2561*1000)</f>
        <v>9.7618117922686452E-3</v>
      </c>
      <c r="AC28" s="75">
        <f>(Input!AD106*0.1/0.2561*1000)</f>
        <v>0.1831315892229598</v>
      </c>
      <c r="AD28" s="75">
        <f>(Input!AE106*0.1/0.2561*1000)</f>
        <v>3.9047247169074576E-4</v>
      </c>
      <c r="AE28" s="75">
        <f>(Input!AF106*0.1/0.2561*1000)</f>
        <v>1.1714174150722375E-3</v>
      </c>
      <c r="AF28" s="75">
        <f>(Input!AG106*0.1/0.2561*1000)</f>
        <v>1.600937133932058E-2</v>
      </c>
      <c r="AG28" s="75">
        <f>(Input!AH106*0.1/0.2561*1000)</f>
        <v>9.7618117922686459E-2</v>
      </c>
      <c r="AH28" s="75">
        <f>(Input!AI106*0.1/0.2561*1000)</f>
        <v>2.0304568527918784E-2</v>
      </c>
      <c r="AI28" s="64">
        <v>1.0646199999999999</v>
      </c>
      <c r="AJ28" s="64">
        <v>1.1523699999999999</v>
      </c>
      <c r="AK28" s="75">
        <f>(Input!AL106*0.1/0.2561*1000)</f>
        <v>1.4057008980866845E-2</v>
      </c>
      <c r="AL28" s="75">
        <f>(Input!AM106*0.1/0.2561*1000)</f>
        <v>7.8094494338149152E-4</v>
      </c>
      <c r="AM28" s="75">
        <f>(Input!AN106*0.1/0.2561*1000)</f>
        <v>4.9980476376415457E-2</v>
      </c>
      <c r="AN28" s="75">
        <f>(Input!AO106*0.1/0.2561*1000)</f>
        <v>10.925419757907068</v>
      </c>
      <c r="AO28" s="75">
        <f>(Input!AQ106*0.1/0.2561*1000)</f>
        <v>8.4732526356891824E-2</v>
      </c>
      <c r="AP28" s="75">
        <f>(Input!AR106*0.1/0.2561*1000)</f>
        <v>0.15111284654431864</v>
      </c>
      <c r="AQ28" s="75">
        <f>(Input!AS106*0.1/0.2561*1000)</f>
        <v>1.952362358453729E-2</v>
      </c>
      <c r="AR28" s="75">
        <f>(Input!AT106*0.1/0.2561*1000)</f>
        <v>7.3018352206169479E-2</v>
      </c>
      <c r="AS28" s="75">
        <f>(Input!AU106*0.1/0.2561*1000)</f>
        <v>1.4057008980866845E-2</v>
      </c>
      <c r="AT28" s="75">
        <f>(Input!AV106*0.1/0.2561*1000)</f>
        <v>4.6856696602889502E-3</v>
      </c>
      <c r="AU28" s="75">
        <f>(Input!AW106*0.1/0.2561*1000)</f>
        <v>1.2885591565794614E-2</v>
      </c>
      <c r="AV28" s="75">
        <f>(Input!AX106*0.1/0.2561*1000)</f>
        <v>1.9523623584537294E-3</v>
      </c>
      <c r="AW28" s="75">
        <f>(Input!AY106*0.1/0.2561*1000)</f>
        <v>9.7618117922686452E-3</v>
      </c>
      <c r="AX28" s="75">
        <f>(Input!AZ106*0.1/0.2561*1000)</f>
        <v>1.9523623584537294E-3</v>
      </c>
      <c r="AY28" s="75">
        <f>(Input!BA106*0.1/0.2561*1000)</f>
        <v>5.0761421319796959E-3</v>
      </c>
      <c r="AZ28" s="75">
        <f>(Input!BB106*0.1/0.2561*1000)</f>
        <v>7.8094494338149152E-4</v>
      </c>
      <c r="BA28" s="75">
        <f>(Input!BC106*0.1/0.2561*1000)</f>
        <v>4.2951971885982036E-3</v>
      </c>
      <c r="BB28" s="75">
        <f>(Input!BD106*0.1/0.2561*1000)</f>
        <v>3.9047247169074576E-4</v>
      </c>
      <c r="BC28" s="75">
        <f>(Input!BE106*0.1/0.2561*1000)</f>
        <v>3.9047247169074576E-4</v>
      </c>
      <c r="BD28" s="75">
        <f>(Input!BF106*0.1/0.2561*1000)</f>
        <v>2.8894962905115191E-2</v>
      </c>
      <c r="BE28" s="75">
        <f>(Input!BG106*0.1/0.2561*1000)</f>
        <v>9.1761030847325273E-2</v>
      </c>
      <c r="BF28" s="75">
        <f>(Input!BH106*0.1/0.2561*1000)</f>
        <v>9.3713393205778997E-2</v>
      </c>
      <c r="BG28" s="75">
        <f>(Input!BI106*0.1/0.2561*1000)</f>
        <v>0</v>
      </c>
      <c r="BH28" s="75">
        <f>(Input!BJ106*0.1/0.2561*1000)</f>
        <v>0</v>
      </c>
      <c r="BI28" s="75">
        <f>(Input!BK106*0.1/0.2561*1000)</f>
        <v>4.9590003904724719E-2</v>
      </c>
      <c r="BJ28" s="75">
        <f>(Input!BL106*0.1/0.2561*1000)</f>
        <v>1.9523623584537294E-3</v>
      </c>
      <c r="BK28" s="75">
        <f>(Input!BM106*0.1/0.2561*1000)</f>
        <v>0.86567746973838355</v>
      </c>
      <c r="BL28" s="75">
        <f>(Input!BN106*0.1/0.2561*1000)</f>
        <v>0.38109722764545106</v>
      </c>
      <c r="BM28" s="64">
        <v>0.97599000000000002</v>
      </c>
      <c r="BN28" s="64">
        <v>1.0849800000000001</v>
      </c>
      <c r="BO28" s="75">
        <f>(Input!BQ106*0.1/0.2561*1000)</f>
        <v>2.2256930886372515E-2</v>
      </c>
      <c r="BP28" s="75">
        <f>(Input!BR106*0.1/0.2561*1000)</f>
        <v>4.6856696602889502E-3</v>
      </c>
    </row>
    <row r="29" spans="1:69" x14ac:dyDescent="0.3">
      <c r="A29" s="52" t="s">
        <v>86</v>
      </c>
      <c r="B29" s="75">
        <f>(Input!B107*0.1/0.2578*1000)</f>
        <v>115.70985259891391</v>
      </c>
      <c r="C29" s="75">
        <f>(Input!C107*0.1/0.2578*1000)</f>
        <v>1653.2195500387897</v>
      </c>
      <c r="D29" s="75">
        <f>(Input!D107*0.1/0.2578*1000)</f>
        <v>202.32738557020954</v>
      </c>
      <c r="E29" s="75">
        <f>(Input!E107*0.1/0.2578*1000)</f>
        <v>1159.4259115593484</v>
      </c>
      <c r="F29" s="75">
        <f>(Input!F107*0.1/0.2578*1000)</f>
        <v>20042.668735453844</v>
      </c>
      <c r="G29" s="75">
        <f>(Input!G107*0.1/0.2578*1000)</f>
        <v>21656.322730799071</v>
      </c>
      <c r="H29" s="64">
        <v>1.17126</v>
      </c>
      <c r="I29" s="64">
        <v>1.12259</v>
      </c>
      <c r="J29" s="75">
        <f>(Input!J107*0.1/0.2578*1000)</f>
        <v>116.75717610550817</v>
      </c>
      <c r="K29" s="75">
        <f>(Input!L107*0.1/0.2578*1000)</f>
        <v>11.958882854926301</v>
      </c>
      <c r="L29" s="75">
        <f>(Input!M107*0.1/0.2578*1000)</f>
        <v>1.4328937160589605</v>
      </c>
      <c r="M29" s="75">
        <f>(Input!N107*0.1/0.2578*1000)</f>
        <v>48.448409619860371</v>
      </c>
      <c r="N29" s="75">
        <f>(Input!O107*0.1/0.2578*1000)</f>
        <v>234.13498836307221</v>
      </c>
      <c r="O29" s="75">
        <f>(Input!P107*0.1/0.2578*1000)</f>
        <v>0.14391000775795193</v>
      </c>
      <c r="P29" s="75">
        <f>(Input!Q107*0.1/0.2578*1000)</f>
        <v>0.83048875096974417</v>
      </c>
      <c r="Q29" s="75">
        <f>(Input!R107*0.1/0.2578*1000)</f>
        <v>8.5841737781225778</v>
      </c>
      <c r="R29" s="75">
        <f>(Input!S107*0.1/0.2578*1000)</f>
        <v>4.6741660201706763</v>
      </c>
      <c r="S29" s="75">
        <f>(Input!T107*0.1/0.2578*1000)</f>
        <v>0.65438324282389471</v>
      </c>
      <c r="T29" s="64">
        <v>1.0468999999999999</v>
      </c>
      <c r="U29" s="64">
        <v>0.97055999999999998</v>
      </c>
      <c r="V29" s="75">
        <f>(Input!W107*0.1/0.2578*1000)</f>
        <v>4.887509697439877E-2</v>
      </c>
      <c r="W29" s="75">
        <f>(Input!X107*0.1/0.2578*1000)</f>
        <v>7.6027928626842538</v>
      </c>
      <c r="X29" s="75">
        <f>(Input!Y107*0.1/0.2578*1000)</f>
        <v>3.5209464701318858</v>
      </c>
      <c r="Y29" s="75">
        <f>(Input!Z107*0.1/0.2578*1000)</f>
        <v>94.453064391000794</v>
      </c>
      <c r="Z29" s="64">
        <v>1.1392100000000001</v>
      </c>
      <c r="AA29" s="64">
        <v>1.1536599999999999</v>
      </c>
      <c r="AB29" s="75">
        <f>(Input!AC107*0.1/0.2578*1000)</f>
        <v>1.9006982156710633E-2</v>
      </c>
      <c r="AC29" s="75">
        <f>(Input!AD107*0.1/0.2578*1000)</f>
        <v>0.16563227307990691</v>
      </c>
      <c r="AD29" s="75">
        <f>(Input!AE107*0.1/0.2578*1000)</f>
        <v>3.8789759503491083E-4</v>
      </c>
      <c r="AE29" s="75">
        <f>(Input!AF107*0.1/0.2578*1000)</f>
        <v>1.9394879751745543E-3</v>
      </c>
      <c r="AF29" s="75">
        <f>(Input!AG107*0.1/0.2578*1000)</f>
        <v>2.6377036462373937E-2</v>
      </c>
      <c r="AG29" s="75">
        <f>(Input!AH107*0.1/0.2578*1000)</f>
        <v>0.217610550814585</v>
      </c>
      <c r="AH29" s="75">
        <f>(Input!AI107*0.1/0.2578*1000)</f>
        <v>1.0861132660977504E-2</v>
      </c>
      <c r="AI29" s="64">
        <v>1.0477099999999999</v>
      </c>
      <c r="AJ29" s="64">
        <v>1.13496</v>
      </c>
      <c r="AK29" s="75">
        <f>(Input!AL107*0.1/0.2578*1000)</f>
        <v>1.3188518231186969E-2</v>
      </c>
      <c r="AL29" s="75">
        <f>(Input!AM107*0.1/0.2578*1000)</f>
        <v>1.5515903801396433E-3</v>
      </c>
      <c r="AM29" s="75">
        <f>(Input!AN107*0.1/0.2578*1000)</f>
        <v>3.9177657098525998E-2</v>
      </c>
      <c r="AN29" s="75">
        <f>(Input!AO107*0.1/0.2578*1000)</f>
        <v>17.152831652443755</v>
      </c>
      <c r="AO29" s="75">
        <f>(Input!AQ107*0.1/0.2578*1000)</f>
        <v>0.17532971295577973</v>
      </c>
      <c r="AP29" s="75">
        <f>(Input!AR107*0.1/0.2578*1000)</f>
        <v>0.3258339798293251</v>
      </c>
      <c r="AQ29" s="75">
        <f>(Input!AS107*0.1/0.2578*1000)</f>
        <v>4.1892940263770363E-2</v>
      </c>
      <c r="AR29" s="75">
        <f>(Input!AT107*0.1/0.2578*1000)</f>
        <v>0.15632273079906908</v>
      </c>
      <c r="AS29" s="75">
        <f>(Input!AU107*0.1/0.2578*1000)</f>
        <v>2.9868114817688137E-2</v>
      </c>
      <c r="AT29" s="75">
        <f>(Input!AV107*0.1/0.2578*1000)</f>
        <v>8.5337470907680384E-3</v>
      </c>
      <c r="AU29" s="75">
        <f>(Input!AW107*0.1/0.2578*1000)</f>
        <v>2.6377036462373937E-2</v>
      </c>
      <c r="AV29" s="75">
        <f>(Input!AX107*0.1/0.2578*1000)</f>
        <v>3.4910783553141968E-3</v>
      </c>
      <c r="AW29" s="75">
        <f>(Input!AY107*0.1/0.2578*1000)</f>
        <v>1.8619084561675721E-2</v>
      </c>
      <c r="AX29" s="75">
        <f>(Input!AZ107*0.1/0.2578*1000)</f>
        <v>3.4910783553141968E-3</v>
      </c>
      <c r="AY29" s="75">
        <f>(Input!BA107*0.1/0.2578*1000)</f>
        <v>8.9216446858029503E-3</v>
      </c>
      <c r="AZ29" s="75">
        <f>(Input!BB107*0.1/0.2578*1000)</f>
        <v>1.1636927851047326E-3</v>
      </c>
      <c r="BA29" s="75">
        <f>(Input!BC107*0.1/0.2578*1000)</f>
        <v>7.3700543056633072E-3</v>
      </c>
      <c r="BB29" s="75">
        <f>(Input!BD107*0.1/0.2578*1000)</f>
        <v>1.1636927851047326E-3</v>
      </c>
      <c r="BC29" s="75">
        <f>(Input!BE107*0.1/0.2578*1000)</f>
        <v>3.8789759503491083E-4</v>
      </c>
      <c r="BD29" s="75">
        <f>(Input!BF107*0.1/0.2578*1000)</f>
        <v>3.1031807602792869E-2</v>
      </c>
      <c r="BE29" s="75">
        <f>(Input!BG107*0.1/0.2578*1000)</f>
        <v>7.5640031031807609E-2</v>
      </c>
      <c r="BF29" s="75">
        <f>(Input!BH107*0.1/0.2578*1000)</f>
        <v>7.9131109387121812E-2</v>
      </c>
      <c r="BG29" s="75">
        <f>(Input!BI107*0.1/0.2578*1000)</f>
        <v>0</v>
      </c>
      <c r="BH29" s="75">
        <f>(Input!BJ107*0.1/0.2578*1000)</f>
        <v>3.8789759503491083E-4</v>
      </c>
      <c r="BI29" s="75">
        <f>(Input!BK107*0.1/0.2578*1000)</f>
        <v>0.20946470131885186</v>
      </c>
      <c r="BJ29" s="75">
        <f>(Input!BL107*0.1/0.2578*1000)</f>
        <v>2.7152831652443761E-3</v>
      </c>
      <c r="BK29" s="75">
        <f>(Input!BM107*0.1/0.2578*1000)</f>
        <v>0.52715283165244375</v>
      </c>
      <c r="BL29" s="75">
        <f>(Input!BN107*0.1/0.2578*1000)</f>
        <v>0.37362296353762608</v>
      </c>
      <c r="BM29" s="64">
        <v>0.96319999999999995</v>
      </c>
      <c r="BN29" s="64">
        <v>1.0725499999999999</v>
      </c>
      <c r="BO29" s="75">
        <f>(Input!BQ107*0.1/0.2578*1000)</f>
        <v>3.3359193173002323E-2</v>
      </c>
      <c r="BP29" s="75">
        <f>(Input!BR107*0.1/0.2578*1000)</f>
        <v>7.3700543056633072E-3</v>
      </c>
      <c r="BQ29" s="75"/>
    </row>
    <row r="30" spans="1:69" s="65" customFormat="1" x14ac:dyDescent="0.3"/>
    <row r="31" spans="1:69" s="65" customFormat="1" x14ac:dyDescent="0.3">
      <c r="A31" s="68" t="s">
        <v>174</v>
      </c>
      <c r="B31" s="51" t="s">
        <v>178</v>
      </c>
      <c r="C31" s="51" t="s">
        <v>178</v>
      </c>
      <c r="D31" s="51" t="s">
        <v>178</v>
      </c>
      <c r="E31" s="51" t="s">
        <v>178</v>
      </c>
      <c r="F31" s="51" t="s">
        <v>178</v>
      </c>
      <c r="G31" s="51" t="s">
        <v>178</v>
      </c>
      <c r="H31" s="63" t="s">
        <v>171</v>
      </c>
      <c r="I31" s="64" t="s">
        <v>171</v>
      </c>
      <c r="J31" s="67" t="s">
        <v>178</v>
      </c>
      <c r="K31" s="67" t="s">
        <v>178</v>
      </c>
      <c r="L31" s="67" t="s">
        <v>178</v>
      </c>
      <c r="M31" s="67" t="s">
        <v>178</v>
      </c>
      <c r="N31" s="67" t="s">
        <v>178</v>
      </c>
      <c r="O31" s="67" t="s">
        <v>178</v>
      </c>
      <c r="P31" s="67" t="s">
        <v>178</v>
      </c>
      <c r="Q31" s="67" t="s">
        <v>178</v>
      </c>
      <c r="R31" s="67" t="s">
        <v>178</v>
      </c>
      <c r="S31" s="67" t="s">
        <v>178</v>
      </c>
      <c r="T31" s="64" t="s">
        <v>171</v>
      </c>
      <c r="U31" s="64" t="s">
        <v>171</v>
      </c>
      <c r="V31" s="67" t="s">
        <v>178</v>
      </c>
      <c r="W31" s="67" t="s">
        <v>178</v>
      </c>
      <c r="X31" s="67" t="s">
        <v>178</v>
      </c>
      <c r="Y31" s="67" t="s">
        <v>178</v>
      </c>
      <c r="Z31" s="64" t="s">
        <v>171</v>
      </c>
      <c r="AA31" s="64" t="s">
        <v>171</v>
      </c>
      <c r="AB31" s="67" t="s">
        <v>178</v>
      </c>
      <c r="AC31" s="67" t="s">
        <v>178</v>
      </c>
      <c r="AD31" s="67" t="s">
        <v>178</v>
      </c>
      <c r="AE31" s="67" t="s">
        <v>178</v>
      </c>
      <c r="AF31" s="67" t="s">
        <v>178</v>
      </c>
      <c r="AG31" s="67" t="s">
        <v>178</v>
      </c>
      <c r="AH31" s="67" t="s">
        <v>178</v>
      </c>
      <c r="AI31" s="64" t="s">
        <v>171</v>
      </c>
      <c r="AJ31" s="64" t="s">
        <v>171</v>
      </c>
      <c r="AK31" s="67" t="s">
        <v>178</v>
      </c>
      <c r="AL31" s="67" t="s">
        <v>178</v>
      </c>
      <c r="AM31" s="67" t="s">
        <v>178</v>
      </c>
      <c r="AN31" s="67" t="s">
        <v>178</v>
      </c>
      <c r="AO31" s="67" t="s">
        <v>178</v>
      </c>
      <c r="AP31" s="67" t="s">
        <v>178</v>
      </c>
      <c r="AQ31" s="67" t="s">
        <v>178</v>
      </c>
      <c r="AR31" s="67" t="s">
        <v>178</v>
      </c>
      <c r="AS31" s="67" t="s">
        <v>178</v>
      </c>
      <c r="AT31" s="67" t="s">
        <v>178</v>
      </c>
      <c r="AU31" s="67" t="s">
        <v>178</v>
      </c>
      <c r="AV31" s="67" t="s">
        <v>178</v>
      </c>
      <c r="AW31" s="67" t="s">
        <v>178</v>
      </c>
      <c r="AX31" s="67" t="s">
        <v>178</v>
      </c>
      <c r="AY31" s="67" t="s">
        <v>178</v>
      </c>
      <c r="AZ31" s="67" t="s">
        <v>178</v>
      </c>
      <c r="BA31" s="67" t="s">
        <v>178</v>
      </c>
      <c r="BB31" s="67" t="s">
        <v>178</v>
      </c>
      <c r="BC31" s="67" t="s">
        <v>178</v>
      </c>
      <c r="BD31" s="67" t="s">
        <v>178</v>
      </c>
      <c r="BE31" s="67" t="s">
        <v>178</v>
      </c>
      <c r="BF31" s="67" t="s">
        <v>178</v>
      </c>
      <c r="BG31" s="67" t="s">
        <v>178</v>
      </c>
      <c r="BH31" s="67" t="s">
        <v>178</v>
      </c>
      <c r="BI31" s="67" t="s">
        <v>178</v>
      </c>
      <c r="BJ31" s="67" t="s">
        <v>178</v>
      </c>
      <c r="BK31" s="67" t="s">
        <v>178</v>
      </c>
      <c r="BL31" s="67" t="s">
        <v>178</v>
      </c>
      <c r="BM31" s="64" t="s">
        <v>171</v>
      </c>
      <c r="BN31" s="64" t="s">
        <v>171</v>
      </c>
      <c r="BO31" s="67" t="s">
        <v>178</v>
      </c>
      <c r="BP31" s="67" t="s">
        <v>178</v>
      </c>
    </row>
    <row r="32" spans="1:69" x14ac:dyDescent="0.3">
      <c r="A32" s="52" t="s">
        <v>175</v>
      </c>
      <c r="B32" s="75">
        <f>(Input!B108*0.1/0.2529*1000)</f>
        <v>63.147489126136797</v>
      </c>
      <c r="C32" s="75">
        <f>(Input!C108*0.1/0.2529*1000)</f>
        <v>1945.4329774614471</v>
      </c>
      <c r="D32" s="75">
        <f>(Input!D108*0.1/0.2529*1000)</f>
        <v>234.67773823645709</v>
      </c>
      <c r="E32" s="75">
        <f>(Input!E108*0.1/0.2529*1000)</f>
        <v>748.12178726769469</v>
      </c>
      <c r="F32" s="75">
        <f>(Input!F108*0.1/0.2529*1000)</f>
        <v>14839.857651245551</v>
      </c>
      <c r="G32" s="75">
        <f>(Input!G108*0.1/0.2529*1000)</f>
        <v>18790.035587188613</v>
      </c>
      <c r="H32" s="64">
        <v>1.14429</v>
      </c>
      <c r="I32" s="64">
        <v>1.10151</v>
      </c>
      <c r="J32" s="75">
        <f>(Input!J108*0.1/0.2529*1000)</f>
        <v>109.1735863977857</v>
      </c>
      <c r="K32" s="75">
        <f>(Input!L108*0.1/0.2529*1000)</f>
        <v>13.080268880980624</v>
      </c>
      <c r="L32" s="75">
        <f>(Input!M108*0.1/0.2529*1000)</f>
        <v>1.3531039936733886</v>
      </c>
      <c r="M32" s="75">
        <f>(Input!N108*0.1/0.2529*1000)</f>
        <v>35.37366548042705</v>
      </c>
      <c r="N32" s="75">
        <f>(Input!O108*0.1/0.2529*1000)</f>
        <v>264.13602214313966</v>
      </c>
      <c r="O32" s="75">
        <f>(Input!P108*0.1/0.2529*1000)</f>
        <v>0.10794780545670225</v>
      </c>
      <c r="P32" s="75">
        <f>(Input!Q108*0.1/0.2529*1000)</f>
        <v>0.58125741399762743</v>
      </c>
      <c r="Q32" s="75">
        <f>(Input!R108*0.1/0.2529*1000)</f>
        <v>9.0510083036773423</v>
      </c>
      <c r="R32" s="75">
        <f>(Input!S108*0.1/0.2529*1000)</f>
        <v>22.285488335310401</v>
      </c>
      <c r="S32" s="75">
        <f>(Input!T108*0.1/0.2529*1000)</f>
        <v>0.46105179913009092</v>
      </c>
      <c r="T32" s="64">
        <v>1.0320100000000001</v>
      </c>
      <c r="U32" s="64">
        <v>0.96023999999999998</v>
      </c>
      <c r="V32" s="75">
        <f>(Input!W108*0.1/0.2529*1000)</f>
        <v>9.8062475286674583E-2</v>
      </c>
      <c r="W32" s="75">
        <f>(Input!X108*0.1/0.2529*1000)</f>
        <v>12.230130486358243</v>
      </c>
      <c r="X32" s="75">
        <f>(Input!Y108*0.1/0.2529*1000)</f>
        <v>6.4768683274021344</v>
      </c>
      <c r="Y32" s="75">
        <f>(Input!Z108*0.1/0.2529*1000)</f>
        <v>84.302095689996051</v>
      </c>
      <c r="Z32" s="64">
        <v>1.11053</v>
      </c>
      <c r="AA32" s="64">
        <v>1.1337200000000001</v>
      </c>
      <c r="AB32" s="75">
        <f>(Input!AC108*0.1/0.2529*1000)</f>
        <v>2.7678924476077504E-2</v>
      </c>
      <c r="AC32" s="75">
        <f>(Input!AD108*0.1/0.2529*1000)</f>
        <v>0.27520759193357053</v>
      </c>
      <c r="AD32" s="75">
        <f>(Input!AE108*0.1/0.2529*1000)</f>
        <v>3.9541320680110711E-4</v>
      </c>
      <c r="AE32" s="75">
        <f>(Input!AF108*0.1/0.2529*1000)</f>
        <v>1.9770660340055362E-3</v>
      </c>
      <c r="AF32" s="75">
        <f>(Input!AG108*0.1/0.2529*1000)</f>
        <v>2.2538552787663108E-2</v>
      </c>
      <c r="AG32" s="75">
        <f>(Input!AH108*0.1/0.2529*1000)</f>
        <v>4.3495452748121791E-2</v>
      </c>
      <c r="AH32" s="75">
        <f>(Input!AI108*0.1/0.2529*1000)</f>
        <v>7.0383550810597065E-2</v>
      </c>
      <c r="AI32" s="64">
        <v>1.02759</v>
      </c>
      <c r="AJ32" s="64">
        <v>1.12171</v>
      </c>
      <c r="AK32" s="75">
        <f>(Input!AL108*0.1/0.2529*1000)</f>
        <v>3.4796362198497431E-2</v>
      </c>
      <c r="AL32" s="75">
        <f>(Input!AM108*0.1/0.2529*1000)</f>
        <v>1.5816528272044285E-3</v>
      </c>
      <c r="AM32" s="75">
        <f>(Input!AN108*0.1/0.2529*1000)</f>
        <v>0.18386714116251482</v>
      </c>
      <c r="AN32" s="75">
        <f>(Input!AO108*0.1/0.2529*1000)</f>
        <v>11.633056544088571</v>
      </c>
      <c r="AO32" s="75">
        <f>(Input!AQ108*0.1/0.2529*1000)</f>
        <v>0.21668643732700676</v>
      </c>
      <c r="AP32" s="75">
        <f>(Input!AR108*0.1/0.2529*1000)</f>
        <v>0.42783708975879797</v>
      </c>
      <c r="AQ32" s="75">
        <f>(Input!AS108*0.1/0.2529*1000)</f>
        <v>5.4567022538552799E-2</v>
      </c>
      <c r="AR32" s="75">
        <f>(Input!AT108*0.1/0.2529*1000)</f>
        <v>0.19652036378015028</v>
      </c>
      <c r="AS32" s="75">
        <f>(Input!AU108*0.1/0.2529*1000)</f>
        <v>3.8750494266508506E-2</v>
      </c>
      <c r="AT32" s="75">
        <f>(Input!AV108*0.1/0.2529*1000)</f>
        <v>8.6990905496243578E-3</v>
      </c>
      <c r="AU32" s="75">
        <f>(Input!AW108*0.1/0.2529*1000)</f>
        <v>3.5587188612099641E-2</v>
      </c>
      <c r="AV32" s="75">
        <f>(Input!AX108*0.1/0.2529*1000)</f>
        <v>5.1403716884143927E-3</v>
      </c>
      <c r="AW32" s="75">
        <f>(Input!AY108*0.1/0.2529*1000)</f>
        <v>2.4911032028469754E-2</v>
      </c>
      <c r="AX32" s="75">
        <f>(Input!AZ108*0.1/0.2529*1000)</f>
        <v>4.7449584816132862E-3</v>
      </c>
      <c r="AY32" s="75">
        <f>(Input!BA108*0.1/0.2529*1000)</f>
        <v>1.3048635824436538E-2</v>
      </c>
      <c r="AZ32" s="75">
        <f>(Input!BB108*0.1/0.2529*1000)</f>
        <v>1.9770660340055362E-3</v>
      </c>
      <c r="BA32" s="75">
        <f>(Input!BC108*0.1/0.2529*1000)</f>
        <v>1.1466982997232106E-2</v>
      </c>
      <c r="BB32" s="75">
        <f>(Input!BD108*0.1/0.2529*1000)</f>
        <v>1.5816528272044285E-3</v>
      </c>
      <c r="BC32" s="75">
        <f>(Input!BE108*0.1/0.2529*1000)</f>
        <v>3.9541320680110711E-4</v>
      </c>
      <c r="BD32" s="75">
        <f>(Input!BF108*0.1/0.2529*1000)</f>
        <v>3.3214709371292998E-2</v>
      </c>
      <c r="BE32" s="75">
        <f>(Input!BG108*0.1/0.2529*1000)</f>
        <v>0.25939106366152631</v>
      </c>
      <c r="BF32" s="75">
        <f>(Input!BH108*0.1/0.2529*1000)</f>
        <v>0.26848556741795176</v>
      </c>
      <c r="BG32" s="75">
        <f>(Input!BI108*0.1/0.2529*1000)</f>
        <v>0</v>
      </c>
      <c r="BH32" s="75">
        <f>(Input!BJ108*0.1/0.2529*1000)</f>
        <v>0</v>
      </c>
      <c r="BI32" s="75">
        <f>(Input!BK108*0.1/0.2529*1000)</f>
        <v>3.7168841439304073E-2</v>
      </c>
      <c r="BJ32" s="75">
        <f>(Input!BL108*0.1/0.2529*1000)</f>
        <v>3.1633056544088569E-3</v>
      </c>
      <c r="BK32" s="75">
        <f>(Input!BM108*0.1/0.2529*1000)</f>
        <v>0.47726374060893639</v>
      </c>
      <c r="BL32" s="75">
        <f>(Input!BN108*0.1/0.2529*1000)</f>
        <v>0.37761565836298933</v>
      </c>
      <c r="BM32" s="64">
        <v>0.95499000000000001</v>
      </c>
      <c r="BN32" s="64">
        <v>1.0682199999999999</v>
      </c>
      <c r="BO32" s="75">
        <f>(Input!BQ108*0.1/0.2529*1000)</f>
        <v>6.6034005535784895E-2</v>
      </c>
      <c r="BP32" s="75">
        <f>(Input!BR108*0.1/0.2529*1000)</f>
        <v>9.8853301700276789E-3</v>
      </c>
    </row>
    <row r="33" spans="1:68" x14ac:dyDescent="0.3">
      <c r="A33" s="52" t="s">
        <v>73</v>
      </c>
      <c r="B33" s="75">
        <f>(Input!B109*0.1/0.2528*1000)</f>
        <v>68.947784810126578</v>
      </c>
      <c r="C33" s="75">
        <f>(Input!C109*0.1/0.2528*1000)</f>
        <v>1430.7753164556962</v>
      </c>
      <c r="D33" s="75">
        <f>(Input!D109*0.1/0.2528*1000)</f>
        <v>169.06645569620252</v>
      </c>
      <c r="E33" s="75">
        <f>(Input!E109*0.1/0.2528*1000)</f>
        <v>1175.2373417721519</v>
      </c>
      <c r="F33" s="75">
        <f>(Input!F109*0.1/0.2528*1000)</f>
        <v>17167.721518987339</v>
      </c>
      <c r="G33" s="75">
        <f>(Input!G109*0.1/0.2528*1000)</f>
        <v>15981.012658227846</v>
      </c>
      <c r="H33" s="64">
        <v>1.1431199999999999</v>
      </c>
      <c r="I33" s="64">
        <v>1.1027400000000001</v>
      </c>
      <c r="J33" s="75">
        <f>(Input!J109*0.1/0.2528*1000)</f>
        <v>91.218354430379748</v>
      </c>
      <c r="K33" s="75">
        <f>(Input!L109*0.1/0.2528*1000)</f>
        <v>11.143196202531644</v>
      </c>
      <c r="L33" s="75">
        <f>(Input!M109*0.1/0.2528*1000)</f>
        <v>1.3678797468354431</v>
      </c>
      <c r="M33" s="75">
        <f>(Input!N109*0.1/0.2528*1000)</f>
        <v>50.237341772151893</v>
      </c>
      <c r="N33" s="75">
        <f>(Input!O109*0.1/0.2528*1000)</f>
        <v>247.78481012658227</v>
      </c>
      <c r="O33" s="75">
        <f>(Input!P109*0.1/0.2528*1000)</f>
        <v>0.12223101265822783</v>
      </c>
      <c r="P33" s="75">
        <f>(Input!Q109*0.1/0.2528*1000)</f>
        <v>1.25</v>
      </c>
      <c r="Q33" s="75">
        <f>(Input!R109*0.1/0.2528*1000)</f>
        <v>5.3362341772151902</v>
      </c>
      <c r="R33" s="75">
        <f>(Input!S109*0.1/0.2528*1000)</f>
        <v>8.6946202531645547</v>
      </c>
      <c r="S33" s="75">
        <f>(Input!T109*0.1/0.2528*1000)</f>
        <v>0.33465189873417717</v>
      </c>
      <c r="T33" s="64">
        <v>1.0302500000000001</v>
      </c>
      <c r="U33" s="64">
        <v>0.95850999999999997</v>
      </c>
      <c r="V33" s="75">
        <f>(Input!W109*0.1/0.2528*1000)</f>
        <v>8.5838607594936694E-2</v>
      </c>
      <c r="W33" s="75">
        <f>(Input!X109*0.1/0.2528*1000)</f>
        <v>18.560126582278482</v>
      </c>
      <c r="X33" s="75">
        <f>(Input!Y109*0.1/0.2528*1000)</f>
        <v>5.5656645569620258</v>
      </c>
      <c r="Y33" s="75">
        <f>(Input!Z109*0.1/0.2528*1000)</f>
        <v>49.525316455696206</v>
      </c>
      <c r="Z33" s="64">
        <v>1.11066</v>
      </c>
      <c r="AA33" s="64">
        <v>1.13262</v>
      </c>
      <c r="AB33" s="75">
        <f>(Input!AC109*0.1/0.2528*1000)</f>
        <v>2.2151898734177215E-2</v>
      </c>
      <c r="AC33" s="75">
        <f>(Input!AD109*0.1/0.2528*1000)</f>
        <v>0.22903481012658225</v>
      </c>
      <c r="AD33" s="75">
        <f>(Input!AE109*0.1/0.2528*1000)</f>
        <v>3.955696202531645E-4</v>
      </c>
      <c r="AE33" s="75">
        <f>(Input!AF109*0.1/0.2528*1000)</f>
        <v>7.9113924050632899E-4</v>
      </c>
      <c r="AF33" s="75">
        <f>(Input!AG109*0.1/0.2528*1000)</f>
        <v>1.3053797468354431E-2</v>
      </c>
      <c r="AG33" s="75">
        <f>(Input!AH109*0.1/0.2528*1000)</f>
        <v>0.18235759493670889</v>
      </c>
      <c r="AH33" s="75">
        <f>(Input!AI109*0.1/0.2528*1000)</f>
        <v>1.8591772151898729E-2</v>
      </c>
      <c r="AI33" s="64">
        <v>1.02658</v>
      </c>
      <c r="AJ33" s="64">
        <v>1.12276</v>
      </c>
      <c r="AK33" s="75">
        <f>(Input!AL109*0.1/0.2528*1000)</f>
        <v>2.4525316455696205E-2</v>
      </c>
      <c r="AL33" s="75">
        <f>(Input!AM109*0.1/0.2528*1000)</f>
        <v>7.9113924050632899E-4</v>
      </c>
      <c r="AM33" s="75">
        <f>(Input!AN109*0.1/0.2528*1000)</f>
        <v>8.9003164556962028E-2</v>
      </c>
      <c r="AN33" s="75">
        <f>(Input!AO109*0.1/0.2528*1000)</f>
        <v>8.401898734177216</v>
      </c>
      <c r="AO33" s="75">
        <f>(Input!AQ109*0.1/0.2528*1000)</f>
        <v>0.17444620253164556</v>
      </c>
      <c r="AP33" s="75">
        <f>(Input!AR109*0.1/0.2528*1000)</f>
        <v>0.33227848101265817</v>
      </c>
      <c r="AQ33" s="75">
        <f>(Input!AS109*0.1/0.2528*1000)</f>
        <v>4.1534810126582271E-2</v>
      </c>
      <c r="AR33" s="75">
        <f>(Input!AT109*0.1/0.2528*1000)</f>
        <v>0.15387658227848103</v>
      </c>
      <c r="AS33" s="75">
        <f>(Input!AU109*0.1/0.2528*1000)</f>
        <v>3.0063291139240507E-2</v>
      </c>
      <c r="AT33" s="75">
        <f>(Input!AV109*0.1/0.2528*1000)</f>
        <v>6.3291139240506319E-3</v>
      </c>
      <c r="AU33" s="75">
        <f>(Input!AW109*0.1/0.2528*1000)</f>
        <v>2.6503164556962024E-2</v>
      </c>
      <c r="AV33" s="75">
        <f>(Input!AX109*0.1/0.2528*1000)</f>
        <v>3.9556962025316458E-3</v>
      </c>
      <c r="AW33" s="75">
        <f>(Input!AY109*0.1/0.2528*1000)</f>
        <v>1.8987341772151899E-2</v>
      </c>
      <c r="AX33" s="75">
        <f>(Input!AZ109*0.1/0.2528*1000)</f>
        <v>3.56012658227848E-3</v>
      </c>
      <c r="AY33" s="75">
        <f>(Input!BA109*0.1/0.2528*1000)</f>
        <v>9.8892405063291146E-3</v>
      </c>
      <c r="AZ33" s="75">
        <f>(Input!BB109*0.1/0.2528*1000)</f>
        <v>1.1867088607594937E-3</v>
      </c>
      <c r="BA33" s="75">
        <f>(Input!BC109*0.1/0.2528*1000)</f>
        <v>8.3069620253164566E-3</v>
      </c>
      <c r="BB33" s="75">
        <f>(Input!BD109*0.1/0.2528*1000)</f>
        <v>1.1867088607594937E-3</v>
      </c>
      <c r="BC33" s="75">
        <f>(Input!BE109*0.1/0.2528*1000)</f>
        <v>3.955696202531645E-4</v>
      </c>
      <c r="BD33" s="75">
        <f>(Input!BF109*0.1/0.2528*1000)</f>
        <v>3.4810126582278479E-2</v>
      </c>
      <c r="BE33" s="75">
        <f>(Input!BG109*0.1/0.2528*1000)</f>
        <v>0.1238132911392405</v>
      </c>
      <c r="BF33" s="75">
        <f>(Input!BH109*0.1/0.2528*1000)</f>
        <v>0.12856012658227847</v>
      </c>
      <c r="BG33" s="75">
        <f>(Input!BI109*0.1/0.2528*1000)</f>
        <v>0</v>
      </c>
      <c r="BH33" s="75">
        <f>(Input!BJ109*0.1/0.2528*1000)</f>
        <v>0</v>
      </c>
      <c r="BI33" s="75">
        <f>(Input!BK109*0.1/0.2528*1000)</f>
        <v>4.4699367088607597E-2</v>
      </c>
      <c r="BJ33" s="75">
        <f>(Input!BL109*0.1/0.2528*1000)</f>
        <v>2.7689873417721519E-3</v>
      </c>
      <c r="BK33" s="75">
        <f>(Input!BM109*0.1/0.2528*1000)</f>
        <v>0.38963607594936711</v>
      </c>
      <c r="BL33" s="75">
        <f>(Input!BN109*0.1/0.2528*1000)</f>
        <v>0.37806170886075957</v>
      </c>
      <c r="BM33" s="64">
        <v>0.95574000000000003</v>
      </c>
      <c r="BN33" s="64">
        <v>1.0734399999999999</v>
      </c>
      <c r="BO33" s="75">
        <f>(Input!BQ109*0.1/0.2528*1000)</f>
        <v>5.6566455696202521E-2</v>
      </c>
      <c r="BP33" s="75">
        <f>(Input!BR109*0.1/0.2528*1000)</f>
        <v>8.3069620253164566E-3</v>
      </c>
    </row>
    <row r="34" spans="1:68" x14ac:dyDescent="0.3">
      <c r="A34" s="52" t="s">
        <v>74</v>
      </c>
      <c r="B34" s="75">
        <f>(Input!B110*0.1/0.2619*1000)</f>
        <v>104.96372661321114</v>
      </c>
      <c r="C34" s="75">
        <f>(Input!C110*0.1/0.2619*1000)</f>
        <v>1928.9805269186711</v>
      </c>
      <c r="D34" s="75">
        <f>(Input!D110*0.1/0.2619*1000)</f>
        <v>220.00763650248186</v>
      </c>
      <c r="E34" s="75">
        <f>(Input!E110*0.1/0.2619*1000)</f>
        <v>852.99732722413137</v>
      </c>
      <c r="F34" s="75">
        <f>(Input!F110*0.1/0.2619*1000)</f>
        <v>20400.916380297822</v>
      </c>
      <c r="G34" s="75">
        <f>(Input!G110*0.1/0.2619*1000)</f>
        <v>15773.195876288659</v>
      </c>
      <c r="H34" s="64">
        <v>1.1079399999999999</v>
      </c>
      <c r="I34" s="64">
        <v>1.0926499999999999</v>
      </c>
      <c r="J34" s="75">
        <f>(Input!J110*0.1/0.2619*1000)</f>
        <v>91.33256968308514</v>
      </c>
      <c r="K34" s="75">
        <f>(Input!L110*0.1/0.2619*1000)</f>
        <v>11.454753722794958</v>
      </c>
      <c r="L34" s="75">
        <f>(Input!M110*0.1/0.2619*1000)</f>
        <v>1.1825124093165329</v>
      </c>
      <c r="M34" s="75">
        <f>(Input!N110*0.1/0.2619*1000)</f>
        <v>58.724704085528835</v>
      </c>
      <c r="N34" s="75">
        <f>(Input!O110*0.1/0.2619*1000)</f>
        <v>251.73730431462388</v>
      </c>
      <c r="O34" s="75">
        <f>(Input!P110*0.1/0.2619*1000)</f>
        <v>0.18442153493699884</v>
      </c>
      <c r="P34" s="75">
        <f>(Input!Q110*0.1/0.2619*1000)</f>
        <v>2.5452462772050399</v>
      </c>
      <c r="Q34" s="75">
        <f>(Input!R110*0.1/0.2619*1000)</f>
        <v>8.6445208094692614</v>
      </c>
      <c r="R34" s="75">
        <f>(Input!S110*0.1/0.2619*1000)</f>
        <v>5.4677357770141271</v>
      </c>
      <c r="S34" s="75">
        <f>(Input!T110*0.1/0.2619*1000)</f>
        <v>0.15807560137457047</v>
      </c>
      <c r="T34" s="64">
        <v>1.0251399999999999</v>
      </c>
      <c r="U34" s="64">
        <v>0.96841999999999995</v>
      </c>
      <c r="V34" s="75">
        <f>(Input!W110*0.1/0.2619*1000)</f>
        <v>7.407407407407407E-2</v>
      </c>
      <c r="W34" s="75">
        <f>(Input!X110*0.1/0.2619*1000)</f>
        <v>3.0194730813287514</v>
      </c>
      <c r="X34" s="75">
        <f>(Input!Y110*0.1/0.2619*1000)</f>
        <v>9.1523482245131706</v>
      </c>
      <c r="Y34" s="75">
        <f>(Input!Z110*0.1/0.2619*1000)</f>
        <v>43.566246659030156</v>
      </c>
      <c r="Z34" s="64">
        <v>1.0853900000000001</v>
      </c>
      <c r="AA34" s="64">
        <v>1.11904</v>
      </c>
      <c r="AB34" s="75">
        <f>(Input!AC110*0.1/0.2619*1000)</f>
        <v>2.4054982817869417E-2</v>
      </c>
      <c r="AC34" s="75">
        <f>(Input!AD110*0.1/0.2619*1000)</f>
        <v>0.16151202749140892</v>
      </c>
      <c r="AD34" s="75">
        <f>(Input!AE110*0.1/0.2619*1000)</f>
        <v>3.8182512409316529E-4</v>
      </c>
      <c r="AE34" s="75">
        <f>(Input!AF110*0.1/0.2619*1000)</f>
        <v>7.6365024818633059E-4</v>
      </c>
      <c r="AF34" s="75">
        <f>(Input!AG110*0.1/0.2619*1000)</f>
        <v>1.1454753722794959E-2</v>
      </c>
      <c r="AG34" s="75">
        <f>(Input!AH110*0.1/0.2619*1000)</f>
        <v>9.0110729285987012E-2</v>
      </c>
      <c r="AH34" s="75">
        <f>(Input!AI110*0.1/0.2619*1000)</f>
        <v>2.5582283314242074E-2</v>
      </c>
      <c r="AI34" s="64">
        <v>0.99936999999999998</v>
      </c>
      <c r="AJ34" s="64">
        <v>1.1058699999999999</v>
      </c>
      <c r="AK34" s="75">
        <f>(Input!AL110*0.1/0.2619*1000)</f>
        <v>2.5200458190148912E-2</v>
      </c>
      <c r="AL34" s="75">
        <f>(Input!AM110*0.1/0.2619*1000)</f>
        <v>1.145475372279496E-3</v>
      </c>
      <c r="AM34" s="75">
        <f>(Input!AN110*0.1/0.2619*1000)</f>
        <v>7.9037800687285234E-2</v>
      </c>
      <c r="AN34" s="75">
        <f>(Input!AO110*0.1/0.2619*1000)</f>
        <v>3.471172203130966</v>
      </c>
      <c r="AO34" s="75">
        <f>(Input!AQ110*0.1/0.2619*1000)</f>
        <v>0.18174875906834667</v>
      </c>
      <c r="AP34" s="75">
        <f>(Input!AR110*0.1/0.2619*1000)</f>
        <v>0.35700649102710957</v>
      </c>
      <c r="AQ34" s="75">
        <f>(Input!AS110*0.1/0.2619*1000)</f>
        <v>4.2382588774341347E-2</v>
      </c>
      <c r="AR34" s="75">
        <f>(Input!AT110*0.1/0.2619*1000)</f>
        <v>0.16303932798778159</v>
      </c>
      <c r="AS34" s="75">
        <f>(Input!AU110*0.1/0.2619*1000)</f>
        <v>3.1691485299732716E-2</v>
      </c>
      <c r="AT34" s="75">
        <f>(Input!AV110*0.1/0.2619*1000)</f>
        <v>6.1092019854906447E-3</v>
      </c>
      <c r="AU34" s="75">
        <f>(Input!AW110*0.1/0.2619*1000)</f>
        <v>2.9018709431080567E-2</v>
      </c>
      <c r="AV34" s="75">
        <f>(Input!AX110*0.1/0.2619*1000)</f>
        <v>4.2000763650248182E-3</v>
      </c>
      <c r="AW34" s="75">
        <f>(Input!AY110*0.1/0.2619*1000)</f>
        <v>2.0618556701030927E-2</v>
      </c>
      <c r="AX34" s="75">
        <f>(Input!AZ110*0.1/0.2619*1000)</f>
        <v>4.2000763650248182E-3</v>
      </c>
      <c r="AY34" s="75">
        <f>(Input!BA110*0.1/0.2619*1000)</f>
        <v>1.1454753722794959E-2</v>
      </c>
      <c r="AZ34" s="75">
        <f>(Input!BB110*0.1/0.2619*1000)</f>
        <v>1.5273004963726612E-3</v>
      </c>
      <c r="BA34" s="75">
        <f>(Input!BC110*0.1/0.2619*1000)</f>
        <v>1.1072928598701794E-2</v>
      </c>
      <c r="BB34" s="75">
        <f>(Input!BD110*0.1/0.2619*1000)</f>
        <v>1.5273004963726612E-3</v>
      </c>
      <c r="BC34" s="75">
        <f>(Input!BE110*0.1/0.2619*1000)</f>
        <v>3.8182512409316529E-4</v>
      </c>
      <c r="BD34" s="75">
        <f>(Input!BF110*0.1/0.2619*1000)</f>
        <v>2.9782359679266894E-2</v>
      </c>
      <c r="BE34" s="75">
        <f>(Input!BG110*0.1/0.2619*1000)</f>
        <v>0.1023291332569683</v>
      </c>
      <c r="BF34" s="75">
        <f>(Input!BH110*0.1/0.2619*1000)</f>
        <v>0.10385643375334096</v>
      </c>
      <c r="BG34" s="75">
        <f>(Input!BI110*0.1/0.2619*1000)</f>
        <v>0</v>
      </c>
      <c r="BH34" s="75">
        <f>(Input!BJ110*0.1/0.2619*1000)</f>
        <v>0</v>
      </c>
      <c r="BI34" s="75">
        <f>(Input!BK110*0.1/0.2619*1000)</f>
        <v>6.3382970599465432E-2</v>
      </c>
      <c r="BJ34" s="75">
        <f>(Input!BL110*0.1/0.2619*1000)</f>
        <v>2.6727758686521576E-3</v>
      </c>
      <c r="BK34" s="75">
        <f>(Input!BM110*0.1/0.2619*1000)</f>
        <v>0.38067964872088583</v>
      </c>
      <c r="BL34" s="75">
        <f>(Input!BN110*0.1/0.2619*1000)</f>
        <v>0.36088965253913707</v>
      </c>
      <c r="BM34" s="64">
        <v>0.94516999999999995</v>
      </c>
      <c r="BN34" s="64">
        <v>1.0620400000000001</v>
      </c>
      <c r="BO34" s="75">
        <f>(Input!BQ110*0.1/0.2619*1000)</f>
        <v>5.0400916380297825E-2</v>
      </c>
      <c r="BP34" s="75">
        <f>(Input!BR110*0.1/0.2619*1000)</f>
        <v>9.9274532264222969E-3</v>
      </c>
    </row>
    <row r="35" spans="1:68" x14ac:dyDescent="0.3">
      <c r="A35" s="52" t="s">
        <v>75</v>
      </c>
      <c r="B35" s="75">
        <f>(Input!B111*0.1/0.2544*1000)</f>
        <v>147.64150943396228</v>
      </c>
      <c r="C35" s="75">
        <f>(Input!C111*0.1/0.2544*1000)</f>
        <v>2424.9213836477988</v>
      </c>
      <c r="D35" s="75">
        <f>(Input!D111*0.1/0.2544*1000)</f>
        <v>278.73427672955978</v>
      </c>
      <c r="E35" s="75">
        <f>(Input!E111*0.1/0.2544*1000)</f>
        <v>625.39308176100633</v>
      </c>
      <c r="F35" s="75">
        <f>(Input!F111*0.1/0.2544*1000)</f>
        <v>20290.880503144654</v>
      </c>
      <c r="G35" s="75">
        <f>(Input!G111*0.1/0.2544*1000)</f>
        <v>13714.622641509435</v>
      </c>
      <c r="H35" s="64">
        <v>1.19123</v>
      </c>
      <c r="I35" s="64">
        <v>1.17482</v>
      </c>
      <c r="J35" s="75">
        <f>(Input!J111*0.1/0.2544*1000)</f>
        <v>83.49056603773586</v>
      </c>
      <c r="K35" s="75">
        <f>(Input!L111*0.1/0.2544*1000)</f>
        <v>14.614779874213834</v>
      </c>
      <c r="L35" s="75">
        <f>(Input!M111*0.1/0.2544*1000)</f>
        <v>1.3738207547169812</v>
      </c>
      <c r="M35" s="75">
        <f>(Input!N111*0.1/0.2544*1000)</f>
        <v>28.419811320754718</v>
      </c>
      <c r="N35" s="75">
        <f>(Input!O111*0.1/0.2544*1000)</f>
        <v>365.68396226415098</v>
      </c>
      <c r="O35" s="75">
        <f>(Input!P111*0.1/0.2544*1000)</f>
        <v>0.1650943396226415</v>
      </c>
      <c r="P35" s="75">
        <f>(Input!Q111*0.1/0.2544*1000)</f>
        <v>1.2688679245283019</v>
      </c>
      <c r="Q35" s="75">
        <f>(Input!R111*0.1/0.2544*1000)</f>
        <v>7.291666666666667</v>
      </c>
      <c r="R35" s="75">
        <f>(Input!S111*0.1/0.2544*1000)</f>
        <v>6.1281446540880502</v>
      </c>
      <c r="S35" s="75">
        <f>(Input!T111*0.1/0.2544*1000)</f>
        <v>0.59198113207547165</v>
      </c>
      <c r="T35" s="64">
        <v>1.06728</v>
      </c>
      <c r="U35" s="64">
        <v>1.0098100000000001</v>
      </c>
      <c r="V35" s="75">
        <f>(Input!W111*0.1/0.2544*1000)</f>
        <v>0.13089622641509435</v>
      </c>
      <c r="W35" s="75">
        <f>(Input!X111*0.1/0.2544*1000)</f>
        <v>3.3773584905660381</v>
      </c>
      <c r="X35" s="75">
        <f>(Input!Y111*0.1/0.2544*1000)</f>
        <v>3.9937106918238996</v>
      </c>
      <c r="Y35" s="75">
        <f>(Input!Z111*0.1/0.2544*1000)</f>
        <v>160.02358490566039</v>
      </c>
      <c r="Z35" s="64">
        <v>1.15117</v>
      </c>
      <c r="AA35" s="64">
        <v>1.1907099999999999</v>
      </c>
      <c r="AB35" s="75">
        <f>(Input!AC111*0.1/0.2544*1000)</f>
        <v>3.5770440251572333E-2</v>
      </c>
      <c r="AC35" s="75">
        <f>(Input!AD111*0.1/0.2544*1000)</f>
        <v>0.39740566037735847</v>
      </c>
      <c r="AD35" s="75">
        <f>(Input!AE111*0.1/0.2544*1000)</f>
        <v>3.9308176100628928E-4</v>
      </c>
      <c r="AE35" s="75">
        <f>(Input!AF111*0.1/0.2544*1000)</f>
        <v>2.751572327044025E-3</v>
      </c>
      <c r="AF35" s="75">
        <f>(Input!AG111*0.1/0.2544*1000)</f>
        <v>3.9308176100628929E-2</v>
      </c>
      <c r="AG35" s="75">
        <f>(Input!AH111*0.1/0.2544*1000)</f>
        <v>0.10809748427672958</v>
      </c>
      <c r="AH35" s="75">
        <f>(Input!AI111*0.1/0.2544*1000)</f>
        <v>2.9481132075471695E-2</v>
      </c>
      <c r="AI35" s="64">
        <v>1.05603</v>
      </c>
      <c r="AJ35" s="64">
        <v>1.1653100000000001</v>
      </c>
      <c r="AK35" s="75">
        <f>(Input!AL111*0.1/0.2544*1000)</f>
        <v>3.1053459119496859E-2</v>
      </c>
      <c r="AL35" s="75">
        <f>(Input!AM111*0.1/0.2544*1000)</f>
        <v>0</v>
      </c>
      <c r="AM35" s="75">
        <f>(Input!AN111*0.1/0.2544*1000)</f>
        <v>6.9968553459119495E-2</v>
      </c>
      <c r="AN35" s="75">
        <f>(Input!AO111*0.1/0.2544*1000)</f>
        <v>14.807389937106919</v>
      </c>
      <c r="AO35" s="75">
        <f>(Input!AQ111*0.1/0.2544*1000)</f>
        <v>0.27948113207547165</v>
      </c>
      <c r="AP35" s="75">
        <f>(Input!AR111*0.1/0.2544*1000)</f>
        <v>0.52672955974842772</v>
      </c>
      <c r="AQ35" s="75">
        <f>(Input!AS111*0.1/0.2544*1000)</f>
        <v>6.4465408805031446E-2</v>
      </c>
      <c r="AR35" s="75">
        <f>(Input!AT111*0.1/0.2544*1000)</f>
        <v>0.24095911949685531</v>
      </c>
      <c r="AS35" s="75">
        <f>(Input!AU111*0.1/0.2544*1000)</f>
        <v>4.8349056603773581E-2</v>
      </c>
      <c r="AT35" s="75">
        <f>(Input!AV111*0.1/0.2544*1000)</f>
        <v>1.1399371069182391E-2</v>
      </c>
      <c r="AU35" s="75">
        <f>(Input!AW111*0.1/0.2544*1000)</f>
        <v>4.2059748427672954E-2</v>
      </c>
      <c r="AV35" s="75">
        <f>(Input!AX111*0.1/0.2544*1000)</f>
        <v>6.2893081761006284E-3</v>
      </c>
      <c r="AW35" s="75">
        <f>(Input!AY111*0.1/0.2544*1000)</f>
        <v>3.1053459119496859E-2</v>
      </c>
      <c r="AX35" s="75">
        <f>(Input!AZ111*0.1/0.2544*1000)</f>
        <v>5.8962264150943392E-3</v>
      </c>
      <c r="AY35" s="75">
        <f>(Input!BA111*0.1/0.2544*1000)</f>
        <v>1.6116352201257862E-2</v>
      </c>
      <c r="AZ35" s="75">
        <f>(Input!BB111*0.1/0.2544*1000)</f>
        <v>1.965408805031447E-3</v>
      </c>
      <c r="BA35" s="75">
        <f>(Input!BC111*0.1/0.2544*1000)</f>
        <v>1.4150943396226412E-2</v>
      </c>
      <c r="BB35" s="75">
        <f>(Input!BD111*0.1/0.2544*1000)</f>
        <v>1.965408805031447E-3</v>
      </c>
      <c r="BC35" s="75">
        <f>(Input!BE111*0.1/0.2544*1000)</f>
        <v>7.8616352201257855E-4</v>
      </c>
      <c r="BD35" s="75">
        <f>(Input!BF111*0.1/0.2544*1000)</f>
        <v>3.4198113207547162E-2</v>
      </c>
      <c r="BE35" s="75">
        <f>(Input!BG111*0.1/0.2544*1000)</f>
        <v>6.1320754716981132E-2</v>
      </c>
      <c r="BF35" s="75">
        <f>(Input!BH111*0.1/0.2544*1000)</f>
        <v>6.3286163522012578E-2</v>
      </c>
      <c r="BG35" s="75">
        <f>(Input!BI111*0.1/0.2544*1000)</f>
        <v>0</v>
      </c>
      <c r="BH35" s="75">
        <f>(Input!BJ111*0.1/0.2544*1000)</f>
        <v>0</v>
      </c>
      <c r="BI35" s="75">
        <f>(Input!BK111*0.1/0.2544*1000)</f>
        <v>4.0094339622641514E-2</v>
      </c>
      <c r="BJ35" s="75">
        <f>(Input!BL111*0.1/0.2544*1000)</f>
        <v>3.1446540880503142E-3</v>
      </c>
      <c r="BK35" s="75">
        <f>(Input!BM111*0.1/0.2544*1000)</f>
        <v>0.39465408805031449</v>
      </c>
      <c r="BL35" s="75">
        <f>(Input!BN111*0.1/0.2544*1000)</f>
        <v>0.38147405660377359</v>
      </c>
      <c r="BM35" s="64">
        <v>0.97047000000000005</v>
      </c>
      <c r="BN35" s="64">
        <v>1.0936600000000001</v>
      </c>
      <c r="BO35" s="75">
        <f>(Input!BQ111*0.1/0.2544*1000)</f>
        <v>7.5864779874213834E-2</v>
      </c>
      <c r="BP35" s="75">
        <f>(Input!BR111*0.1/0.2544*1000)</f>
        <v>1.2578616352201257E-2</v>
      </c>
    </row>
    <row r="36" spans="1:68" x14ac:dyDescent="0.3">
      <c r="A36" s="52" t="s">
        <v>76</v>
      </c>
      <c r="B36" s="75">
        <f>(Input!B112*0.1/0.253*1000)</f>
        <v>130.39525691699606</v>
      </c>
      <c r="C36" s="75">
        <f>(Input!C112*0.1/0.253*1000)</f>
        <v>1784.1897233201582</v>
      </c>
      <c r="D36" s="75">
        <f>(Input!D112*0.1/0.253*1000)</f>
        <v>214.98023715415019</v>
      </c>
      <c r="E36" s="75">
        <f>(Input!E112*0.1/0.253*1000)</f>
        <v>587.74703557312262</v>
      </c>
      <c r="F36" s="75">
        <f>(Input!F112*0.1/0.253*1000)</f>
        <v>10324.11067193676</v>
      </c>
      <c r="G36" s="75">
        <f>(Input!G112*0.1/0.253*1000)</f>
        <v>22936.758893280636</v>
      </c>
      <c r="H36" s="64">
        <v>1.21993</v>
      </c>
      <c r="I36" s="64">
        <v>1.1628099999999999</v>
      </c>
      <c r="J36" s="75">
        <f>(Input!J112*0.1/0.253*1000)</f>
        <v>128.02371541501975</v>
      </c>
      <c r="K36" s="75">
        <f>(Input!L112*0.1/0.253*1000)</f>
        <v>13.071146245059291</v>
      </c>
      <c r="L36" s="75">
        <f>(Input!M112*0.1/0.253*1000)</f>
        <v>1.3679841897233203</v>
      </c>
      <c r="M36" s="75">
        <f>(Input!N112*0.1/0.253*1000)</f>
        <v>45.177865612648219</v>
      </c>
      <c r="N36" s="75">
        <f>(Input!O112*0.1/0.253*1000)</f>
        <v>257.03557312252968</v>
      </c>
      <c r="O36" s="75">
        <f>(Input!P112*0.1/0.253*1000)</f>
        <v>0.17628458498023716</v>
      </c>
      <c r="P36" s="75">
        <f>(Input!Q112*0.1/0.253*1000)</f>
        <v>1.6355731225296444</v>
      </c>
      <c r="Q36" s="75">
        <f>(Input!R112*0.1/0.253*1000)</f>
        <v>5.7114624505928857</v>
      </c>
      <c r="R36" s="75">
        <f>(Input!S112*0.1/0.253*1000)</f>
        <v>7.4901185770750986</v>
      </c>
      <c r="S36" s="75">
        <f>(Input!T112*0.1/0.253*1000)</f>
        <v>0.71304347826086956</v>
      </c>
      <c r="T36" s="64">
        <v>1.0951299999999999</v>
      </c>
      <c r="U36" s="64">
        <v>1.0042199999999999</v>
      </c>
      <c r="V36" s="75">
        <f>(Input!W112*0.1/0.253*1000)</f>
        <v>7.8260869565217397E-2</v>
      </c>
      <c r="W36" s="75">
        <f>(Input!X112*0.1/0.253*1000)</f>
        <v>5.1027667984189726</v>
      </c>
      <c r="X36" s="75">
        <f>(Input!Y112*0.1/0.253*1000)</f>
        <v>5.8814229249011865</v>
      </c>
      <c r="Y36" s="75">
        <f>(Input!Z112*0.1/0.253*1000)</f>
        <v>70.71146245059289</v>
      </c>
      <c r="Z36" s="64">
        <v>1.17944</v>
      </c>
      <c r="AA36" s="64">
        <v>1.1823699999999999</v>
      </c>
      <c r="AB36" s="75">
        <f>(Input!AC112*0.1/0.253*1000)</f>
        <v>2.5691699604743087E-2</v>
      </c>
      <c r="AC36" s="75">
        <f>(Input!AD112*0.1/0.253*1000)</f>
        <v>0.21857707509881422</v>
      </c>
      <c r="AD36" s="75">
        <f>(Input!AE112*0.1/0.253*1000)</f>
        <v>3.9525691699604743E-4</v>
      </c>
      <c r="AE36" s="75">
        <f>(Input!AF112*0.1/0.253*1000)</f>
        <v>1.1857707509881424E-3</v>
      </c>
      <c r="AF36" s="75">
        <f>(Input!AG112*0.1/0.253*1000)</f>
        <v>1.8181818181818181E-2</v>
      </c>
      <c r="AG36" s="75">
        <f>(Input!AH112*0.1/0.253*1000)</f>
        <v>0.34387351778656128</v>
      </c>
      <c r="AH36" s="75">
        <f>(Input!AI112*0.1/0.253*1000)</f>
        <v>2.7272727272727278E-2</v>
      </c>
      <c r="AI36" s="64">
        <v>1.07931</v>
      </c>
      <c r="AJ36" s="64">
        <v>1.16276</v>
      </c>
      <c r="AK36" s="75">
        <f>(Input!AL112*0.1/0.253*1000)</f>
        <v>3.8339920948616601E-2</v>
      </c>
      <c r="AL36" s="75">
        <f>(Input!AM112*0.1/0.253*1000)</f>
        <v>1.1857707509881424E-3</v>
      </c>
      <c r="AM36" s="75">
        <f>(Input!AN112*0.1/0.253*1000)</f>
        <v>8.7747035573122537E-2</v>
      </c>
      <c r="AN36" s="75">
        <f>(Input!AO112*0.1/0.253*1000)</f>
        <v>18.324110671936761</v>
      </c>
      <c r="AO36" s="75">
        <f>(Input!AQ112*0.1/0.253*1000)</f>
        <v>0.22371541501976283</v>
      </c>
      <c r="AP36" s="75">
        <f>(Input!AR112*0.1/0.253*1000)</f>
        <v>0.41581027667984194</v>
      </c>
      <c r="AQ36" s="75">
        <f>(Input!AS112*0.1/0.253*1000)</f>
        <v>5.0988142292490123E-2</v>
      </c>
      <c r="AR36" s="75">
        <f>(Input!AT112*0.1/0.253*1000)</f>
        <v>0.19051383399209487</v>
      </c>
      <c r="AS36" s="75">
        <f>(Input!AU112*0.1/0.253*1000)</f>
        <v>3.6363636363636362E-2</v>
      </c>
      <c r="AT36" s="75">
        <f>(Input!AV112*0.1/0.253*1000)</f>
        <v>1.0276679841897235E-2</v>
      </c>
      <c r="AU36" s="75">
        <f>(Input!AW112*0.1/0.253*1000)</f>
        <v>3.2411067193675897E-2</v>
      </c>
      <c r="AV36" s="75">
        <f>(Input!AX112*0.1/0.253*1000)</f>
        <v>5.1383399209486173E-3</v>
      </c>
      <c r="AW36" s="75">
        <f>(Input!AY112*0.1/0.253*1000)</f>
        <v>2.3320158102766799E-2</v>
      </c>
      <c r="AX36" s="75">
        <f>(Input!AZ112*0.1/0.253*1000)</f>
        <v>4.3478260869565218E-3</v>
      </c>
      <c r="AY36" s="75">
        <f>(Input!BA112*0.1/0.253*1000)</f>
        <v>1.2252964426877472E-2</v>
      </c>
      <c r="AZ36" s="75">
        <f>(Input!BB112*0.1/0.253*1000)</f>
        <v>1.5810276679841897E-3</v>
      </c>
      <c r="BA36" s="75">
        <f>(Input!BC112*0.1/0.253*1000)</f>
        <v>9.4861660079051391E-3</v>
      </c>
      <c r="BB36" s="75">
        <f>(Input!BD112*0.1/0.253*1000)</f>
        <v>1.5810276679841897E-3</v>
      </c>
      <c r="BC36" s="75">
        <f>(Input!BE112*0.1/0.253*1000)</f>
        <v>3.9525691699604743E-4</v>
      </c>
      <c r="BD36" s="75">
        <f>(Input!BF112*0.1/0.253*1000)</f>
        <v>2.845849802371541E-2</v>
      </c>
      <c r="BE36" s="75">
        <f>(Input!BG112*0.1/0.253*1000)</f>
        <v>0.10316205533596838</v>
      </c>
      <c r="BF36" s="75">
        <f>(Input!BH112*0.1/0.253*1000)</f>
        <v>0.10513833992094863</v>
      </c>
      <c r="BG36" s="75">
        <f>(Input!BI112*0.1/0.253*1000)</f>
        <v>0</v>
      </c>
      <c r="BH36" s="75">
        <f>(Input!BJ112*0.1/0.253*1000)</f>
        <v>0</v>
      </c>
      <c r="BI36" s="75">
        <f>(Input!BK112*0.1/0.253*1000)</f>
        <v>4.0316205533596841E-2</v>
      </c>
      <c r="BJ36" s="75">
        <f>(Input!BL112*0.1/0.253*1000)</f>
        <v>2.7667984189723325E-3</v>
      </c>
      <c r="BK36" s="75">
        <f>(Input!BM112*0.1/0.253*1000)</f>
        <v>0.42964426877470346</v>
      </c>
      <c r="BL36" s="75">
        <f>(Input!BN112*0.1/0.253*1000)</f>
        <v>0.39154940711462455</v>
      </c>
      <c r="BM36" s="64">
        <v>0.99061999999999995</v>
      </c>
      <c r="BN36" s="64">
        <v>1.0948599999999999</v>
      </c>
      <c r="BO36" s="75">
        <f>(Input!BQ112*0.1/0.253*1000)</f>
        <v>6.6007905138339942E-2</v>
      </c>
      <c r="BP36" s="75">
        <f>(Input!BR112*0.1/0.253*1000)</f>
        <v>1.0276679841897235E-2</v>
      </c>
    </row>
    <row r="37" spans="1:68" x14ac:dyDescent="0.3">
      <c r="A37" s="52" t="s">
        <v>77</v>
      </c>
      <c r="B37" s="75">
        <f>(Input!B113*0.1/0.2569*1000)</f>
        <v>169.52121448034254</v>
      </c>
      <c r="C37" s="75">
        <f>(Input!C113*0.1/0.2569*1000)</f>
        <v>1145.9711950175165</v>
      </c>
      <c r="D37" s="75">
        <f>(Input!D113*0.1/0.2569*1000)</f>
        <v>253.13351498637604</v>
      </c>
      <c r="E37" s="75">
        <f>(Input!E113*0.1/0.2569*1000)</f>
        <v>558.58310626702996</v>
      </c>
      <c r="F37" s="75">
        <f>(Input!F113*0.1/0.2569*1000)</f>
        <v>18867.263526664072</v>
      </c>
      <c r="G37" s="75">
        <f>(Input!G113*0.1/0.2569*1000)</f>
        <v>15772.674192292723</v>
      </c>
      <c r="H37" s="64">
        <v>1.1898899999999999</v>
      </c>
      <c r="I37" s="64">
        <v>1.15412</v>
      </c>
      <c r="J37" s="75">
        <f>(Input!J113*0.1/0.2569*1000)</f>
        <v>93.538341767224594</v>
      </c>
      <c r="K37" s="75">
        <f>(Input!L113*0.1/0.2569*1000)</f>
        <v>13.441027637212922</v>
      </c>
      <c r="L37" s="75">
        <f>(Input!M113*0.1/0.2569*1000)</f>
        <v>1.4667185675360062</v>
      </c>
      <c r="M37" s="75">
        <f>(Input!N113*0.1/0.2569*1000)</f>
        <v>24.386920980926426</v>
      </c>
      <c r="N37" s="75">
        <f>(Input!O113*0.1/0.2569*1000)</f>
        <v>301.08991825613077</v>
      </c>
      <c r="O37" s="75">
        <f>(Input!P113*0.1/0.2569*1000)</f>
        <v>0.15258855585831063</v>
      </c>
      <c r="P37" s="75">
        <f>(Input!Q113*0.1/0.2569*1000)</f>
        <v>0.95679252627481515</v>
      </c>
      <c r="Q37" s="75">
        <f>(Input!R113*0.1/0.2569*1000)</f>
        <v>8.7115609186453877</v>
      </c>
      <c r="R37" s="75">
        <f>(Input!S113*0.1/0.2569*1000)</f>
        <v>13.086804203970416</v>
      </c>
      <c r="S37" s="75">
        <f>(Input!T113*0.1/0.2569*1000)</f>
        <v>0.38302841572596341</v>
      </c>
      <c r="T37" s="64">
        <v>1.0704100000000001</v>
      </c>
      <c r="U37" s="64">
        <v>1.00464</v>
      </c>
      <c r="V37" s="75">
        <f>(Input!W113*0.1/0.2569*1000)</f>
        <v>0.11054885169326585</v>
      </c>
      <c r="W37" s="75">
        <f>(Input!X113*0.1/0.2569*1000)</f>
        <v>2.484235110938108</v>
      </c>
      <c r="X37" s="75">
        <f>(Input!Y113*0.1/0.2569*1000)</f>
        <v>5.266640716231997</v>
      </c>
      <c r="Y37" s="75">
        <f>(Input!Z113*0.1/0.2569*1000)</f>
        <v>71.584274036590102</v>
      </c>
      <c r="Z37" s="64">
        <v>1.1533800000000001</v>
      </c>
      <c r="AA37" s="64">
        <v>1.1758900000000001</v>
      </c>
      <c r="AB37" s="75">
        <f>(Input!AC113*0.1/0.2569*1000)</f>
        <v>2.8026469443363167E-2</v>
      </c>
      <c r="AC37" s="75">
        <f>(Input!AD113*0.1/0.2569*1000)</f>
        <v>0.25418450759050215</v>
      </c>
      <c r="AD37" s="75">
        <f>(Input!AE113*0.1/0.2569*1000)</f>
        <v>3.8925652004671076E-4</v>
      </c>
      <c r="AE37" s="75">
        <f>(Input!AF113*0.1/0.2569*1000)</f>
        <v>1.1677695601401326E-3</v>
      </c>
      <c r="AF37" s="75">
        <f>(Input!AG113*0.1/0.2569*1000)</f>
        <v>1.8295056442195402E-2</v>
      </c>
      <c r="AG37" s="75">
        <f>(Input!AH113*0.1/0.2569*1000)</f>
        <v>8.5247177890229661E-2</v>
      </c>
      <c r="AH37" s="75">
        <f>(Input!AI113*0.1/0.2569*1000)</f>
        <v>2.5690930323082912E-2</v>
      </c>
      <c r="AI37" s="64">
        <v>1.0559400000000001</v>
      </c>
      <c r="AJ37" s="64">
        <v>1.1562600000000001</v>
      </c>
      <c r="AK37" s="75">
        <f>(Input!AL113*0.1/0.2569*1000)</f>
        <v>6.1502530167380304E-2</v>
      </c>
      <c r="AL37" s="75">
        <f>(Input!AM113*0.1/0.2569*1000)</f>
        <v>3.8925652004671076E-4</v>
      </c>
      <c r="AM37" s="75">
        <f>(Input!AN113*0.1/0.2569*1000)</f>
        <v>5.644219540677306E-2</v>
      </c>
      <c r="AN37" s="75">
        <f>(Input!AO113*0.1/0.2569*1000)</f>
        <v>9.3304787855196558</v>
      </c>
      <c r="AO37" s="75">
        <f>(Input!AQ113*0.1/0.2569*1000)</f>
        <v>0.22343324250681199</v>
      </c>
      <c r="AP37" s="75">
        <f>(Input!AR113*0.1/0.2569*1000)</f>
        <v>0.43869209809264303</v>
      </c>
      <c r="AQ37" s="75">
        <f>(Input!AS113*0.1/0.2569*1000)</f>
        <v>5.2549630206305958E-2</v>
      </c>
      <c r="AR37" s="75">
        <f>(Input!AT113*0.1/0.2569*1000)</f>
        <v>0.20046710782405608</v>
      </c>
      <c r="AS37" s="75">
        <f>(Input!AU113*0.1/0.2569*1000)</f>
        <v>3.8925652004671074E-2</v>
      </c>
      <c r="AT37" s="75">
        <f>(Input!AV113*0.1/0.2569*1000)</f>
        <v>8.9528999610743471E-3</v>
      </c>
      <c r="AU37" s="75">
        <f>(Input!AW113*0.1/0.2569*1000)</f>
        <v>3.4254573764110549E-2</v>
      </c>
      <c r="AV37" s="75">
        <f>(Input!AX113*0.1/0.2569*1000)</f>
        <v>5.4495912806539508E-3</v>
      </c>
      <c r="AW37" s="75">
        <f>(Input!AY113*0.1/0.2569*1000)</f>
        <v>2.4523160762942781E-2</v>
      </c>
      <c r="AX37" s="75">
        <f>(Input!AZ113*0.1/0.2569*1000)</f>
        <v>4.6710782405605302E-3</v>
      </c>
      <c r="AY37" s="75">
        <f>(Input!BA113*0.1/0.2569*1000)</f>
        <v>1.3623978201634879E-2</v>
      </c>
      <c r="AZ37" s="75">
        <f>(Input!BB113*0.1/0.2569*1000)</f>
        <v>1.557026080186843E-3</v>
      </c>
      <c r="BA37" s="75">
        <f>(Input!BC113*0.1/0.2569*1000)</f>
        <v>1.0509926041261192E-2</v>
      </c>
      <c r="BB37" s="75">
        <f>(Input!BD113*0.1/0.2569*1000)</f>
        <v>1.557026080186843E-3</v>
      </c>
      <c r="BC37" s="75">
        <f>(Input!BE113*0.1/0.2569*1000)</f>
        <v>7.7851304009342152E-4</v>
      </c>
      <c r="BD37" s="75">
        <f>(Input!BF113*0.1/0.2569*1000)</f>
        <v>3.4254573764110549E-2</v>
      </c>
      <c r="BE37" s="75">
        <f>(Input!BG113*0.1/0.2569*1000)</f>
        <v>0.10509926041261192</v>
      </c>
      <c r="BF37" s="75">
        <f>(Input!BH113*0.1/0.2569*1000)</f>
        <v>0.10821331257298561</v>
      </c>
      <c r="BG37" s="75">
        <f>(Input!BI113*0.1/0.2569*1000)</f>
        <v>0</v>
      </c>
      <c r="BH37" s="75">
        <f>(Input!BJ113*0.1/0.2569*1000)</f>
        <v>0</v>
      </c>
      <c r="BI37" s="75">
        <f>(Input!BK113*0.1/0.2569*1000)</f>
        <v>5.7609964966913195E-2</v>
      </c>
      <c r="BJ37" s="75">
        <f>(Input!BL113*0.1/0.2569*1000)</f>
        <v>3.1140521603736861E-3</v>
      </c>
      <c r="BK37" s="75">
        <f>(Input!BM113*0.1/0.2569*1000)</f>
        <v>0.48034254573764112</v>
      </c>
      <c r="BL37" s="75">
        <f>(Input!BN113*0.1/0.2569*1000)</f>
        <v>0.38059945504087189</v>
      </c>
      <c r="BM37" s="64">
        <v>0.97775999999999996</v>
      </c>
      <c r="BN37" s="64">
        <v>1.09456</v>
      </c>
      <c r="BO37" s="75">
        <f>(Input!BQ113*0.1/0.2569*1000)</f>
        <v>6.0334760607240169E-2</v>
      </c>
      <c r="BP37" s="75">
        <f>(Input!BR113*0.1/0.2569*1000)</f>
        <v>1.0509926041261192E-2</v>
      </c>
    </row>
    <row r="38" spans="1:68" x14ac:dyDescent="0.3">
      <c r="A38" s="52" t="s">
        <v>78</v>
      </c>
      <c r="B38" s="75">
        <f>(Input!B114*0.1/0.2541*1000)</f>
        <v>176.11176702085797</v>
      </c>
      <c r="C38" s="75">
        <f>(Input!C114*0.1/0.2541*1000)</f>
        <v>1789.452971271153</v>
      </c>
      <c r="D38" s="75">
        <f>(Input!D114*0.1/0.2541*1000)</f>
        <v>315.07280598189692</v>
      </c>
      <c r="E38" s="75">
        <f>(Input!E114*0.1/0.2541*1000)</f>
        <v>481.70011806375447</v>
      </c>
      <c r="F38" s="75">
        <f>(Input!F114*0.1/0.2541*1000)</f>
        <v>9456.9067296340054</v>
      </c>
      <c r="G38" s="75">
        <f>(Input!G114*0.1/0.2541*1000)</f>
        <v>26096.025186934279</v>
      </c>
      <c r="H38" s="64">
        <v>1.2220800000000001</v>
      </c>
      <c r="I38" s="64">
        <v>1.1731</v>
      </c>
      <c r="J38" s="75">
        <f>(Input!J114*0.1/0.2541*1000)</f>
        <v>150.33451397087762</v>
      </c>
      <c r="K38" s="75">
        <f>(Input!L114*0.1/0.2541*1000)</f>
        <v>15.116096025186934</v>
      </c>
      <c r="L38" s="75">
        <f>(Input!M114*0.1/0.2541*1000)</f>
        <v>1.4573002754820936</v>
      </c>
      <c r="M38" s="75">
        <f>(Input!N114*0.1/0.2541*1000)</f>
        <v>60.09445100354192</v>
      </c>
      <c r="N38" s="75">
        <f>(Input!O114*0.1/0.2541*1000)</f>
        <v>414.79732388823305</v>
      </c>
      <c r="O38" s="75">
        <f>(Input!P114*0.1/0.2541*1000)</f>
        <v>0.18417945690672965</v>
      </c>
      <c r="P38" s="75">
        <f>(Input!Q114*0.1/0.2541*1000)</f>
        <v>1.057064147973239</v>
      </c>
      <c r="Q38" s="75">
        <f>(Input!R114*0.1/0.2541*1000)</f>
        <v>11.302636757182212</v>
      </c>
      <c r="R38" s="75">
        <f>(Input!S114*0.1/0.2541*1000)</f>
        <v>12.164502164502164</v>
      </c>
      <c r="S38" s="75">
        <f>(Input!T114*0.1/0.2541*1000)</f>
        <v>0.46792601338055889</v>
      </c>
      <c r="T38" s="64">
        <v>1.0781499999999999</v>
      </c>
      <c r="U38" s="64">
        <v>1.0036799999999999</v>
      </c>
      <c r="V38" s="75">
        <f>(Input!W114*0.1/0.2541*1000)</f>
        <v>0.12593467138921685</v>
      </c>
      <c r="W38" s="75">
        <f>(Input!X114*0.1/0.2541*1000)</f>
        <v>2.327823691460055</v>
      </c>
      <c r="X38" s="75">
        <f>(Input!Y114*0.1/0.2541*1000)</f>
        <v>5.5411255411255418</v>
      </c>
      <c r="Y38" s="75">
        <f>(Input!Z114*0.1/0.2541*1000)</f>
        <v>101.61353797717435</v>
      </c>
      <c r="Z38" s="64">
        <v>1.1722699999999999</v>
      </c>
      <c r="AA38" s="64">
        <v>1.19414</v>
      </c>
      <c r="AB38" s="75">
        <f>(Input!AC114*0.1/0.2541*1000)</f>
        <v>3.2664305391578122E-2</v>
      </c>
      <c r="AC38" s="75">
        <f>(Input!AD114*0.1/0.2541*1000)</f>
        <v>0.20503738685556866</v>
      </c>
      <c r="AD38" s="75">
        <f>(Input!AE114*0.1/0.2541*1000)</f>
        <v>3.9354584809130262E-4</v>
      </c>
      <c r="AE38" s="75">
        <f>(Input!AF114*0.1/0.2541*1000)</f>
        <v>1.5741833923652105E-3</v>
      </c>
      <c r="AF38" s="75">
        <f>(Input!AG114*0.1/0.2541*1000)</f>
        <v>2.439984258166077E-2</v>
      </c>
      <c r="AG38" s="75">
        <f>(Input!AH114*0.1/0.2541*1000)</f>
        <v>0.10665092483274304</v>
      </c>
      <c r="AH38" s="75">
        <f>(Input!AI114*0.1/0.2541*1000)</f>
        <v>5.1160960251869357E-2</v>
      </c>
      <c r="AI38" s="64">
        <v>1.06795</v>
      </c>
      <c r="AJ38" s="64">
        <v>1.16648</v>
      </c>
      <c r="AK38" s="75">
        <f>(Input!AL114*0.1/0.2541*1000)</f>
        <v>6.7689885871704047E-2</v>
      </c>
      <c r="AL38" s="75">
        <f>(Input!AM114*0.1/0.2541*1000)</f>
        <v>1.1806375442739081E-3</v>
      </c>
      <c r="AM38" s="75">
        <f>(Input!AN114*0.1/0.2541*1000)</f>
        <v>0.14128295946477765</v>
      </c>
      <c r="AN38" s="75">
        <f>(Input!AO114*0.1/0.2541*1000)</f>
        <v>11.267217630853995</v>
      </c>
      <c r="AO38" s="75">
        <f>(Input!AQ114*0.1/0.2541*1000)</f>
        <v>0.26564344746162932</v>
      </c>
      <c r="AP38" s="75">
        <f>(Input!AR114*0.1/0.2541*1000)</f>
        <v>0.50491932310114129</v>
      </c>
      <c r="AQ38" s="75">
        <f>(Input!AS114*0.1/0.2541*1000)</f>
        <v>6.1393152302243216E-2</v>
      </c>
      <c r="AR38" s="75">
        <f>(Input!AT114*0.1/0.2541*1000)</f>
        <v>0.23337268791814247</v>
      </c>
      <c r="AS38" s="75">
        <f>(Input!AU114*0.1/0.2541*1000)</f>
        <v>4.5257772530499812E-2</v>
      </c>
      <c r="AT38" s="75">
        <f>(Input!AV114*0.1/0.2541*1000)</f>
        <v>1.1412829594647778E-2</v>
      </c>
      <c r="AU38" s="75">
        <f>(Input!AW114*0.1/0.2541*1000)</f>
        <v>4.053522235340417E-2</v>
      </c>
      <c r="AV38" s="75">
        <f>(Input!AX114*0.1/0.2541*1000)</f>
        <v>7.8709169618260532E-3</v>
      </c>
      <c r="AW38" s="75">
        <f>(Input!AY114*0.1/0.2541*1000)</f>
        <v>2.8335301062573787E-2</v>
      </c>
      <c r="AX38" s="75">
        <f>(Input!AZ114*0.1/0.2541*1000)</f>
        <v>5.5096418732782379E-3</v>
      </c>
      <c r="AY38" s="75">
        <f>(Input!BA114*0.1/0.2541*1000)</f>
        <v>1.4954742227469503E-2</v>
      </c>
      <c r="AZ38" s="75">
        <f>(Input!BB114*0.1/0.2541*1000)</f>
        <v>1.9677292404565133E-3</v>
      </c>
      <c r="BA38" s="75">
        <f>(Input!BC114*0.1/0.2541*1000)</f>
        <v>1.338055883510429E-2</v>
      </c>
      <c r="BB38" s="75">
        <f>(Input!BD114*0.1/0.2541*1000)</f>
        <v>1.9677292404565133E-3</v>
      </c>
      <c r="BC38" s="75">
        <f>(Input!BE114*0.1/0.2541*1000)</f>
        <v>7.8709169618260523E-4</v>
      </c>
      <c r="BD38" s="75">
        <f>(Input!BF114*0.1/0.2541*1000)</f>
        <v>3.9354584809130268E-2</v>
      </c>
      <c r="BE38" s="75">
        <f>(Input!BG114*0.1/0.2541*1000)</f>
        <v>8.3038173947264857E-2</v>
      </c>
      <c r="BF38" s="75">
        <f>(Input!BH114*0.1/0.2541*1000)</f>
        <v>8.500590318772136E-2</v>
      </c>
      <c r="BG38" s="75">
        <f>(Input!BI114*0.1/0.2541*1000)</f>
        <v>0</v>
      </c>
      <c r="BH38" s="75">
        <f>(Input!BJ114*0.1/0.2541*1000)</f>
        <v>0</v>
      </c>
      <c r="BI38" s="75">
        <f>(Input!BK114*0.1/0.2541*1000)</f>
        <v>7.3593073593073599E-2</v>
      </c>
      <c r="BJ38" s="75">
        <f>(Input!BL114*0.1/0.2541*1000)</f>
        <v>3.9354584809130266E-3</v>
      </c>
      <c r="BK38" s="75">
        <f>(Input!BM114*0.1/0.2541*1000)</f>
        <v>0.45533254624163716</v>
      </c>
      <c r="BL38" s="75">
        <f>(Input!BN114*0.1/0.2541*1000)</f>
        <v>0.3866706021251477</v>
      </c>
      <c r="BM38" s="64">
        <v>0.98253000000000001</v>
      </c>
      <c r="BN38" s="64">
        <v>1.0951299999999999</v>
      </c>
      <c r="BO38" s="75">
        <f>(Input!BQ114*0.1/0.2541*1000)</f>
        <v>6.9657615112160565E-2</v>
      </c>
      <c r="BP38" s="75">
        <f>(Input!BR114*0.1/0.2541*1000)</f>
        <v>1.3774104683195594E-2</v>
      </c>
    </row>
    <row r="39" spans="1:68" x14ac:dyDescent="0.3">
      <c r="A39" s="52" t="s">
        <v>79</v>
      </c>
      <c r="B39" s="75">
        <f>(Input!B115*0.1/0.2599*1000)</f>
        <v>273.45132743362831</v>
      </c>
      <c r="C39" s="75">
        <f>(Input!C115*0.1/0.2599*1000)</f>
        <v>2074.644093882262</v>
      </c>
      <c r="D39" s="75">
        <f>(Input!D115*0.1/0.2599*1000)</f>
        <v>248.17237398999615</v>
      </c>
      <c r="E39" s="75">
        <f>(Input!E115*0.1/0.2599*1000)</f>
        <v>608.695652173913</v>
      </c>
      <c r="F39" s="75">
        <f>(Input!F115*0.1/0.2599*1000)</f>
        <v>14140.053866871875</v>
      </c>
      <c r="G39" s="75">
        <f>(Input!G115*0.1/0.2599*1000)</f>
        <v>27187.379761446708</v>
      </c>
      <c r="H39" s="64">
        <v>1.20312</v>
      </c>
      <c r="I39" s="64">
        <v>1.1564399999999999</v>
      </c>
      <c r="J39" s="75">
        <f>(Input!J115*0.1/0.2599*1000)</f>
        <v>150.78876490958061</v>
      </c>
      <c r="K39" s="75">
        <f>(Input!L115*0.1/0.2599*1000)</f>
        <v>14.217006540977298</v>
      </c>
      <c r="L39" s="75">
        <f>(Input!M115*0.1/0.2599*1000)</f>
        <v>1.4320892651019623</v>
      </c>
      <c r="M39" s="75">
        <f>(Input!N115*0.1/0.2599*1000)</f>
        <v>67.141208156983453</v>
      </c>
      <c r="N39" s="75">
        <f>(Input!O115*0.1/0.2599*1000)</f>
        <v>337.20661792997305</v>
      </c>
      <c r="O39" s="75">
        <f>(Input!P115*0.1/0.2599*1000)</f>
        <v>0.19430550211619857</v>
      </c>
      <c r="P39" s="75">
        <f>(Input!Q115*0.1/0.2599*1000)</f>
        <v>1.2928049249711424</v>
      </c>
      <c r="Q39" s="75">
        <f>(Input!R115*0.1/0.2599*1000)</f>
        <v>8.876490958060792</v>
      </c>
      <c r="R39" s="75">
        <f>(Input!S115*0.1/0.2599*1000)</f>
        <v>5.6521739130434776</v>
      </c>
      <c r="S39" s="75">
        <f>(Input!T115*0.1/0.2599*1000)</f>
        <v>0.66833397460561761</v>
      </c>
      <c r="T39" s="64">
        <v>1.0763400000000001</v>
      </c>
      <c r="U39" s="64">
        <v>0.99324999999999997</v>
      </c>
      <c r="V39" s="75">
        <f>(Input!W115*0.1/0.2599*1000)</f>
        <v>0.12004617160446325</v>
      </c>
      <c r="W39" s="75">
        <f>(Input!X115*0.1/0.2599*1000)</f>
        <v>14.744132358599462</v>
      </c>
      <c r="X39" s="75">
        <f>(Input!Y115*0.1/0.2599*1000)</f>
        <v>2.7968449403616775</v>
      </c>
      <c r="Y39" s="75">
        <f>(Input!Z115*0.1/0.2599*1000)</f>
        <v>130.05001923816852</v>
      </c>
      <c r="Z39" s="64">
        <v>1.15822</v>
      </c>
      <c r="AA39" s="64">
        <v>1.1755500000000001</v>
      </c>
      <c r="AB39" s="75">
        <f>(Input!AC115*0.1/0.2599*1000)</f>
        <v>2.8472489419007308E-2</v>
      </c>
      <c r="AC39" s="75">
        <f>(Input!AD115*0.1/0.2599*1000)</f>
        <v>0.2177760677183532</v>
      </c>
      <c r="AD39" s="75">
        <f>(Input!AE115*0.1/0.2599*1000)</f>
        <v>3.8476337052712579E-4</v>
      </c>
      <c r="AE39" s="75">
        <f>(Input!AF115*0.1/0.2599*1000)</f>
        <v>2.3085802231627549E-3</v>
      </c>
      <c r="AF39" s="75">
        <f>(Input!AG115*0.1/0.2599*1000)</f>
        <v>3.2704886494805699E-2</v>
      </c>
      <c r="AG39" s="75">
        <f>(Input!AH115*0.1/0.2599*1000)</f>
        <v>0.14082339361292806</v>
      </c>
      <c r="AH39" s="75">
        <f>(Input!AI115*0.1/0.2599*1000)</f>
        <v>3.1165833012697187E-2</v>
      </c>
      <c r="AI39" s="64">
        <v>1.0573600000000001</v>
      </c>
      <c r="AJ39" s="64">
        <v>1.15469</v>
      </c>
      <c r="AK39" s="75">
        <f>(Input!AL115*0.1/0.2599*1000)</f>
        <v>7.6567910734898048E-2</v>
      </c>
      <c r="AL39" s="75">
        <f>(Input!AM115*0.1/0.2599*1000)</f>
        <v>1.1542901115813775E-3</v>
      </c>
      <c r="AM39" s="75">
        <f>(Input!AN115*0.1/0.2599*1000)</f>
        <v>5.232781839168911E-2</v>
      </c>
      <c r="AN39" s="75">
        <f>(Input!AO115*0.1/0.2599*1000)</f>
        <v>17.110427087341282</v>
      </c>
      <c r="AO39" s="75">
        <f>(Input!AQ115*0.1/0.2599*1000)</f>
        <v>0.31088880338591768</v>
      </c>
      <c r="AP39" s="75">
        <f>(Input!AR115*0.1/0.2599*1000)</f>
        <v>0.50827241246633315</v>
      </c>
      <c r="AQ39" s="75">
        <f>(Input!AS115*0.1/0.2599*1000)</f>
        <v>6.3101192766448641E-2</v>
      </c>
      <c r="AR39" s="75">
        <f>(Input!AT115*0.1/0.2599*1000)</f>
        <v>0.23355136590996536</v>
      </c>
      <c r="AS39" s="75">
        <f>(Input!AU115*0.1/0.2599*1000)</f>
        <v>4.4632550981146595E-2</v>
      </c>
      <c r="AT39" s="75">
        <f>(Input!AV115*0.1/0.2599*1000)</f>
        <v>1.1927664486340901E-2</v>
      </c>
      <c r="AU39" s="75">
        <f>(Input!AW115*0.1/0.2599*1000)</f>
        <v>4.3093497499038097E-2</v>
      </c>
      <c r="AV39" s="75">
        <f>(Input!AX115*0.1/0.2599*1000)</f>
        <v>5.7714505579068865E-3</v>
      </c>
      <c r="AW39" s="75">
        <f>(Input!AY115*0.1/0.2599*1000)</f>
        <v>2.8857252789534431E-2</v>
      </c>
      <c r="AX39" s="75">
        <f>(Input!AZ115*0.1/0.2599*1000)</f>
        <v>5.3866871873797621E-3</v>
      </c>
      <c r="AY39" s="75">
        <f>(Input!BA115*0.1/0.2599*1000)</f>
        <v>1.4236244709503654E-2</v>
      </c>
      <c r="AZ39" s="75">
        <f>(Input!BB115*0.1/0.2599*1000)</f>
        <v>1.9238168526356295E-3</v>
      </c>
      <c r="BA39" s="75">
        <f>(Input!BC115*0.1/0.2599*1000)</f>
        <v>1.1927664486340901E-2</v>
      </c>
      <c r="BB39" s="75">
        <f>(Input!BD115*0.1/0.2599*1000)</f>
        <v>1.9238168526356295E-3</v>
      </c>
      <c r="BC39" s="75">
        <f>(Input!BE115*0.1/0.2599*1000)</f>
        <v>7.6952674105425158E-4</v>
      </c>
      <c r="BD39" s="75">
        <f>(Input!BF115*0.1/0.2599*1000)</f>
        <v>3.6552520200076946E-2</v>
      </c>
      <c r="BE39" s="75">
        <f>(Input!BG115*0.1/0.2599*1000)</f>
        <v>0.10388611004232397</v>
      </c>
      <c r="BF39" s="75">
        <f>(Input!BH115*0.1/0.2599*1000)</f>
        <v>0.10542516352443249</v>
      </c>
      <c r="BG39" s="75">
        <f>(Input!BI115*0.1/0.2599*1000)</f>
        <v>0</v>
      </c>
      <c r="BH39" s="75">
        <f>(Input!BJ115*0.1/0.2599*1000)</f>
        <v>0</v>
      </c>
      <c r="BI39" s="75">
        <f>(Input!BK115*0.1/0.2599*1000)</f>
        <v>3.1550596383224321E-2</v>
      </c>
      <c r="BJ39" s="75">
        <f>(Input!BL115*0.1/0.2599*1000)</f>
        <v>2.6933435936898811E-3</v>
      </c>
      <c r="BK39" s="75">
        <f>(Input!BM115*0.1/0.2599*1000)</f>
        <v>0.47749134282416311</v>
      </c>
      <c r="BL39" s="75">
        <f>(Input!BN115*0.1/0.2599*1000)</f>
        <v>0.37438245479030396</v>
      </c>
      <c r="BM39" s="64">
        <v>0.97302</v>
      </c>
      <c r="BN39" s="64">
        <v>1.08985</v>
      </c>
      <c r="BO39" s="75">
        <f>(Input!BQ115*0.1/0.2599*1000)</f>
        <v>7.8876490958060777E-2</v>
      </c>
      <c r="BP39" s="75">
        <f>(Input!BR115*0.1/0.2599*1000)</f>
        <v>1.1542901115813773E-2</v>
      </c>
    </row>
    <row r="40" spans="1:68" x14ac:dyDescent="0.3">
      <c r="A40" s="52" t="s">
        <v>80</v>
      </c>
      <c r="B40" s="75">
        <f>(Input!B116*0.1/0.2626*1000)</f>
        <v>167.78370144706781</v>
      </c>
      <c r="C40" s="75">
        <f>(Input!C116*0.1/0.2626*1000)</f>
        <v>2194.9733434881955</v>
      </c>
      <c r="D40" s="75">
        <f>(Input!D116*0.1/0.2626*1000)</f>
        <v>342.99314546839304</v>
      </c>
      <c r="E40" s="75">
        <f>(Input!E116*0.1/0.2626*1000)</f>
        <v>786.36709824828642</v>
      </c>
      <c r="F40" s="75">
        <f>(Input!F116*0.1/0.2626*1000)</f>
        <v>13895.658796648897</v>
      </c>
      <c r="G40" s="75">
        <f>(Input!G116*0.1/0.2626*1000)</f>
        <v>17334.348819497336</v>
      </c>
      <c r="H40" s="64">
        <v>1.16516</v>
      </c>
      <c r="I40" s="64">
        <v>1.12313</v>
      </c>
      <c r="J40" s="75">
        <f>(Input!J116*0.1/0.2626*1000)</f>
        <v>106.93069306930693</v>
      </c>
      <c r="K40" s="75">
        <f>(Input!L116*0.1/0.2626*1000)</f>
        <v>15.753998476770754</v>
      </c>
      <c r="L40" s="75">
        <f>(Input!M116*0.1/0.2626*1000)</f>
        <v>1.3183549124143186</v>
      </c>
      <c r="M40" s="75">
        <f>(Input!N116*0.1/0.2626*1000)</f>
        <v>47.753236862147759</v>
      </c>
      <c r="N40" s="75">
        <f>(Input!O116*0.1/0.2626*1000)</f>
        <v>388.80426504188881</v>
      </c>
      <c r="O40" s="75">
        <f>(Input!P116*0.1/0.2626*1000)</f>
        <v>0.17783701447067785</v>
      </c>
      <c r="P40" s="75">
        <f>(Input!Q116*0.1/0.2626*1000)</f>
        <v>1.5186595582635189</v>
      </c>
      <c r="Q40" s="75">
        <f>(Input!R116*0.1/0.2626*1000)</f>
        <v>8.7128712871287117</v>
      </c>
      <c r="R40" s="75">
        <f>(Input!S116*0.1/0.2626*1000)</f>
        <v>7.9398324447829403</v>
      </c>
      <c r="S40" s="75">
        <f>(Input!T116*0.1/0.2626*1000)</f>
        <v>0.58073115003808073</v>
      </c>
      <c r="T40" s="64">
        <v>1.0636300000000001</v>
      </c>
      <c r="U40" s="64">
        <v>0.98646</v>
      </c>
      <c r="V40" s="75">
        <f>(Input!W116*0.1/0.2626*1000)</f>
        <v>0.12071591774562074</v>
      </c>
      <c r="W40" s="75">
        <f>(Input!X116*0.1/0.2626*1000)</f>
        <v>3.2102056359482103</v>
      </c>
      <c r="X40" s="75">
        <f>(Input!Y116*0.1/0.2626*1000)</f>
        <v>5.6359482102056369</v>
      </c>
      <c r="Y40" s="75">
        <f>(Input!Z116*0.1/0.2626*1000)</f>
        <v>72.505712109672501</v>
      </c>
      <c r="Z40" s="64">
        <v>1.1250800000000001</v>
      </c>
      <c r="AA40" s="64">
        <v>1.14611</v>
      </c>
      <c r="AB40" s="75">
        <f>(Input!AC116*0.1/0.2626*1000)</f>
        <v>3.7699923838537708E-2</v>
      </c>
      <c r="AC40" s="75">
        <f>(Input!AD116*0.1/0.2626*1000)</f>
        <v>0.36557501904036555</v>
      </c>
      <c r="AD40" s="75">
        <f>(Input!AE116*0.1/0.2626*1000)</f>
        <v>3.8080731150038082E-4</v>
      </c>
      <c r="AE40" s="75">
        <f>(Input!AF116*0.1/0.2626*1000)</f>
        <v>1.1424219345011425E-3</v>
      </c>
      <c r="AF40" s="75">
        <f>(Input!AG116*0.1/0.2626*1000)</f>
        <v>1.7897943640517895E-2</v>
      </c>
      <c r="AG40" s="75">
        <f>(Input!AH116*0.1/0.2626*1000)</f>
        <v>8.6443259710586445E-2</v>
      </c>
      <c r="AH40" s="75">
        <f>(Input!AI116*0.1/0.2626*1000)</f>
        <v>2.6275704493526283E-2</v>
      </c>
      <c r="AI40" s="64">
        <v>1.03626</v>
      </c>
      <c r="AJ40" s="64">
        <v>1.13002</v>
      </c>
      <c r="AK40" s="75">
        <f>(Input!AL116*0.1/0.2626*1000)</f>
        <v>4.1127189642041123E-2</v>
      </c>
      <c r="AL40" s="75">
        <f>(Input!AM116*0.1/0.2626*1000)</f>
        <v>1.5232292460015233E-3</v>
      </c>
      <c r="AM40" s="75">
        <f>(Input!AN116*0.1/0.2626*1000)</f>
        <v>9.5963442498095977E-2</v>
      </c>
      <c r="AN40" s="75">
        <f>(Input!AO116*0.1/0.2626*1000)</f>
        <v>14.664889565879665</v>
      </c>
      <c r="AO40" s="75">
        <f>(Input!AQ116*0.1/0.2626*1000)</f>
        <v>0.2905559786747906</v>
      </c>
      <c r="AP40" s="75">
        <f>(Input!AR116*0.1/0.2626*1000)</f>
        <v>0.57920792079207928</v>
      </c>
      <c r="AQ40" s="75">
        <f>(Input!AS116*0.1/0.2626*1000)</f>
        <v>7.0449352627570461E-2</v>
      </c>
      <c r="AR40" s="75">
        <f>(Input!AT116*0.1/0.2626*1000)</f>
        <v>0.26275704493526275</v>
      </c>
      <c r="AS40" s="75">
        <f>(Input!AU116*0.1/0.2626*1000)</f>
        <v>5.1789794364051796E-2</v>
      </c>
      <c r="AT40" s="75">
        <f>(Input!AV116*0.1/0.2626*1000)</f>
        <v>1.1424219345011423E-2</v>
      </c>
      <c r="AU40" s="75">
        <f>(Input!AW116*0.1/0.2626*1000)</f>
        <v>4.5696877380045693E-2</v>
      </c>
      <c r="AV40" s="75">
        <f>(Input!AX116*0.1/0.2626*1000)</f>
        <v>6.8545316070068533E-3</v>
      </c>
      <c r="AW40" s="75">
        <f>(Input!AY116*0.1/0.2626*1000)</f>
        <v>3.3130236100533131E-2</v>
      </c>
      <c r="AX40" s="75">
        <f>(Input!AZ116*0.1/0.2626*1000)</f>
        <v>6.0929169840060931E-3</v>
      </c>
      <c r="AY40" s="75">
        <f>(Input!BA116*0.1/0.2626*1000)</f>
        <v>1.6374714394516373E-2</v>
      </c>
      <c r="AZ40" s="75">
        <f>(Input!BB116*0.1/0.2626*1000)</f>
        <v>2.284843869002285E-3</v>
      </c>
      <c r="BA40" s="75">
        <f>(Input!BC116*0.1/0.2626*1000)</f>
        <v>1.3709063214013707E-2</v>
      </c>
      <c r="BB40" s="75">
        <f>(Input!BD116*0.1/0.2626*1000)</f>
        <v>1.9040365575019042E-3</v>
      </c>
      <c r="BC40" s="75">
        <f>(Input!BE116*0.1/0.2626*1000)</f>
        <v>7.6161462300076163E-4</v>
      </c>
      <c r="BD40" s="75">
        <f>(Input!BF116*0.1/0.2626*1000)</f>
        <v>3.1607006854531605E-2</v>
      </c>
      <c r="BE40" s="75">
        <f>(Input!BG116*0.1/0.2626*1000)</f>
        <v>0.11386138613861387</v>
      </c>
      <c r="BF40" s="75">
        <f>(Input!BH116*0.1/0.2626*1000)</f>
        <v>0.11538461538461539</v>
      </c>
      <c r="BG40" s="75">
        <f>(Input!BI116*0.1/0.2626*1000)</f>
        <v>0</v>
      </c>
      <c r="BH40" s="75">
        <f>(Input!BJ116*0.1/0.2626*1000)</f>
        <v>0</v>
      </c>
      <c r="BI40" s="75">
        <f>(Input!BK116*0.1/0.2626*1000)</f>
        <v>4.3792840822543797E-2</v>
      </c>
      <c r="BJ40" s="75">
        <f>(Input!BL116*0.1/0.2626*1000)</f>
        <v>4.1888804265041895E-3</v>
      </c>
      <c r="BK40" s="75">
        <f>(Input!BM116*0.1/0.2626*1000)</f>
        <v>0.94897182025894888</v>
      </c>
      <c r="BL40" s="75">
        <f>(Input!BN116*0.1/0.2626*1000)</f>
        <v>0.36984767707539984</v>
      </c>
      <c r="BM40" s="64">
        <v>0.97121999999999997</v>
      </c>
      <c r="BN40" s="64">
        <v>1.07575</v>
      </c>
      <c r="BO40" s="75">
        <f>(Input!BQ116*0.1/0.2626*1000)</f>
        <v>8.5681645087585689E-2</v>
      </c>
      <c r="BP40" s="75">
        <f>(Input!BR116*0.1/0.2626*1000)</f>
        <v>1.332825590251333E-2</v>
      </c>
    </row>
    <row r="41" spans="1:68" x14ac:dyDescent="0.3">
      <c r="A41" s="52" t="s">
        <v>81</v>
      </c>
      <c r="B41" s="75">
        <f>(Input!B117*0.1/0.2514*1000)</f>
        <v>106.32458233890216</v>
      </c>
      <c r="C41" s="75">
        <f>(Input!C117*0.1/0.2514*1000)</f>
        <v>1653.5401750198887</v>
      </c>
      <c r="D41" s="75">
        <f>(Input!D117*0.1/0.2514*1000)</f>
        <v>249.48289578361181</v>
      </c>
      <c r="E41" s="75">
        <f>(Input!E117*0.1/0.2514*1000)</f>
        <v>662.29116945107398</v>
      </c>
      <c r="F41" s="75">
        <f>(Input!F117*0.1/0.2514*1000)</f>
        <v>17494.033412887828</v>
      </c>
      <c r="G41" s="75">
        <f>(Input!G117*0.1/0.2514*1000)</f>
        <v>21591.08989657916</v>
      </c>
      <c r="H41" s="64">
        <v>1.20201</v>
      </c>
      <c r="I41" s="64">
        <v>1.1789099999999999</v>
      </c>
      <c r="J41" s="75">
        <f>(Input!J117*0.1/0.2514*1000)</f>
        <v>124.3436754176611</v>
      </c>
      <c r="K41" s="75">
        <f>(Input!L117*0.1/0.2514*1000)</f>
        <v>15.938743038981702</v>
      </c>
      <c r="L41" s="75">
        <f>(Input!M117*0.1/0.2514*1000)</f>
        <v>1.7171837708830553</v>
      </c>
      <c r="M41" s="75">
        <f>(Input!N117*0.1/0.2514*1000)</f>
        <v>38.858392999204455</v>
      </c>
      <c r="N41" s="75">
        <f>(Input!O117*0.1/0.2514*1000)</f>
        <v>382.10023866348445</v>
      </c>
      <c r="O41" s="75">
        <f>(Input!P117*0.1/0.2514*1000)</f>
        <v>0.18894192521877487</v>
      </c>
      <c r="P41" s="75">
        <f>(Input!Q117*0.1/0.2514*1000)</f>
        <v>1.0823389021479712</v>
      </c>
      <c r="Q41" s="75">
        <f>(Input!R117*0.1/0.2514*1000)</f>
        <v>10.334128878281623</v>
      </c>
      <c r="R41" s="75">
        <f>(Input!S117*0.1/0.2514*1000)</f>
        <v>13.257756563245822</v>
      </c>
      <c r="S41" s="75">
        <f>(Input!T117*0.1/0.2514*1000)</f>
        <v>0.40214797136038188</v>
      </c>
      <c r="T41" s="64">
        <v>1.0781799999999999</v>
      </c>
      <c r="U41" s="64">
        <v>1.0093000000000001</v>
      </c>
      <c r="V41" s="75">
        <f>(Input!W117*0.1/0.2514*1000)</f>
        <v>0.14319809069212408</v>
      </c>
      <c r="W41" s="75">
        <f>(Input!X117*0.1/0.2514*1000)</f>
        <v>3.0469371519490851</v>
      </c>
      <c r="X41" s="75">
        <f>(Input!Y117*0.1/0.2514*1000)</f>
        <v>12.03261734287987</v>
      </c>
      <c r="Y41" s="75">
        <f>(Input!Z117*0.1/0.2514*1000)</f>
        <v>70.684168655529035</v>
      </c>
      <c r="Z41" s="64">
        <v>1.1575</v>
      </c>
      <c r="AA41" s="64">
        <v>1.19312</v>
      </c>
      <c r="AB41" s="75">
        <f>(Input!AC117*0.1/0.2514*1000)</f>
        <v>3.2219570405727926E-2</v>
      </c>
      <c r="AC41" s="75">
        <f>(Input!AD117*0.1/0.2514*1000)</f>
        <v>0.2816229116945107</v>
      </c>
      <c r="AD41" s="75">
        <f>(Input!AE117*0.1/0.2514*1000)</f>
        <v>3.9777247414478914E-4</v>
      </c>
      <c r="AE41" s="75">
        <f>(Input!AF117*0.1/0.2514*1000)</f>
        <v>1.1933174224343676E-3</v>
      </c>
      <c r="AF41" s="75">
        <f>(Input!AG117*0.1/0.2514*1000)</f>
        <v>1.7104216388225933E-2</v>
      </c>
      <c r="AG41" s="75">
        <f>(Input!AH117*0.1/0.2514*1000)</f>
        <v>7.8361177406523472E-2</v>
      </c>
      <c r="AH41" s="75">
        <f>(Input!AI117*0.1/0.2514*1000)</f>
        <v>4.0572792362768492E-2</v>
      </c>
      <c r="AI41" s="64">
        <v>1.05681</v>
      </c>
      <c r="AJ41" s="64">
        <v>1.17303</v>
      </c>
      <c r="AK41" s="75">
        <f>(Input!AL117*0.1/0.2514*1000)</f>
        <v>6.6825775656324582E-2</v>
      </c>
      <c r="AL41" s="75">
        <f>(Input!AM117*0.1/0.2514*1000)</f>
        <v>1.1933174224343676E-3</v>
      </c>
      <c r="AM41" s="75">
        <f>(Input!AN117*0.1/0.2514*1000)</f>
        <v>0.11296738265712011</v>
      </c>
      <c r="AN41" s="75">
        <f>(Input!AO117*0.1/0.2514*1000)</f>
        <v>9.7255369928400945</v>
      </c>
      <c r="AO41" s="75">
        <f>(Input!AQ117*0.1/0.2514*1000)</f>
        <v>0.29037390612569608</v>
      </c>
      <c r="AP41" s="75">
        <f>(Input!AR117*0.1/0.2514*1000)</f>
        <v>0.55926809864757354</v>
      </c>
      <c r="AQ41" s="75">
        <f>(Input!AS117*0.1/0.2514*1000)</f>
        <v>6.841686555290373E-2</v>
      </c>
      <c r="AR41" s="75">
        <f>(Input!AT117*0.1/0.2514*1000)</f>
        <v>0.25178997613365156</v>
      </c>
      <c r="AS41" s="75">
        <f>(Input!AU117*0.1/0.2514*1000)</f>
        <v>4.733492442322991E-2</v>
      </c>
      <c r="AT41" s="75">
        <f>(Input!AV117*0.1/0.2514*1000)</f>
        <v>1.0739856801909307E-2</v>
      </c>
      <c r="AU41" s="75">
        <f>(Input!AW117*0.1/0.2514*1000)</f>
        <v>4.3357199681782019E-2</v>
      </c>
      <c r="AV41" s="75">
        <f>(Input!AX117*0.1/0.2514*1000)</f>
        <v>6.3643595863166263E-3</v>
      </c>
      <c r="AW41" s="75">
        <f>(Input!AY117*0.1/0.2514*1000)</f>
        <v>3.1424025457438345E-2</v>
      </c>
      <c r="AX41" s="75">
        <f>(Input!AZ117*0.1/0.2514*1000)</f>
        <v>5.5688146380270488E-3</v>
      </c>
      <c r="AY41" s="75">
        <f>(Input!BA117*0.1/0.2514*1000)</f>
        <v>1.5115354017501989E-2</v>
      </c>
      <c r="AZ41" s="75">
        <f>(Input!BB117*0.1/0.2514*1000)</f>
        <v>1.988862370723946E-3</v>
      </c>
      <c r="BA41" s="75">
        <f>(Input!BC117*0.1/0.2514*1000)</f>
        <v>1.3922036595067622E-2</v>
      </c>
      <c r="BB41" s="75">
        <f>(Input!BD117*0.1/0.2514*1000)</f>
        <v>1.988862370723946E-3</v>
      </c>
      <c r="BC41" s="75">
        <f>(Input!BE117*0.1/0.2514*1000)</f>
        <v>7.9554494828957829E-4</v>
      </c>
      <c r="BD41" s="75">
        <f>(Input!BF117*0.1/0.2514*1000)</f>
        <v>4.0175019888623716E-2</v>
      </c>
      <c r="BE41" s="75">
        <f>(Input!BG117*0.1/0.2514*1000)</f>
        <v>4.9721559268098653E-2</v>
      </c>
      <c r="BF41" s="75">
        <f>(Input!BH117*0.1/0.2514*1000)</f>
        <v>5.051710421638822E-2</v>
      </c>
      <c r="BG41" s="75">
        <f>(Input!BI117*0.1/0.2514*1000)</f>
        <v>0</v>
      </c>
      <c r="BH41" s="75">
        <f>(Input!BJ117*0.1/0.2514*1000)</f>
        <v>0</v>
      </c>
      <c r="BI41" s="75">
        <f>(Input!BK117*0.1/0.2514*1000)</f>
        <v>4.6539379474940336E-2</v>
      </c>
      <c r="BJ41" s="75">
        <f>(Input!BL117*0.1/0.2514*1000)</f>
        <v>5.1710421638822592E-3</v>
      </c>
      <c r="BK41" s="75">
        <f>(Input!BM117*0.1/0.2514*1000)</f>
        <v>0.59148766905330152</v>
      </c>
      <c r="BL41" s="75">
        <f>(Input!BN117*0.1/0.2514*1000)</f>
        <v>0.38784805091487667</v>
      </c>
      <c r="BM41" s="64">
        <v>0.97504999999999997</v>
      </c>
      <c r="BN41" s="64">
        <v>1.0992299999999999</v>
      </c>
      <c r="BO41" s="75">
        <f>(Input!BQ117*0.1/0.2514*1000)</f>
        <v>7.8361177406523472E-2</v>
      </c>
      <c r="BP41" s="75">
        <f>(Input!BR117*0.1/0.2514*1000)</f>
        <v>1.1933174224343675E-2</v>
      </c>
    </row>
    <row r="42" spans="1:68" x14ac:dyDescent="0.3">
      <c r="A42" s="52" t="s">
        <v>82</v>
      </c>
      <c r="B42" s="75">
        <f>(Input!B118*0.1/0.2542*1000)</f>
        <v>158.7726199842644</v>
      </c>
      <c r="C42" s="75">
        <f>(Input!C118*0.1/0.2542*1000)</f>
        <v>2388.2769472856016</v>
      </c>
      <c r="D42" s="75">
        <f>(Input!D118*0.1/0.2542*1000)</f>
        <v>159.99213217938635</v>
      </c>
      <c r="E42" s="75">
        <f>(Input!E118*0.1/0.2542*1000)</f>
        <v>1510.2281667977973</v>
      </c>
      <c r="F42" s="75">
        <f>(Input!F118*0.1/0.2542*1000)</f>
        <v>18363.493312352482</v>
      </c>
      <c r="G42" s="75">
        <f>(Input!G118*0.1/0.2542*1000)</f>
        <v>20389.457120377658</v>
      </c>
      <c r="H42" s="64">
        <v>1.1865000000000001</v>
      </c>
      <c r="I42" s="64">
        <v>1.16856</v>
      </c>
      <c r="J42" s="75">
        <f>(Input!J118*0.1/0.2542*1000)</f>
        <v>108.85129819040127</v>
      </c>
      <c r="K42" s="75">
        <f>(Input!L118*0.1/0.2542*1000)</f>
        <v>11.726986624704958</v>
      </c>
      <c r="L42" s="75">
        <f>(Input!M118*0.1/0.2542*1000)</f>
        <v>1.3808025177025962</v>
      </c>
      <c r="M42" s="75">
        <f>(Input!N118*0.1/0.2542*1000)</f>
        <v>43.627065302911106</v>
      </c>
      <c r="N42" s="75">
        <f>(Input!O118*0.1/0.2542*1000)</f>
        <v>202.51770259638079</v>
      </c>
      <c r="O42" s="75">
        <f>(Input!P118*0.1/0.2542*1000)</f>
        <v>0.10267505900865462</v>
      </c>
      <c r="P42" s="75">
        <f>(Input!Q118*0.1/0.2542*1000)</f>
        <v>1.0141620771046422</v>
      </c>
      <c r="Q42" s="75">
        <f>(Input!R118*0.1/0.2542*1000)</f>
        <v>6.782061369000786</v>
      </c>
      <c r="R42" s="75">
        <f>(Input!S118*0.1/0.2542*1000)</f>
        <v>6.404405979543669</v>
      </c>
      <c r="S42" s="75">
        <f>(Input!T118*0.1/0.2542*1000)</f>
        <v>0.72344610542879628</v>
      </c>
      <c r="T42" s="64">
        <v>1.0745400000000001</v>
      </c>
      <c r="U42" s="64">
        <v>1.0047600000000001</v>
      </c>
      <c r="V42" s="75">
        <f>(Input!W118*0.1/0.2542*1000)</f>
        <v>0.10228166797797013</v>
      </c>
      <c r="W42" s="75">
        <f>(Input!X118*0.1/0.2542*1000)</f>
        <v>4.3745082612116439</v>
      </c>
      <c r="X42" s="75">
        <f>(Input!Y118*0.1/0.2542*1000)</f>
        <v>4.1738788355625491</v>
      </c>
      <c r="Y42" s="75">
        <f>(Input!Z118*0.1/0.2542*1000)</f>
        <v>111.76239181746658</v>
      </c>
      <c r="Z42" s="64">
        <v>1.15595</v>
      </c>
      <c r="AA42" s="64">
        <v>1.18323</v>
      </c>
      <c r="AB42" s="75">
        <f>(Input!AC118*0.1/0.2542*1000)</f>
        <v>1.4948859166011019E-2</v>
      </c>
      <c r="AC42" s="75">
        <f>(Input!AD118*0.1/0.2542*1000)</f>
        <v>0.33516915814319442</v>
      </c>
      <c r="AD42" s="75">
        <f>(Input!AE118*0.1/0.2542*1000)</f>
        <v>3.9339103068450039E-4</v>
      </c>
      <c r="AE42" s="75">
        <f>(Input!AF118*0.1/0.2542*1000)</f>
        <v>1.5735641227380016E-3</v>
      </c>
      <c r="AF42" s="75">
        <f>(Input!AG118*0.1/0.2542*1000)</f>
        <v>2.8324154209284025E-2</v>
      </c>
      <c r="AG42" s="75">
        <f>(Input!AH118*0.1/0.2542*1000)</f>
        <v>4.4846577498033051E-2</v>
      </c>
      <c r="AH42" s="75">
        <f>(Input!AI118*0.1/0.2542*1000)</f>
        <v>1.8095987411487019E-2</v>
      </c>
      <c r="AI42" s="64">
        <v>1.0527899999999999</v>
      </c>
      <c r="AJ42" s="64">
        <v>1.1614100000000001</v>
      </c>
      <c r="AK42" s="75">
        <f>(Input!AL118*0.1/0.2542*1000)</f>
        <v>7.4744295830055096E-3</v>
      </c>
      <c r="AL42" s="75">
        <f>(Input!AM118*0.1/0.2542*1000)</f>
        <v>1.5735641227380016E-3</v>
      </c>
      <c r="AM42" s="75">
        <f>(Input!AN118*0.1/0.2542*1000)</f>
        <v>3.8552321007081045E-2</v>
      </c>
      <c r="AN42" s="75">
        <f>(Input!AO118*0.1/0.2542*1000)</f>
        <v>18.953579858379232</v>
      </c>
      <c r="AO42" s="75">
        <f>(Input!AQ118*0.1/0.2542*1000)</f>
        <v>0.13808025177025965</v>
      </c>
      <c r="AP42" s="75">
        <f>(Input!AR118*0.1/0.2542*1000)</f>
        <v>0.27065302911093625</v>
      </c>
      <c r="AQ42" s="75">
        <f>(Input!AS118*0.1/0.2542*1000)</f>
        <v>3.4618410700236038E-2</v>
      </c>
      <c r="AR42" s="75">
        <f>(Input!AT118*0.1/0.2542*1000)</f>
        <v>0.12667191188040916</v>
      </c>
      <c r="AS42" s="75">
        <f>(Input!AU118*0.1/0.2542*1000)</f>
        <v>2.4783634933123529E-2</v>
      </c>
      <c r="AT42" s="75">
        <f>(Input!AV118*0.1/0.2542*1000)</f>
        <v>7.0810385523210062E-3</v>
      </c>
      <c r="AU42" s="75">
        <f>(Input!AW118*0.1/0.2542*1000)</f>
        <v>2.1636506687647526E-2</v>
      </c>
      <c r="AV42" s="75">
        <f>(Input!AX118*0.1/0.2542*1000)</f>
        <v>2.7537372147915032E-3</v>
      </c>
      <c r="AW42" s="75">
        <f>(Input!AY118*0.1/0.2542*1000)</f>
        <v>1.4162077104642012E-2</v>
      </c>
      <c r="AX42" s="75">
        <f>(Input!AZ118*0.1/0.2542*1000)</f>
        <v>2.7537372147915032E-3</v>
      </c>
      <c r="AY42" s="75">
        <f>(Input!BA118*0.1/0.2542*1000)</f>
        <v>7.4744295830055096E-3</v>
      </c>
      <c r="AZ42" s="75">
        <f>(Input!BB118*0.1/0.2542*1000)</f>
        <v>7.8678206136900079E-4</v>
      </c>
      <c r="BA42" s="75">
        <f>(Input!BC118*0.1/0.2542*1000)</f>
        <v>6.2942564909520063E-3</v>
      </c>
      <c r="BB42" s="75">
        <f>(Input!BD118*0.1/0.2542*1000)</f>
        <v>7.8678206136900079E-4</v>
      </c>
      <c r="BC42" s="75">
        <f>(Input!BE118*0.1/0.2542*1000)</f>
        <v>3.9339103068450039E-4</v>
      </c>
      <c r="BD42" s="75">
        <f>(Input!BF118*0.1/0.2542*1000)</f>
        <v>2.5570416994492532E-2</v>
      </c>
      <c r="BE42" s="75">
        <f>(Input!BG118*0.1/0.2542*1000)</f>
        <v>8.7332808811959095E-2</v>
      </c>
      <c r="BF42" s="75">
        <f>(Input!BH118*0.1/0.2542*1000)</f>
        <v>9.0479937057435109E-2</v>
      </c>
      <c r="BG42" s="75">
        <f>(Input!BI118*0.1/0.2542*1000)</f>
        <v>0</v>
      </c>
      <c r="BH42" s="75">
        <f>(Input!BJ118*0.1/0.2542*1000)</f>
        <v>0</v>
      </c>
      <c r="BI42" s="75">
        <f>(Input!BK118*0.1/0.2542*1000)</f>
        <v>4.4453186467348554E-2</v>
      </c>
      <c r="BJ42" s="75">
        <f>(Input!BL118*0.1/0.2542*1000)</f>
        <v>3.9339103068450048E-3</v>
      </c>
      <c r="BK42" s="75">
        <f>(Input!BM118*0.1/0.2542*1000)</f>
        <v>0.16089693154996068</v>
      </c>
      <c r="BL42" s="75">
        <f>(Input!BN118*0.1/0.2542*1000)</f>
        <v>0.38316679779701029</v>
      </c>
      <c r="BM42" s="64">
        <v>0.97401000000000004</v>
      </c>
      <c r="BN42" s="64">
        <v>1.0908</v>
      </c>
      <c r="BO42" s="75">
        <f>(Input!BQ118*0.1/0.2542*1000)</f>
        <v>5.035405192761605E-2</v>
      </c>
      <c r="BP42" s="75">
        <f>(Input!BR118*0.1/0.2542*1000)</f>
        <v>5.5074744295830064E-3</v>
      </c>
    </row>
    <row r="43" spans="1:68" x14ac:dyDescent="0.3">
      <c r="A43" s="52" t="s">
        <v>83</v>
      </c>
      <c r="B43" s="75">
        <f>(Input!B119*0.1/0.2595*1000)</f>
        <v>168.28516377649325</v>
      </c>
      <c r="C43" s="75">
        <f>(Input!C119*0.1/0.2595*1000)</f>
        <v>2137.1868978805401</v>
      </c>
      <c r="D43" s="75">
        <f>(Input!D119*0.1/0.2595*1000)</f>
        <v>195.41425818882468</v>
      </c>
      <c r="E43" s="75">
        <f>(Input!E119*0.1/0.2595*1000)</f>
        <v>1275.9152215799613</v>
      </c>
      <c r="F43" s="75">
        <f>(Input!F119*0.1/0.2595*1000)</f>
        <v>19479.768786127166</v>
      </c>
      <c r="G43" s="75">
        <f>(Input!G119*0.1/0.2595*1000)</f>
        <v>14913.294797687862</v>
      </c>
      <c r="H43" s="64">
        <v>1.18824</v>
      </c>
      <c r="I43" s="64">
        <v>1.1652499999999999</v>
      </c>
      <c r="J43" s="75">
        <f>(Input!J119*0.1/0.2595*1000)</f>
        <v>87.129094412331412</v>
      </c>
      <c r="K43" s="75">
        <f>(Input!L119*0.1/0.2595*1000)</f>
        <v>13.233140655105974</v>
      </c>
      <c r="L43" s="75">
        <f>(Input!M119*0.1/0.2595*1000)</f>
        <v>1.4593448940269751</v>
      </c>
      <c r="M43" s="75">
        <f>(Input!N119*0.1/0.2595*1000)</f>
        <v>45.51059730250482</v>
      </c>
      <c r="N43" s="75">
        <f>(Input!O119*0.1/0.2595*1000)</f>
        <v>256.49325626204234</v>
      </c>
      <c r="O43" s="75">
        <f>(Input!P119*0.1/0.2595*1000)</f>
        <v>0.15722543352601157</v>
      </c>
      <c r="P43" s="75">
        <f>(Input!Q119*0.1/0.2595*1000)</f>
        <v>1.4011560693641618</v>
      </c>
      <c r="Q43" s="75">
        <f>(Input!R119*0.1/0.2595*1000)</f>
        <v>12.289017341040465</v>
      </c>
      <c r="R43" s="75">
        <f>(Input!S119*0.1/0.2595*1000)</f>
        <v>7.2215799614643537</v>
      </c>
      <c r="S43" s="75">
        <f>(Input!T119*0.1/0.2595*1000)</f>
        <v>0.46936416184971091</v>
      </c>
      <c r="T43" s="64">
        <v>1.06412</v>
      </c>
      <c r="U43" s="64">
        <v>1.0007200000000001</v>
      </c>
      <c r="V43" s="75">
        <f>(Input!W119*0.1/0.2595*1000)</f>
        <v>5.5491329479768772E-2</v>
      </c>
      <c r="W43" s="75">
        <f>(Input!X119*0.1/0.2595*1000)</f>
        <v>2.4462427745664739</v>
      </c>
      <c r="X43" s="75">
        <f>(Input!Y119*0.1/0.2595*1000)</f>
        <v>5.2716763005780347</v>
      </c>
      <c r="Y43" s="75">
        <f>(Input!Z119*0.1/0.2595*1000)</f>
        <v>98.843930635838163</v>
      </c>
      <c r="Z43" s="64">
        <v>1.13113</v>
      </c>
      <c r="AA43" s="64">
        <v>1.1833499999999999</v>
      </c>
      <c r="AB43" s="75">
        <f>(Input!AC119*0.1/0.2595*1000)</f>
        <v>1.9653179190751446E-2</v>
      </c>
      <c r="AC43" s="75">
        <f>(Input!AD119*0.1/0.2595*1000)</f>
        <v>0.46358381502890172</v>
      </c>
      <c r="AD43" s="75">
        <f>(Input!AE119*0.1/0.2595*1000)</f>
        <v>3.8535645472061652E-4</v>
      </c>
      <c r="AE43" s="75">
        <f>(Input!AF119*0.1/0.2595*1000)</f>
        <v>1.926782273603083E-3</v>
      </c>
      <c r="AF43" s="75">
        <f>(Input!AG119*0.1/0.2595*1000)</f>
        <v>2.6589595375722547E-2</v>
      </c>
      <c r="AG43" s="75">
        <f>(Input!AH119*0.1/0.2595*1000)</f>
        <v>5.0096339113680152E-3</v>
      </c>
      <c r="AH43" s="75">
        <f>(Input!AI119*0.1/0.2595*1000)</f>
        <v>3.892100192678228E-2</v>
      </c>
      <c r="AI43" s="64">
        <v>1.0341800000000001</v>
      </c>
      <c r="AJ43" s="64">
        <v>1.15943</v>
      </c>
      <c r="AK43" s="75">
        <f>(Input!AL119*0.1/0.2595*1000)</f>
        <v>8.4778420038535644E-3</v>
      </c>
      <c r="AL43" s="75">
        <f>(Input!AM119*0.1/0.2595*1000)</f>
        <v>-3.8535645472061652E-4</v>
      </c>
      <c r="AM43" s="75">
        <f>(Input!AN119*0.1/0.2595*1000)</f>
        <v>6.2427745664739895E-2</v>
      </c>
      <c r="AN43" s="75">
        <f>(Input!AO119*0.1/0.2595*1000)</f>
        <v>11.946050096339116</v>
      </c>
      <c r="AO43" s="75">
        <f>(Input!AQ119*0.1/0.2595*1000)</f>
        <v>0.20423892100192678</v>
      </c>
      <c r="AP43" s="75">
        <f>(Input!AR119*0.1/0.2595*1000)</f>
        <v>0.39653179190751447</v>
      </c>
      <c r="AQ43" s="75">
        <f>(Input!AS119*0.1/0.2595*1000)</f>
        <v>5.0096339113680159E-2</v>
      </c>
      <c r="AR43" s="75">
        <f>(Input!AT119*0.1/0.2595*1000)</f>
        <v>0.18728323699421967</v>
      </c>
      <c r="AS43" s="75">
        <f>(Input!AU119*0.1/0.2595*1000)</f>
        <v>3.5452793834296725E-2</v>
      </c>
      <c r="AT43" s="75">
        <f>(Input!AV119*0.1/0.2595*1000)</f>
        <v>7.3217726396917152E-3</v>
      </c>
      <c r="AU43" s="75">
        <f>(Input!AW119*0.1/0.2595*1000)</f>
        <v>3.2369942196531797E-2</v>
      </c>
      <c r="AV43" s="75">
        <f>(Input!AX119*0.1/0.2595*1000)</f>
        <v>4.2389210019267822E-3</v>
      </c>
      <c r="AW43" s="75">
        <f>(Input!AY119*0.1/0.2595*1000)</f>
        <v>2.1194605009633914E-2</v>
      </c>
      <c r="AX43" s="75">
        <f>(Input!AZ119*0.1/0.2595*1000)</f>
        <v>3.8535645472061661E-3</v>
      </c>
      <c r="AY43" s="75">
        <f>(Input!BA119*0.1/0.2595*1000)</f>
        <v>1.0404624277456647E-2</v>
      </c>
      <c r="AZ43" s="75">
        <f>(Input!BB119*0.1/0.2595*1000)</f>
        <v>1.5414258188824661E-3</v>
      </c>
      <c r="BA43" s="75">
        <f>(Input!BC119*0.1/0.2595*1000)</f>
        <v>8.4778420038535644E-3</v>
      </c>
      <c r="BB43" s="75">
        <f>(Input!BD119*0.1/0.2595*1000)</f>
        <v>1.1560693641618498E-3</v>
      </c>
      <c r="BC43" s="75">
        <f>(Input!BE119*0.1/0.2595*1000)</f>
        <v>3.8535645472061652E-4</v>
      </c>
      <c r="BD43" s="75">
        <f>(Input!BF119*0.1/0.2595*1000)</f>
        <v>4.1233140655105971E-2</v>
      </c>
      <c r="BE43" s="75">
        <f>(Input!BG119*0.1/0.2595*1000)</f>
        <v>0.10520231213872833</v>
      </c>
      <c r="BF43" s="75">
        <f>(Input!BH119*0.1/0.2595*1000)</f>
        <v>0.10867052023121386</v>
      </c>
      <c r="BG43" s="75">
        <f>(Input!BI119*0.1/0.2595*1000)</f>
        <v>0</v>
      </c>
      <c r="BH43" s="75">
        <f>(Input!BJ119*0.1/0.2595*1000)</f>
        <v>0</v>
      </c>
      <c r="BI43" s="75">
        <f>(Input!BK119*0.1/0.2595*1000)</f>
        <v>3.6994219653179193E-2</v>
      </c>
      <c r="BJ43" s="75">
        <f>(Input!BL119*0.1/0.2595*1000)</f>
        <v>5.394990366088633E-3</v>
      </c>
      <c r="BK43" s="75">
        <f>(Input!BM119*0.1/0.2595*1000)</f>
        <v>0.18689788053949905</v>
      </c>
      <c r="BL43" s="75">
        <f>(Input!BN119*0.1/0.2595*1000)</f>
        <v>0.37113680154142581</v>
      </c>
      <c r="BM43" s="64">
        <v>0.96309999999999996</v>
      </c>
      <c r="BN43" s="64">
        <v>1.0970299999999999</v>
      </c>
      <c r="BO43" s="75">
        <f>(Input!BQ119*0.1/0.2595*1000)</f>
        <v>7.475915221579961E-2</v>
      </c>
      <c r="BP43" s="75">
        <f>(Input!BR119*0.1/0.2595*1000)</f>
        <v>9.2485549132947983E-3</v>
      </c>
    </row>
    <row r="44" spans="1:68" x14ac:dyDescent="0.3">
      <c r="A44" s="52" t="s">
        <v>84</v>
      </c>
      <c r="B44" s="75">
        <f>(Input!B120*0.1/0.2581*1000)</f>
        <v>140.9918636187524</v>
      </c>
      <c r="C44" s="75">
        <f>(Input!C120*0.1/0.2581*1000)</f>
        <v>1960.4804339403331</v>
      </c>
      <c r="D44" s="75">
        <f>(Input!D120*0.1/0.2581*1000)</f>
        <v>183.45602479659047</v>
      </c>
      <c r="E44" s="75">
        <f>(Input!E120*0.1/0.2581*1000)</f>
        <v>2085.2382797365362</v>
      </c>
      <c r="F44" s="75">
        <f>(Input!F120*0.1/0.2581*1000)</f>
        <v>19736.53622626889</v>
      </c>
      <c r="G44" s="75">
        <f>(Input!G120*0.1/0.2581*1000)</f>
        <v>16946.919798527706</v>
      </c>
      <c r="H44" s="64">
        <v>1.17622</v>
      </c>
      <c r="I44" s="64">
        <v>1.1636</v>
      </c>
      <c r="J44" s="75">
        <f>(Input!J120*0.1/0.2581*1000)</f>
        <v>94.227043781480063</v>
      </c>
      <c r="K44" s="75">
        <f>(Input!L120*0.1/0.2581*1000)</f>
        <v>12.123208058891901</v>
      </c>
      <c r="L44" s="75">
        <f>(Input!M120*0.1/0.2581*1000)</f>
        <v>1.4149554436265015</v>
      </c>
      <c r="M44" s="75">
        <f>(Input!N120*0.1/0.2581*1000)</f>
        <v>39.015885315769083</v>
      </c>
      <c r="N44" s="75">
        <f>(Input!O120*0.1/0.2581*1000)</f>
        <v>228.6323130569547</v>
      </c>
      <c r="O44" s="75">
        <f>(Input!P120*0.1/0.2581*1000)</f>
        <v>0.17280123982952345</v>
      </c>
      <c r="P44" s="75">
        <f>(Input!Q120*0.1/0.2581*1000)</f>
        <v>2.0228593568384348</v>
      </c>
      <c r="Q44" s="75">
        <f>(Input!R120*0.1/0.2581*1000)</f>
        <v>8.8996512979465319</v>
      </c>
      <c r="R44" s="75">
        <f>(Input!S120*0.1/0.2581*1000)</f>
        <v>3.7051530414568004</v>
      </c>
      <c r="S44" s="75">
        <f>(Input!T120*0.1/0.2581*1000)</f>
        <v>0.75242154203796985</v>
      </c>
      <c r="T44" s="64">
        <v>1.0589299999999999</v>
      </c>
      <c r="U44" s="64">
        <v>0.99768000000000001</v>
      </c>
      <c r="V44" s="75">
        <f>(Input!W120*0.1/0.2581*1000)</f>
        <v>7.0127857419604797E-2</v>
      </c>
      <c r="W44" s="75">
        <f>(Input!X120*0.1/0.2581*1000)</f>
        <v>6.4083688492832236</v>
      </c>
      <c r="X44" s="75">
        <f>(Input!Y120*0.1/0.2581*1000)</f>
        <v>6.811313444401395</v>
      </c>
      <c r="Y44" s="75">
        <f>(Input!Z120*0.1/0.2581*1000)</f>
        <v>131.61565284773343</v>
      </c>
      <c r="Z44" s="64">
        <v>1.13008</v>
      </c>
      <c r="AA44" s="64">
        <v>1.1795</v>
      </c>
      <c r="AB44" s="75">
        <f>(Input!AC120*0.1/0.2581*1000)</f>
        <v>1.5110422316931422E-2</v>
      </c>
      <c r="AC44" s="75">
        <f>(Input!AD120*0.1/0.2581*1000)</f>
        <v>0.25455249903138322</v>
      </c>
      <c r="AD44" s="75">
        <f>(Input!AE120*0.1/0.2581*1000)</f>
        <v>3.8744672607516468E-4</v>
      </c>
      <c r="AE44" s="75">
        <f>(Input!AF120*0.1/0.2581*1000)</f>
        <v>1.9372336303758236E-3</v>
      </c>
      <c r="AF44" s="75">
        <f>(Input!AG120*0.1/0.2581*1000)</f>
        <v>3.3707865168539325E-2</v>
      </c>
      <c r="AG44" s="75">
        <f>(Input!AH120*0.1/0.2581*1000)</f>
        <v>9.6861681518791168E-2</v>
      </c>
      <c r="AH44" s="75">
        <f>(Input!AI120*0.1/0.2581*1000)</f>
        <v>6.2766369624176685E-2</v>
      </c>
      <c r="AI44" s="64">
        <v>1.0310699999999999</v>
      </c>
      <c r="AJ44" s="64">
        <v>1.1631899999999999</v>
      </c>
      <c r="AK44" s="75">
        <f>(Input!AL120*0.1/0.2581*1000)</f>
        <v>9.2987214258039522E-3</v>
      </c>
      <c r="AL44" s="75">
        <f>(Input!AM120*0.1/0.2581*1000)</f>
        <v>1.162340178225494E-3</v>
      </c>
      <c r="AM44" s="75">
        <f>(Input!AN120*0.1/0.2581*1000)</f>
        <v>5.230530802014724E-2</v>
      </c>
      <c r="AN44" s="75">
        <f>(Input!AO120*0.1/0.2581*1000)</f>
        <v>19.542812863231305</v>
      </c>
      <c r="AO44" s="75">
        <f>(Input!AQ120*0.1/0.2581*1000)</f>
        <v>0.13056954668733051</v>
      </c>
      <c r="AP44" s="75">
        <f>(Input!AR120*0.1/0.2581*1000)</f>
        <v>0.2460286710577296</v>
      </c>
      <c r="AQ44" s="75">
        <f>(Input!AS120*0.1/0.2581*1000)</f>
        <v>3.2545524990313837E-2</v>
      </c>
      <c r="AR44" s="75">
        <f>(Input!AT120*0.1/0.2581*1000)</f>
        <v>0.12359550561797755</v>
      </c>
      <c r="AS44" s="75">
        <f>(Input!AU120*0.1/0.2581*1000)</f>
        <v>2.4796590468810539E-2</v>
      </c>
      <c r="AT44" s="75">
        <f>(Input!AV120*0.1/0.2581*1000)</f>
        <v>7.7489345215032944E-3</v>
      </c>
      <c r="AU44" s="75">
        <f>(Input!AW120*0.1/0.2581*1000)</f>
        <v>2.2084463386284389E-2</v>
      </c>
      <c r="AV44" s="75">
        <f>(Input!AX120*0.1/0.2581*1000)</f>
        <v>3.0995738086013174E-3</v>
      </c>
      <c r="AW44" s="75">
        <f>(Input!AY120*0.1/0.2581*1000)</f>
        <v>1.5885315769081754E-2</v>
      </c>
      <c r="AX44" s="75">
        <f>(Input!AZ120*0.1/0.2581*1000)</f>
        <v>3.0995738086013174E-3</v>
      </c>
      <c r="AY44" s="75">
        <f>(Input!BA120*0.1/0.2581*1000)</f>
        <v>8.1363812475784593E-3</v>
      </c>
      <c r="AZ44" s="75">
        <f>(Input!BB120*0.1/0.2581*1000)</f>
        <v>1.162340178225494E-3</v>
      </c>
      <c r="BA44" s="75">
        <f>(Input!BC120*0.1/0.2581*1000)</f>
        <v>6.5865943432777997E-3</v>
      </c>
      <c r="BB44" s="75">
        <f>(Input!BD120*0.1/0.2581*1000)</f>
        <v>1.162340178225494E-3</v>
      </c>
      <c r="BC44" s="75">
        <f>(Input!BE120*0.1/0.2581*1000)</f>
        <v>3.8744672607516468E-4</v>
      </c>
      <c r="BD44" s="75">
        <f>(Input!BF120*0.1/0.2581*1000)</f>
        <v>4.4943820224719107E-2</v>
      </c>
      <c r="BE44" s="75">
        <f>(Input!BG120*0.1/0.2581*1000)</f>
        <v>0.1088725300271213</v>
      </c>
      <c r="BF44" s="75">
        <f>(Input!BH120*0.1/0.2581*1000)</f>
        <v>0.11080976365749709</v>
      </c>
      <c r="BG44" s="75">
        <f>(Input!BI120*0.1/0.2581*1000)</f>
        <v>0</v>
      </c>
      <c r="BH44" s="75">
        <f>(Input!BJ120*0.1/0.2581*1000)</f>
        <v>3.8744672607516468E-4</v>
      </c>
      <c r="BI44" s="75">
        <f>(Input!BK120*0.1/0.2581*1000)</f>
        <v>7.6327005036807449E-2</v>
      </c>
      <c r="BJ44" s="75">
        <f>(Input!BL120*0.1/0.2581*1000)</f>
        <v>3.4870205346764814E-3</v>
      </c>
      <c r="BK44" s="75">
        <f>(Input!BM120*0.1/0.2581*1000)</f>
        <v>0.17163889965129794</v>
      </c>
      <c r="BL44" s="75">
        <f>(Input!BN120*0.1/0.2581*1000)</f>
        <v>0.37247965904688102</v>
      </c>
      <c r="BM44" s="64">
        <v>0.96136999999999995</v>
      </c>
      <c r="BN44" s="64">
        <v>1.0960300000000001</v>
      </c>
      <c r="BO44" s="75">
        <f>(Input!BQ120*0.1/0.2581*1000)</f>
        <v>3.5645098798915149E-2</v>
      </c>
      <c r="BP44" s="75">
        <f>(Input!BR120*0.1/0.2581*1000)</f>
        <v>5.4242541650523068E-3</v>
      </c>
    </row>
    <row r="45" spans="1:68" x14ac:dyDescent="0.3">
      <c r="A45" s="52" t="s">
        <v>85</v>
      </c>
      <c r="B45" s="75">
        <f>(Input!B121*0.1/0.2526*1000)</f>
        <v>230.79968329374506</v>
      </c>
      <c r="C45" s="75">
        <f>(Input!C121*0.1/0.2526*1000)</f>
        <v>1383.6104513064136</v>
      </c>
      <c r="D45" s="75">
        <f>(Input!D121*0.1/0.2526*1000)</f>
        <v>227.6326207442597</v>
      </c>
      <c r="E45" s="75">
        <f>(Input!E121*0.1/0.2526*1000)</f>
        <v>1061.7577197149644</v>
      </c>
      <c r="F45" s="75">
        <f>(Input!F121*0.1/0.2526*1000)</f>
        <v>17268.408551068886</v>
      </c>
      <c r="G45" s="75">
        <f>(Input!G121*0.1/0.2526*1000)</f>
        <v>17652.414885193983</v>
      </c>
      <c r="H45" s="64">
        <v>1.15794</v>
      </c>
      <c r="I45" s="64">
        <v>1.14178</v>
      </c>
      <c r="J45" s="75">
        <f>(Input!J121*0.1/0.2526*1000)</f>
        <v>102.0585906571655</v>
      </c>
      <c r="K45" s="75">
        <f>(Input!L121*0.1/0.2526*1000)</f>
        <v>14.972288202692004</v>
      </c>
      <c r="L45" s="75">
        <f>(Input!M121*0.1/0.2526*1000)</f>
        <v>1.6836896278701503</v>
      </c>
      <c r="M45" s="75">
        <f>(Input!N121*0.1/0.2526*1000)</f>
        <v>45.328582739509116</v>
      </c>
      <c r="N45" s="75">
        <f>(Input!O121*0.1/0.2526*1000)</f>
        <v>280.64133016627079</v>
      </c>
      <c r="O45" s="75">
        <f>(Input!P121*0.1/0.2526*1000)</f>
        <v>0.25534441805225655</v>
      </c>
      <c r="P45" s="75">
        <f>(Input!Q121*0.1/0.2526*1000)</f>
        <v>2.0665083135391922</v>
      </c>
      <c r="Q45" s="75">
        <f>(Input!R121*0.1/0.2526*1000)</f>
        <v>9.1923990498812351</v>
      </c>
      <c r="R45" s="75">
        <f>(Input!S121*0.1/0.2526*1000)</f>
        <v>3.9390340459224076</v>
      </c>
      <c r="S45" s="75">
        <f>(Input!T121*0.1/0.2526*1000)</f>
        <v>0.60728424386381641</v>
      </c>
      <c r="T45" s="64">
        <v>1.0320400000000001</v>
      </c>
      <c r="U45" s="64">
        <v>0.97767000000000004</v>
      </c>
      <c r="V45" s="75">
        <f>(Input!W121*0.1/0.2526*1000)</f>
        <v>9.8178939034045939E-2</v>
      </c>
      <c r="W45" s="75">
        <f>(Input!X121*0.1/0.2526*1000)</f>
        <v>8.800475059382423</v>
      </c>
      <c r="X45" s="75">
        <f>(Input!Y121*0.1/0.2526*1000)</f>
        <v>6.5874901029295341</v>
      </c>
      <c r="Y45" s="75">
        <f>(Input!Z121*0.1/0.2526*1000)</f>
        <v>80.60174188440223</v>
      </c>
      <c r="Z45" s="64">
        <v>1.1072900000000001</v>
      </c>
      <c r="AA45" s="64">
        <v>1.1660200000000001</v>
      </c>
      <c r="AB45" s="75">
        <f>(Input!AC121*0.1/0.2526*1000)</f>
        <v>2.5336500395882817E-2</v>
      </c>
      <c r="AC45" s="75">
        <f>(Input!AD121*0.1/0.2526*1000)</f>
        <v>0.19081551860649251</v>
      </c>
      <c r="AD45" s="75">
        <f>(Input!AE121*0.1/0.2526*1000)</f>
        <v>3.9588281868566902E-4</v>
      </c>
      <c r="AE45" s="75">
        <f>(Input!AF121*0.1/0.2526*1000)</f>
        <v>1.1876484560570074E-3</v>
      </c>
      <c r="AF45" s="75">
        <f>(Input!AG121*0.1/0.2526*1000)</f>
        <v>1.9794140934283454E-2</v>
      </c>
      <c r="AG45" s="75">
        <f>(Input!AH121*0.1/0.2526*1000)</f>
        <v>8.6302454473475856E-2</v>
      </c>
      <c r="AH45" s="75">
        <f>(Input!AI121*0.1/0.2526*1000)</f>
        <v>3.8004750593824237E-2</v>
      </c>
      <c r="AI45" s="64">
        <v>1.01271</v>
      </c>
      <c r="AJ45" s="64">
        <v>1.1507400000000001</v>
      </c>
      <c r="AK45" s="75">
        <f>(Input!AL121*0.1/0.2526*1000)</f>
        <v>2.2565320665083138E-2</v>
      </c>
      <c r="AL45" s="75">
        <f>(Input!AM121*0.1/0.2526*1000)</f>
        <v>7.9176563737133805E-4</v>
      </c>
      <c r="AM45" s="75">
        <f>(Input!AN121*0.1/0.2526*1000)</f>
        <v>6.2549485352335718E-2</v>
      </c>
      <c r="AN45" s="75">
        <f>(Input!AO121*0.1/0.2526*1000)</f>
        <v>15.542359461599366</v>
      </c>
      <c r="AO45" s="75">
        <f>(Input!AQ121*0.1/0.2526*1000)</f>
        <v>0.21536025336500397</v>
      </c>
      <c r="AP45" s="75">
        <f>(Input!AR121*0.1/0.2526*1000)</f>
        <v>0.43309580364212202</v>
      </c>
      <c r="AQ45" s="75">
        <f>(Input!AS121*0.1/0.2526*1000)</f>
        <v>5.3840063341250993E-2</v>
      </c>
      <c r="AR45" s="75">
        <f>(Input!AT121*0.1/0.2526*1000)</f>
        <v>0.20269200316706254</v>
      </c>
      <c r="AS45" s="75">
        <f>(Input!AU121*0.1/0.2526*1000)</f>
        <v>4.1567695961995242E-2</v>
      </c>
      <c r="AT45" s="75">
        <f>(Input!AV121*0.1/0.2526*1000)</f>
        <v>1.0292953285827397E-2</v>
      </c>
      <c r="AU45" s="75">
        <f>(Input!AW121*0.1/0.2526*1000)</f>
        <v>3.7212984956452887E-2</v>
      </c>
      <c r="AV45" s="75">
        <f>(Input!AX121*0.1/0.2526*1000)</f>
        <v>5.1464766429136985E-3</v>
      </c>
      <c r="AW45" s="75">
        <f>(Input!AY121*0.1/0.2526*1000)</f>
        <v>2.6920031670625497E-2</v>
      </c>
      <c r="AX45" s="75">
        <f>(Input!AZ121*0.1/0.2526*1000)</f>
        <v>5.1464766429136985E-3</v>
      </c>
      <c r="AY45" s="75">
        <f>(Input!BA121*0.1/0.2526*1000)</f>
        <v>1.3855898653998418E-2</v>
      </c>
      <c r="AZ45" s="75">
        <f>(Input!BB121*0.1/0.2526*1000)</f>
        <v>1.9794140934283454E-3</v>
      </c>
      <c r="BA45" s="75">
        <f>(Input!BC121*0.1/0.2526*1000)</f>
        <v>1.1876484560570073E-2</v>
      </c>
      <c r="BB45" s="75">
        <f>(Input!BD121*0.1/0.2526*1000)</f>
        <v>1.5835312747426761E-3</v>
      </c>
      <c r="BC45" s="75">
        <f>(Input!BE121*0.1/0.2526*1000)</f>
        <v>3.9588281868566902E-4</v>
      </c>
      <c r="BD45" s="75">
        <f>(Input!BF121*0.1/0.2526*1000)</f>
        <v>2.889944576405384E-2</v>
      </c>
      <c r="BE45" s="75">
        <f>(Input!BG121*0.1/0.2526*1000)</f>
        <v>8.907363420427554E-2</v>
      </c>
      <c r="BF45" s="75">
        <f>(Input!BH121*0.1/0.2526*1000)</f>
        <v>9.1053048297703901E-2</v>
      </c>
      <c r="BG45" s="75">
        <f>(Input!BI121*0.1/0.2526*1000)</f>
        <v>0</v>
      </c>
      <c r="BH45" s="75">
        <f>(Input!BJ121*0.1/0.2526*1000)</f>
        <v>0</v>
      </c>
      <c r="BI45" s="75">
        <f>(Input!BK121*0.1/0.2526*1000)</f>
        <v>3.4837688044338878E-2</v>
      </c>
      <c r="BJ45" s="75">
        <f>(Input!BL121*0.1/0.2526*1000)</f>
        <v>4.7505938242280296E-3</v>
      </c>
      <c r="BK45" s="75">
        <f>(Input!BM121*0.1/0.2526*1000)</f>
        <v>0.33808392715756136</v>
      </c>
      <c r="BL45" s="75">
        <f>(Input!BN121*0.1/0.2526*1000)</f>
        <v>0.37779889152810775</v>
      </c>
      <c r="BM45" s="64">
        <v>0.95431999999999995</v>
      </c>
      <c r="BN45" s="64">
        <v>1.0924700000000001</v>
      </c>
      <c r="BO45" s="75">
        <f>(Input!BQ121*0.1/0.2526*1000)</f>
        <v>6.6508313539192412E-2</v>
      </c>
      <c r="BP45" s="75">
        <f>(Input!BR121*0.1/0.2526*1000)</f>
        <v>1.0688836104513065E-2</v>
      </c>
    </row>
    <row r="46" spans="1:68" x14ac:dyDescent="0.3">
      <c r="A46" s="52" t="s">
        <v>86</v>
      </c>
      <c r="B46" s="75">
        <f>(Input!B122*0.1/0.2566*1000)</f>
        <v>164.80904130943102</v>
      </c>
      <c r="C46" s="75">
        <f>(Input!C122*0.1/0.2566*1000)</f>
        <v>1501.1691348402182</v>
      </c>
      <c r="D46" s="75">
        <f>(Input!D122*0.1/0.2566*1000)</f>
        <v>285.81449727201874</v>
      </c>
      <c r="E46" s="75">
        <f>(Input!E122*0.1/0.2566*1000)</f>
        <v>1258.7685113016369</v>
      </c>
      <c r="F46" s="75">
        <f>(Input!F122*0.1/0.2566*1000)</f>
        <v>18028.059236165242</v>
      </c>
      <c r="G46" s="75">
        <f>(Input!G122*0.1/0.2566*1000)</f>
        <v>17396.726422447391</v>
      </c>
      <c r="H46" s="64">
        <v>1.11852</v>
      </c>
      <c r="I46" s="64">
        <v>1.1359300000000001</v>
      </c>
      <c r="J46" s="75">
        <f>(Input!J122*0.1/0.2566*1000)</f>
        <v>103.3125487139517</v>
      </c>
      <c r="K46" s="75">
        <f>(Input!L122*0.1/0.2566*1000)</f>
        <v>13.219017926734217</v>
      </c>
      <c r="L46" s="75">
        <f>(Input!M122*0.1/0.2566*1000)</f>
        <v>1.2275915822291503</v>
      </c>
      <c r="M46" s="75">
        <f>(Input!N122*0.1/0.2566*1000)</f>
        <v>49.883086515978178</v>
      </c>
      <c r="N46" s="75">
        <f>(Input!O122*0.1/0.2566*1000)</f>
        <v>427.51363990646922</v>
      </c>
      <c r="O46" s="75">
        <f>(Input!P122*0.1/0.2566*1000)</f>
        <v>0.15705378020265007</v>
      </c>
      <c r="P46" s="75">
        <f>(Input!Q122*0.1/0.2566*1000)</f>
        <v>1.3168355416991426</v>
      </c>
      <c r="Q46" s="75">
        <f>(Input!R122*0.1/0.2566*1000)</f>
        <v>10.697583787996884</v>
      </c>
      <c r="R46" s="75">
        <f>(Input!S122*0.1/0.2566*1000)</f>
        <v>7.1862821512081068</v>
      </c>
      <c r="S46" s="75">
        <f>(Input!T122*0.1/0.2566*1000)</f>
        <v>0.61964146531566655</v>
      </c>
      <c r="T46" s="64">
        <v>1.00671</v>
      </c>
      <c r="U46" s="64">
        <v>0.97167000000000003</v>
      </c>
      <c r="V46" s="75">
        <f>(Input!W122*0.1/0.2566*1000)</f>
        <v>0.11067809820732658</v>
      </c>
      <c r="W46" s="75">
        <f>(Input!X122*0.1/0.2566*1000)</f>
        <v>1.982852689010133</v>
      </c>
      <c r="X46" s="75">
        <f>(Input!Y122*0.1/0.2566*1000)</f>
        <v>4.9064692127825413</v>
      </c>
      <c r="Y46" s="75">
        <f>(Input!Z122*0.1/0.2566*1000)</f>
        <v>77.279812938425565</v>
      </c>
      <c r="Z46" s="64">
        <v>1.08941</v>
      </c>
      <c r="AA46" s="64">
        <v>1.1597200000000001</v>
      </c>
      <c r="AB46" s="75">
        <f>(Input!AC122*0.1/0.2566*1000)</f>
        <v>2.8448947778643804E-2</v>
      </c>
      <c r="AC46" s="75">
        <f>(Input!AD122*0.1/0.2566*1000)</f>
        <v>0.15510522213561967</v>
      </c>
      <c r="AD46" s="75">
        <f>(Input!AE122*0.1/0.2566*1000)</f>
        <v>3.8971161340607951E-4</v>
      </c>
      <c r="AE46" s="75">
        <f>(Input!AF122*0.1/0.2566*1000)</f>
        <v>1.1691348402182386E-3</v>
      </c>
      <c r="AF46" s="75">
        <f>(Input!AG122*0.1/0.2566*1000)</f>
        <v>1.8706157443491817E-2</v>
      </c>
      <c r="AG46" s="75">
        <f>(Input!AH122*0.1/0.2566*1000)</f>
        <v>0.15471551052221358</v>
      </c>
      <c r="AH46" s="75">
        <f>(Input!AI122*0.1/0.2566*1000)</f>
        <v>4.4427123928293066E-2</v>
      </c>
      <c r="AI46" s="64">
        <v>0.99778</v>
      </c>
      <c r="AJ46" s="64">
        <v>1.14463</v>
      </c>
      <c r="AK46" s="75">
        <f>(Input!AL122*0.1/0.2566*1000)</f>
        <v>1.5978176149649262E-2</v>
      </c>
      <c r="AL46" s="75">
        <f>(Input!AM122*0.1/0.2566*1000)</f>
        <v>3.8971161340607951E-4</v>
      </c>
      <c r="AM46" s="75">
        <f>(Input!AN122*0.1/0.2566*1000)</f>
        <v>7.0148090413094305E-2</v>
      </c>
      <c r="AN46" s="75">
        <f>(Input!AO122*0.1/0.2566*1000)</f>
        <v>15.631332813717847</v>
      </c>
      <c r="AO46" s="75">
        <f>(Input!AQ122*0.1/0.2566*1000)</f>
        <v>0.22213561964146533</v>
      </c>
      <c r="AP46" s="75">
        <f>(Input!AR122*0.1/0.2566*1000)</f>
        <v>0.43296960249415434</v>
      </c>
      <c r="AQ46" s="75">
        <f>(Input!AS122*0.1/0.2566*1000)</f>
        <v>5.3780202650038987E-2</v>
      </c>
      <c r="AR46" s="75">
        <f>(Input!AT122*0.1/0.2566*1000)</f>
        <v>0.20187061574434922</v>
      </c>
      <c r="AS46" s="75">
        <f>(Input!AU122*0.1/0.2566*1000)</f>
        <v>3.8581449727201879E-2</v>
      </c>
      <c r="AT46" s="75">
        <f>(Input!AV122*0.1/0.2566*1000)</f>
        <v>9.7427903351519872E-3</v>
      </c>
      <c r="AU46" s="75">
        <f>(Input!AW122*0.1/0.2566*1000)</f>
        <v>3.7412314886983634E-2</v>
      </c>
      <c r="AV46" s="75">
        <f>(Input!AX122*0.1/0.2566*1000)</f>
        <v>5.0662509742790338E-3</v>
      </c>
      <c r="AW46" s="75">
        <f>(Input!AY122*0.1/0.2566*1000)</f>
        <v>2.4551831644583012E-2</v>
      </c>
      <c r="AX46" s="75">
        <f>(Input!AZ122*0.1/0.2566*1000)</f>
        <v>4.6765393608729543E-3</v>
      </c>
      <c r="AY46" s="75">
        <f>(Input!BA122*0.1/0.2566*1000)</f>
        <v>1.2470771628994544E-2</v>
      </c>
      <c r="AZ46" s="75">
        <f>(Input!BB122*0.1/0.2566*1000)</f>
        <v>1.558846453624318E-3</v>
      </c>
      <c r="BA46" s="75">
        <f>(Input!BC122*0.1/0.2566*1000)</f>
        <v>1.0132501948558068E-2</v>
      </c>
      <c r="BB46" s="75">
        <f>(Input!BD122*0.1/0.2566*1000)</f>
        <v>1.558846453624318E-3</v>
      </c>
      <c r="BC46" s="75">
        <f>(Input!BE122*0.1/0.2566*1000)</f>
        <v>7.7942322681215901E-4</v>
      </c>
      <c r="BD46" s="75">
        <f>(Input!BF122*0.1/0.2566*1000)</f>
        <v>3.0787217459080286E-2</v>
      </c>
      <c r="BE46" s="75">
        <f>(Input!BG122*0.1/0.2566*1000)</f>
        <v>7.638347622759159E-2</v>
      </c>
      <c r="BF46" s="75">
        <f>(Input!BH122*0.1/0.2566*1000)</f>
        <v>7.9501169134840233E-2</v>
      </c>
      <c r="BG46" s="75">
        <f>(Input!BI122*0.1/0.2566*1000)</f>
        <v>0</v>
      </c>
      <c r="BH46" s="75">
        <f>(Input!BJ122*0.1/0.2566*1000)</f>
        <v>0</v>
      </c>
      <c r="BI46" s="75">
        <f>(Input!BK122*0.1/0.2566*1000)</f>
        <v>6.5861262665627446E-2</v>
      </c>
      <c r="BJ46" s="75">
        <f>(Input!BL122*0.1/0.2566*1000)</f>
        <v>3.1176929072486361E-3</v>
      </c>
      <c r="BK46" s="75">
        <f>(Input!BM122*0.1/0.2566*1000)</f>
        <v>0.25915822291504287</v>
      </c>
      <c r="BL46" s="75">
        <f>(Input!BN122*0.1/0.2566*1000)</f>
        <v>0.36597817614964928</v>
      </c>
      <c r="BM46" s="64">
        <v>0.93910000000000005</v>
      </c>
      <c r="BN46" s="64">
        <v>1.08175</v>
      </c>
      <c r="BO46" s="75">
        <f>(Input!BQ122*0.1/0.2566*1000)</f>
        <v>6.2743569758378803E-2</v>
      </c>
      <c r="BP46" s="75">
        <f>(Input!BR122*0.1/0.2566*1000)</f>
        <v>1.0522213561964148E-2</v>
      </c>
    </row>
    <row r="47" spans="1:68" x14ac:dyDescent="0.3">
      <c r="A47" s="52" t="s">
        <v>184</v>
      </c>
      <c r="B47" s="75">
        <f>(Input!B124*0.1/0.2509*1000)</f>
        <v>17.090474292546833</v>
      </c>
      <c r="C47" s="75">
        <f>(Input!C124*0.1/0.2509*1000)</f>
        <v>2897.5687524910318</v>
      </c>
      <c r="D47" s="75">
        <f>(Input!D124*0.1/0.2509*1000)</f>
        <v>233.6388999601435</v>
      </c>
      <c r="E47" s="75">
        <f>(Input!E124*0.1/0.2509*1000)</f>
        <v>1412.9135113591074</v>
      </c>
      <c r="F47" s="75">
        <f>(Input!F124*0.1/0.2509*1000)</f>
        <v>16596.253487445199</v>
      </c>
      <c r="G47" s="75">
        <f>(Input!G124*0.1/0.2509*1000)</f>
        <v>15575.926664009565</v>
      </c>
      <c r="H47" s="64">
        <v>1.1443300000000001</v>
      </c>
      <c r="I47" s="64">
        <v>1.12666</v>
      </c>
      <c r="J47" s="75">
        <f>(Input!J124*0.1/0.2509*1000)</f>
        <v>89.159027500996416</v>
      </c>
      <c r="K47" s="75">
        <f>(Input!L124*0.1/0.2509*1000)</f>
        <v>9.314467915504185</v>
      </c>
      <c r="L47" s="75">
        <f>(Input!M124*0.1/0.2509*1000)</f>
        <v>1.3172578716620169</v>
      </c>
      <c r="M47" s="75">
        <f>(Input!N124*0.1/0.2509*1000)</f>
        <v>55.161418891988831</v>
      </c>
      <c r="N47" s="75">
        <f>(Input!O124*0.1/0.2509*1000)</f>
        <v>117.29772817855719</v>
      </c>
      <c r="O47" s="75">
        <f>(Input!P124*0.1/0.2509*1000)</f>
        <v>8.4495815065763258E-2</v>
      </c>
      <c r="P47" s="75">
        <f>(Input!Q124*0.1/0.2509*1000)</f>
        <v>0.95416500597847753</v>
      </c>
      <c r="Q47" s="75">
        <f>(Input!R124*0.1/0.2509*1000)</f>
        <v>5.2092467118373849</v>
      </c>
      <c r="R47" s="75">
        <f>(Input!S124*0.1/0.2509*1000)</f>
        <v>7.8636907134316463</v>
      </c>
      <c r="S47" s="75">
        <f>(Input!T124*0.1/0.2509*1000)</f>
        <v>1.4651255480271026</v>
      </c>
      <c r="T47" s="64">
        <v>1.04748</v>
      </c>
      <c r="U47" s="64">
        <v>0.97406999999999999</v>
      </c>
      <c r="V47" s="75">
        <f>(Input!W124*0.1/0.2509*1000)</f>
        <v>0.46592267835791157</v>
      </c>
      <c r="W47" s="75">
        <f>(Input!X124*0.1/0.2509*1000)</f>
        <v>2.3882024711040253</v>
      </c>
      <c r="X47" s="75">
        <f>(Input!Y124*0.1/0.2509*1000)</f>
        <v>7.9194898365882826</v>
      </c>
      <c r="Y47" s="75">
        <f>(Input!Z124*0.1/0.2509*1000)</f>
        <v>21.478676763650856</v>
      </c>
      <c r="Z47" s="64">
        <v>1.2773399999999999</v>
      </c>
      <c r="AA47" s="64">
        <v>1.32294</v>
      </c>
      <c r="AB47" s="75">
        <f>(Input!AC124*0.1/0.2509*1000)</f>
        <v>2.2718214428058991E-2</v>
      </c>
      <c r="AC47" s="75">
        <f>(Input!AD124*0.1/0.2509*1000)</f>
        <v>6.5364687126345161E-2</v>
      </c>
      <c r="AD47" s="75">
        <f>(Input!AE124*0.1/0.2509*1000)</f>
        <v>0</v>
      </c>
      <c r="AE47" s="75">
        <f>(Input!AF124*0.1/0.2509*1000)</f>
        <v>3.9856516540454361E-4</v>
      </c>
      <c r="AF47" s="75">
        <f>(Input!AG124*0.1/0.2509*1000)</f>
        <v>6.775607811877242E-3</v>
      </c>
      <c r="AG47" s="75">
        <f>(Input!AH124*0.1/0.2509*1000)</f>
        <v>1.6022319649262651</v>
      </c>
      <c r="AH47" s="74">
        <f>(Input!AI124*0.1/0.2509*1000)</f>
        <v>1.6739736946990835E-2</v>
      </c>
      <c r="AI47" s="64">
        <v>1.0238100000000001</v>
      </c>
      <c r="AJ47" s="64">
        <v>1.13906</v>
      </c>
      <c r="AK47" s="75">
        <f>(Input!AL124*0.1/0.2509*1000)</f>
        <v>1.3949780789159028E-2</v>
      </c>
      <c r="AL47" s="75">
        <f>(Input!AM124*0.1/0.2509*1000)</f>
        <v>1.195695496213631E-3</v>
      </c>
      <c r="AM47" s="75">
        <f>(Input!AN124*0.1/0.2509*1000)</f>
        <v>4.3842168194499799E-3</v>
      </c>
      <c r="AN47" s="75">
        <f>(Input!AO124*0.1/0.2509*1000)</f>
        <v>38.888003188521324</v>
      </c>
      <c r="AO47" s="75">
        <f>(Input!AQ124*0.1/0.2509*1000)</f>
        <v>19.414109206855318</v>
      </c>
      <c r="AP47" s="75">
        <f>(Input!AR124*0.1/0.2509*1000)</f>
        <v>2.616580310880829</v>
      </c>
      <c r="AQ47" s="75">
        <f>(Input!AS124*0.1/0.2509*1000)</f>
        <v>3.6723794340374654</v>
      </c>
      <c r="AR47" s="75">
        <f>(Input!AT124*0.1/0.2509*1000)</f>
        <v>14.176962933439617</v>
      </c>
      <c r="AS47" s="75">
        <f>(Input!AU124*0.1/0.2509*1000)</f>
        <v>2.6157831805500198</v>
      </c>
      <c r="AT47" s="75">
        <f>(Input!AV124*0.1/0.2509*1000)</f>
        <v>0.23116779593463532</v>
      </c>
      <c r="AU47" s="75">
        <f>(Input!AW124*0.1/0.2509*1000)</f>
        <v>2.669190912714229</v>
      </c>
      <c r="AV47" s="75">
        <f>(Input!AX124*0.1/0.2509*1000)</f>
        <v>0.34356317257871666</v>
      </c>
      <c r="AW47" s="75">
        <f>(Input!AY124*0.1/0.2509*1000)</f>
        <v>1.5870864886408929</v>
      </c>
      <c r="AX47" s="75">
        <f>(Input!AZ124*0.1/0.2509*1000)</f>
        <v>0.26703866082104427</v>
      </c>
      <c r="AY47" s="75">
        <f>(Input!BA124*0.1/0.2509*1000)</f>
        <v>0.55360701474691121</v>
      </c>
      <c r="AZ47" s="75">
        <f>(Input!BB124*0.1/0.2509*1000)</f>
        <v>4.6632124352331612E-2</v>
      </c>
      <c r="BA47" s="75">
        <f>(Input!BC124*0.1/0.2509*1000)</f>
        <v>0.18692706257473096</v>
      </c>
      <c r="BB47" s="75">
        <f>(Input!BD124*0.1/0.2509*1000)</f>
        <v>1.9928258270227182E-2</v>
      </c>
      <c r="BC47" s="75">
        <f>(Input!BE124*0.1/0.2509*1000)</f>
        <v>3.9856516540454361E-4</v>
      </c>
      <c r="BD47" s="75">
        <f>(Input!BF124*0.1/0.2509*1000)</f>
        <v>1.4348345954563567E-2</v>
      </c>
      <c r="BE47" s="75">
        <f>(Input!BG124*0.1/0.2509*1000)</f>
        <v>3.9856516540454361E-4</v>
      </c>
      <c r="BF47" s="75">
        <f>(Input!BH124*0.1/0.2509*1000)</f>
        <v>0</v>
      </c>
      <c r="BG47" s="75">
        <f>(Input!BI124*0.1/0.2509*1000)</f>
        <v>0</v>
      </c>
      <c r="BH47" s="75">
        <f>(Input!BJ124*0.1/0.2509*1000)</f>
        <v>0</v>
      </c>
      <c r="BI47" s="75">
        <f>(Input!BK124*0.1/0.2509*1000)</f>
        <v>9.2865683539258684E-2</v>
      </c>
      <c r="BJ47" s="75">
        <f>(Input!BL124*0.1/0.2509*1000)</f>
        <v>1.1558389796731766E-2</v>
      </c>
      <c r="BK47" s="75">
        <f>(Input!BM124*0.1/0.2509*1000)</f>
        <v>0.39338381825428459</v>
      </c>
      <c r="BL47" s="75">
        <f>(Input!BN124*0.1/0.2509*1000)</f>
        <v>0.38015942606616182</v>
      </c>
      <c r="BM47" s="64">
        <v>0.95382</v>
      </c>
      <c r="BN47" s="64">
        <v>1.0784899999999999</v>
      </c>
      <c r="BO47" s="75">
        <f>(Input!BQ124*0.1/0.2509*1000)</f>
        <v>1.9529693104822641E-2</v>
      </c>
      <c r="BP47" s="75">
        <f>(Input!BR124*0.1/0.2509*1000)</f>
        <v>5.1813471502590676E-3</v>
      </c>
    </row>
    <row r="48" spans="1:68" s="65" customFormat="1" x14ac:dyDescent="0.3"/>
    <row r="49" spans="1:68" s="69" customFormat="1" x14ac:dyDescent="0.3">
      <c r="B49" s="70" t="s">
        <v>180</v>
      </c>
      <c r="C49" s="70" t="s">
        <v>181</v>
      </c>
      <c r="D49" s="70" t="s">
        <v>180</v>
      </c>
      <c r="E49" s="70" t="s">
        <v>181</v>
      </c>
      <c r="F49" s="70" t="s">
        <v>181</v>
      </c>
      <c r="G49" s="70" t="s">
        <v>181</v>
      </c>
      <c r="H49" s="67"/>
      <c r="I49" s="67"/>
      <c r="J49" s="70"/>
      <c r="K49" s="70" t="s">
        <v>180</v>
      </c>
      <c r="L49" s="70" t="s">
        <v>180</v>
      </c>
      <c r="M49" s="70" t="s">
        <v>180</v>
      </c>
      <c r="N49" s="70" t="s">
        <v>180</v>
      </c>
      <c r="O49" s="70"/>
      <c r="P49" s="70" t="s">
        <v>180</v>
      </c>
      <c r="Q49" s="70" t="s">
        <v>180</v>
      </c>
      <c r="R49" s="70" t="s">
        <v>180</v>
      </c>
      <c r="S49" s="67"/>
      <c r="T49" s="67"/>
      <c r="V49" s="70" t="s">
        <v>180</v>
      </c>
      <c r="W49" s="70" t="s">
        <v>180</v>
      </c>
      <c r="X49" s="70"/>
      <c r="Y49" s="70" t="s">
        <v>180</v>
      </c>
      <c r="AA49" s="67"/>
      <c r="AB49" s="67"/>
      <c r="AC49" s="70" t="s">
        <v>180</v>
      </c>
      <c r="AD49" s="70" t="s">
        <v>180</v>
      </c>
      <c r="AF49" s="70"/>
      <c r="AG49" s="70"/>
      <c r="AH49" s="70" t="s">
        <v>180</v>
      </c>
      <c r="AJ49" s="67"/>
      <c r="AK49" s="67"/>
      <c r="AL49" s="70"/>
      <c r="AM49" s="70" t="s">
        <v>170</v>
      </c>
      <c r="AN49" s="70"/>
      <c r="AO49" s="70" t="s">
        <v>170</v>
      </c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 t="s">
        <v>180</v>
      </c>
      <c r="BM49" s="67"/>
      <c r="BN49" s="67"/>
      <c r="BO49" s="70"/>
      <c r="BP49" s="70"/>
    </row>
    <row r="50" spans="1:68" s="65" customFormat="1" x14ac:dyDescent="0.3">
      <c r="A50" s="65" t="s">
        <v>179</v>
      </c>
      <c r="B50" s="61">
        <v>24.4</v>
      </c>
      <c r="C50" s="76">
        <v>0.27100000000000002</v>
      </c>
      <c r="D50" s="61">
        <v>286</v>
      </c>
      <c r="E50" s="76">
        <v>0.159</v>
      </c>
      <c r="F50" s="76">
        <v>1.61</v>
      </c>
      <c r="G50" s="76">
        <v>1.52</v>
      </c>
      <c r="K50" s="76">
        <v>0.26</v>
      </c>
      <c r="L50" s="61"/>
      <c r="M50" s="61">
        <v>54</v>
      </c>
      <c r="N50" s="61">
        <v>83</v>
      </c>
      <c r="O50" s="61"/>
      <c r="P50" s="76">
        <v>0.91</v>
      </c>
      <c r="Q50" s="61">
        <v>5.64</v>
      </c>
      <c r="R50" s="61">
        <v>12.5</v>
      </c>
      <c r="S50" s="60"/>
      <c r="V50" s="76">
        <v>3.7999999999999999E-2</v>
      </c>
      <c r="W50" s="76">
        <v>0.05</v>
      </c>
      <c r="X50" s="61"/>
      <c r="Y50" s="61">
        <v>25</v>
      </c>
      <c r="AC50" s="76">
        <v>9.4E-2</v>
      </c>
      <c r="AD50" s="61">
        <v>10.199999999999999</v>
      </c>
      <c r="AH50" s="76">
        <v>1.2999999999999999E-2</v>
      </c>
      <c r="BL50" s="76">
        <v>0.47</v>
      </c>
    </row>
    <row r="52" spans="1:68" s="51" customFormat="1" x14ac:dyDescent="0.3">
      <c r="B52" s="51" t="s">
        <v>111</v>
      </c>
      <c r="C52" s="51" t="s">
        <v>111</v>
      </c>
      <c r="D52" s="51" t="s">
        <v>111</v>
      </c>
      <c r="E52" s="51" t="s">
        <v>111</v>
      </c>
      <c r="F52" s="51" t="s">
        <v>111</v>
      </c>
      <c r="G52" s="51" t="s">
        <v>111</v>
      </c>
      <c r="H52" s="63" t="s">
        <v>171</v>
      </c>
      <c r="I52" s="63" t="s">
        <v>171</v>
      </c>
      <c r="J52" s="51" t="s">
        <v>111</v>
      </c>
      <c r="K52" s="51" t="s">
        <v>111</v>
      </c>
      <c r="L52" s="51" t="s">
        <v>111</v>
      </c>
      <c r="M52" s="51" t="s">
        <v>111</v>
      </c>
      <c r="N52" s="51" t="s">
        <v>111</v>
      </c>
      <c r="O52" s="51" t="s">
        <v>111</v>
      </c>
      <c r="P52" s="51" t="s">
        <v>111</v>
      </c>
      <c r="Q52" s="51" t="s">
        <v>111</v>
      </c>
      <c r="R52" s="51" t="s">
        <v>111</v>
      </c>
      <c r="S52" s="51" t="s">
        <v>111</v>
      </c>
      <c r="T52" s="63" t="s">
        <v>171</v>
      </c>
      <c r="U52" s="63" t="s">
        <v>171</v>
      </c>
      <c r="V52" s="51" t="s">
        <v>111</v>
      </c>
      <c r="W52" s="51" t="s">
        <v>111</v>
      </c>
      <c r="X52" s="51" t="s">
        <v>111</v>
      </c>
      <c r="Y52" s="51" t="s">
        <v>111</v>
      </c>
      <c r="Z52" s="63" t="s">
        <v>171</v>
      </c>
      <c r="AA52" s="63" t="s">
        <v>171</v>
      </c>
      <c r="AB52" s="51" t="s">
        <v>111</v>
      </c>
      <c r="AC52" s="51" t="s">
        <v>111</v>
      </c>
      <c r="AD52" s="51" t="s">
        <v>111</v>
      </c>
      <c r="AE52" s="51" t="s">
        <v>111</v>
      </c>
      <c r="AF52" s="51" t="s">
        <v>111</v>
      </c>
      <c r="AG52" s="51" t="s">
        <v>111</v>
      </c>
      <c r="AH52" s="51" t="s">
        <v>111</v>
      </c>
      <c r="AI52" s="63" t="s">
        <v>171</v>
      </c>
      <c r="AJ52" s="63" t="s">
        <v>171</v>
      </c>
      <c r="AK52" s="51" t="s">
        <v>111</v>
      </c>
      <c r="AL52" s="51" t="s">
        <v>111</v>
      </c>
      <c r="AM52" s="51" t="s">
        <v>111</v>
      </c>
      <c r="AN52" s="51" t="s">
        <v>111</v>
      </c>
      <c r="AO52" s="51" t="s">
        <v>111</v>
      </c>
      <c r="AP52" s="51" t="s">
        <v>111</v>
      </c>
      <c r="AQ52" s="51" t="s">
        <v>111</v>
      </c>
      <c r="AR52" s="51" t="s">
        <v>111</v>
      </c>
      <c r="AS52" s="51" t="s">
        <v>111</v>
      </c>
      <c r="AT52" s="51" t="s">
        <v>111</v>
      </c>
      <c r="AU52" s="51" t="s">
        <v>111</v>
      </c>
      <c r="AV52" s="51" t="s">
        <v>111</v>
      </c>
      <c r="AW52" s="51" t="s">
        <v>111</v>
      </c>
      <c r="AX52" s="51" t="s">
        <v>111</v>
      </c>
      <c r="AY52" s="51" t="s">
        <v>111</v>
      </c>
      <c r="AZ52" s="51" t="s">
        <v>111</v>
      </c>
      <c r="BA52" s="51" t="s">
        <v>111</v>
      </c>
      <c r="BB52" s="51" t="s">
        <v>111</v>
      </c>
      <c r="BC52" s="51" t="s">
        <v>111</v>
      </c>
      <c r="BD52" s="51" t="s">
        <v>111</v>
      </c>
      <c r="BE52" s="51" t="s">
        <v>111</v>
      </c>
      <c r="BF52" s="51" t="s">
        <v>111</v>
      </c>
      <c r="BG52" s="51" t="s">
        <v>111</v>
      </c>
      <c r="BH52" s="51" t="s">
        <v>111</v>
      </c>
      <c r="BI52" s="51" t="s">
        <v>111</v>
      </c>
      <c r="BJ52" s="51" t="s">
        <v>111</v>
      </c>
      <c r="BK52" s="51" t="s">
        <v>111</v>
      </c>
      <c r="BL52" s="51" t="s">
        <v>111</v>
      </c>
      <c r="BM52" s="63" t="s">
        <v>171</v>
      </c>
      <c r="BN52" s="63" t="s">
        <v>171</v>
      </c>
      <c r="BO52" s="51" t="s">
        <v>111</v>
      </c>
      <c r="BP52" s="51" t="s">
        <v>111</v>
      </c>
    </row>
    <row r="53" spans="1:68" s="61" customFormat="1" ht="15.95" customHeight="1" x14ac:dyDescent="0.25">
      <c r="A53" s="61" t="s">
        <v>88</v>
      </c>
      <c r="B53" s="61">
        <v>-17.91</v>
      </c>
      <c r="C53" s="61">
        <v>1.73</v>
      </c>
      <c r="D53" s="61">
        <v>-2.2450000000000001</v>
      </c>
      <c r="E53" s="61">
        <v>18.53</v>
      </c>
      <c r="F53" s="61">
        <v>-6.0940000000000003</v>
      </c>
      <c r="G53" s="61">
        <v>-0.27800000000000002</v>
      </c>
      <c r="H53" s="77">
        <v>1.0580400000000001</v>
      </c>
      <c r="I53" s="77">
        <v>1.05888</v>
      </c>
      <c r="J53" s="61">
        <v>0.10199999999999999</v>
      </c>
      <c r="K53" s="61">
        <v>0.32100000000000001</v>
      </c>
      <c r="L53" s="61">
        <v>0.161</v>
      </c>
      <c r="M53" s="61">
        <v>8.4000000000000005E-2</v>
      </c>
      <c r="N53" s="61">
        <v>187.1</v>
      </c>
      <c r="O53" s="61">
        <v>-2.4E-2</v>
      </c>
      <c r="P53" s="61">
        <v>0.06</v>
      </c>
      <c r="Q53" s="61">
        <v>0.255</v>
      </c>
      <c r="R53" s="61">
        <v>-1.5429999999999999</v>
      </c>
      <c r="S53" s="61">
        <v>-2E-3</v>
      </c>
      <c r="T53" s="77">
        <v>0.99541000000000002</v>
      </c>
      <c r="U53" s="77">
        <v>0.93454999999999999</v>
      </c>
      <c r="V53" s="61">
        <v>8.9999999999999993E-3</v>
      </c>
      <c r="W53" s="61">
        <v>-7.2999999999999995E-2</v>
      </c>
      <c r="X53" s="61">
        <v>0</v>
      </c>
      <c r="Y53" s="61">
        <v>-1.4999999999999999E-2</v>
      </c>
      <c r="Z53" s="77">
        <v>1.0190600000000001</v>
      </c>
      <c r="AA53" s="77">
        <v>1.0874600000000001</v>
      </c>
      <c r="AB53" s="61">
        <v>-1E-3</v>
      </c>
      <c r="AC53" s="61">
        <v>-8.0000000000000002E-3</v>
      </c>
      <c r="AD53" s="61">
        <v>0</v>
      </c>
      <c r="AE53" s="61">
        <v>0</v>
      </c>
      <c r="AF53" s="61">
        <v>1E-3</v>
      </c>
      <c r="AG53" s="61">
        <v>-4.2000000000000003E-2</v>
      </c>
      <c r="AH53" s="61">
        <v>2E-3</v>
      </c>
      <c r="AI53" s="77">
        <v>0.92588999999999999</v>
      </c>
      <c r="AJ53" s="77">
        <v>1.09198</v>
      </c>
      <c r="AK53" s="61">
        <v>1.6E-2</v>
      </c>
      <c r="AL53" s="61">
        <v>4.0000000000000001E-3</v>
      </c>
      <c r="AM53" s="61">
        <v>0</v>
      </c>
      <c r="AN53" s="61">
        <v>1E-3</v>
      </c>
      <c r="AO53" s="61">
        <v>-4.0000000000000001E-3</v>
      </c>
      <c r="AP53" s="61">
        <v>8.9999999999999993E-3</v>
      </c>
      <c r="AQ53" s="61">
        <v>-1.0999999999999999E-2</v>
      </c>
      <c r="AR53" s="61">
        <v>0</v>
      </c>
      <c r="AS53" s="61">
        <v>-1E-3</v>
      </c>
      <c r="AT53" s="61">
        <v>0</v>
      </c>
      <c r="AU53" s="61">
        <v>0</v>
      </c>
      <c r="AV53" s="61">
        <v>0</v>
      </c>
      <c r="AW53" s="61">
        <v>0</v>
      </c>
      <c r="AX53" s="61">
        <v>0</v>
      </c>
      <c r="AY53" s="61">
        <v>0</v>
      </c>
      <c r="AZ53" s="61">
        <v>0</v>
      </c>
      <c r="BA53" s="61">
        <v>0</v>
      </c>
      <c r="BB53" s="61">
        <v>0</v>
      </c>
      <c r="BC53" s="61">
        <v>0</v>
      </c>
      <c r="BD53" s="61">
        <v>0</v>
      </c>
      <c r="BE53" s="61">
        <v>1E-3</v>
      </c>
      <c r="BF53" s="61">
        <v>0</v>
      </c>
      <c r="BG53" s="61">
        <v>0</v>
      </c>
      <c r="BH53" s="61">
        <v>0</v>
      </c>
      <c r="BI53" s="61">
        <v>0</v>
      </c>
      <c r="BJ53" s="61">
        <v>0.42</v>
      </c>
      <c r="BK53" s="61">
        <v>0</v>
      </c>
      <c r="BL53" s="61">
        <v>4.7E-2</v>
      </c>
      <c r="BM53" s="77">
        <v>0.91796</v>
      </c>
      <c r="BN53" s="77">
        <v>1.0616099999999999</v>
      </c>
      <c r="BO53" s="61">
        <v>2E-3</v>
      </c>
      <c r="BP53" s="61">
        <v>0</v>
      </c>
    </row>
    <row r="54" spans="1:68" s="71" customFormat="1" ht="15.95" customHeight="1" x14ac:dyDescent="0.3">
      <c r="A54" s="71" t="s">
        <v>90</v>
      </c>
      <c r="B54" s="75">
        <v>195.4</v>
      </c>
      <c r="C54" s="75">
        <v>409.6</v>
      </c>
      <c r="D54" s="75">
        <v>411.8</v>
      </c>
      <c r="E54" s="75">
        <v>168.8</v>
      </c>
      <c r="F54" s="75">
        <v>421.1</v>
      </c>
      <c r="G54" s="75">
        <v>256.60000000000002</v>
      </c>
      <c r="H54" s="72">
        <v>1.06718</v>
      </c>
      <c r="I54" s="72">
        <v>1.02765</v>
      </c>
      <c r="J54" s="75">
        <v>240.5</v>
      </c>
      <c r="K54" s="75">
        <v>166.9</v>
      </c>
      <c r="L54" s="75">
        <v>4.2610000000000001</v>
      </c>
      <c r="M54" s="75">
        <v>32.83</v>
      </c>
      <c r="N54" s="75">
        <v>449.8</v>
      </c>
      <c r="O54" s="75">
        <v>3.3559999999999999</v>
      </c>
      <c r="P54" s="75">
        <v>3.669</v>
      </c>
      <c r="Q54" s="75">
        <v>4.274</v>
      </c>
      <c r="R54" s="75">
        <v>3.262</v>
      </c>
      <c r="S54" s="75">
        <v>1.173</v>
      </c>
      <c r="T54" s="72">
        <v>1.02545</v>
      </c>
      <c r="U54" s="72">
        <v>0.94776000000000005</v>
      </c>
      <c r="V54" s="73">
        <v>1.9450000000000001</v>
      </c>
      <c r="W54" s="73">
        <v>2.8849999999999998</v>
      </c>
      <c r="X54" s="73">
        <v>8.3510000000000009</v>
      </c>
      <c r="Y54" s="73">
        <v>3.4980000000000002</v>
      </c>
      <c r="Z54" s="72">
        <v>1.0440799999999999</v>
      </c>
      <c r="AA54" s="72">
        <v>1.0631600000000001</v>
      </c>
      <c r="AB54" s="73">
        <v>1.0669999999999999</v>
      </c>
      <c r="AC54" s="73">
        <v>3.427</v>
      </c>
      <c r="AD54" s="73">
        <v>0.25</v>
      </c>
      <c r="AE54" s="73">
        <v>0.253</v>
      </c>
      <c r="AF54" s="73">
        <v>0.188</v>
      </c>
      <c r="AG54" s="73">
        <v>5.7720000000000002</v>
      </c>
      <c r="AH54" s="73">
        <v>3.38</v>
      </c>
      <c r="AI54" s="72">
        <v>0.96189000000000002</v>
      </c>
      <c r="AJ54" s="72">
        <v>1.0628599999999999</v>
      </c>
      <c r="AK54" s="74">
        <v>0.246</v>
      </c>
      <c r="AL54" s="74">
        <v>0.251</v>
      </c>
      <c r="AM54" s="74">
        <v>0.252</v>
      </c>
      <c r="AN54" s="74">
        <v>1.5069999999999999</v>
      </c>
      <c r="AO54" s="74">
        <v>15.16</v>
      </c>
      <c r="AP54" s="74">
        <v>0.438</v>
      </c>
      <c r="AQ54" s="74">
        <v>0.41699999999999998</v>
      </c>
      <c r="AR54" s="74">
        <v>0.433</v>
      </c>
      <c r="AS54" s="74">
        <v>0.44</v>
      </c>
      <c r="AT54" s="74">
        <v>0.42899999999999999</v>
      </c>
      <c r="AU54" s="74">
        <v>0.43</v>
      </c>
      <c r="AV54" s="74">
        <v>0.42499999999999999</v>
      </c>
      <c r="AW54" s="74">
        <v>0.437</v>
      </c>
      <c r="AX54" s="74">
        <v>0.43099999999999999</v>
      </c>
      <c r="AY54" s="74">
        <v>0.43099999999999999</v>
      </c>
      <c r="AZ54" s="74">
        <v>0.42599999999999999</v>
      </c>
      <c r="BA54" s="74">
        <v>0.43099999999999999</v>
      </c>
      <c r="BB54" s="74">
        <v>0.435</v>
      </c>
      <c r="BC54" s="74">
        <v>0.434</v>
      </c>
      <c r="BD54" s="74">
        <v>0.22900000000000001</v>
      </c>
      <c r="BE54" s="74">
        <v>1.5389999999999999</v>
      </c>
      <c r="BF54" s="74">
        <v>1.623</v>
      </c>
      <c r="BG54" s="74">
        <v>1.6479999999999999</v>
      </c>
      <c r="BH54" s="74">
        <v>0.20599999999999999</v>
      </c>
      <c r="BI54" s="74">
        <v>0.222</v>
      </c>
      <c r="BJ54" s="74">
        <v>0.19800000000000001</v>
      </c>
      <c r="BK54" s="74">
        <v>9.9369999999999994</v>
      </c>
      <c r="BL54" s="74">
        <v>1.6319999999999999</v>
      </c>
      <c r="BM54" s="72">
        <v>0.94937000000000005</v>
      </c>
      <c r="BN54" s="72">
        <v>1.0638099999999999</v>
      </c>
      <c r="BO54" s="73">
        <v>0.42899999999999999</v>
      </c>
      <c r="BP54" s="73">
        <v>1.9430000000000001</v>
      </c>
    </row>
    <row r="55" spans="1:68" s="65" customFormat="1" x14ac:dyDescent="0.3"/>
    <row r="56" spans="1:68" s="53" customFormat="1" x14ac:dyDescent="0.3">
      <c r="A56" s="66" t="s">
        <v>176</v>
      </c>
      <c r="B56" s="51" t="s">
        <v>178</v>
      </c>
      <c r="C56" s="51" t="s">
        <v>178</v>
      </c>
      <c r="D56" s="51" t="s">
        <v>178</v>
      </c>
      <c r="E56" s="51" t="s">
        <v>178</v>
      </c>
      <c r="F56" s="51" t="s">
        <v>178</v>
      </c>
      <c r="G56" s="51" t="s">
        <v>178</v>
      </c>
      <c r="H56" s="63" t="s">
        <v>171</v>
      </c>
      <c r="I56" s="64" t="s">
        <v>171</v>
      </c>
      <c r="J56" s="67" t="s">
        <v>178</v>
      </c>
      <c r="K56" s="67" t="s">
        <v>178</v>
      </c>
      <c r="L56" s="67" t="s">
        <v>178</v>
      </c>
      <c r="M56" s="67" t="s">
        <v>178</v>
      </c>
      <c r="N56" s="67" t="s">
        <v>178</v>
      </c>
      <c r="O56" s="67" t="s">
        <v>178</v>
      </c>
      <c r="P56" s="67" t="s">
        <v>178</v>
      </c>
      <c r="Q56" s="67" t="s">
        <v>178</v>
      </c>
      <c r="R56" s="67" t="s">
        <v>178</v>
      </c>
      <c r="S56" s="67" t="s">
        <v>178</v>
      </c>
      <c r="T56" s="64" t="s">
        <v>171</v>
      </c>
      <c r="U56" s="64" t="s">
        <v>171</v>
      </c>
      <c r="V56" s="67" t="s">
        <v>178</v>
      </c>
      <c r="W56" s="67" t="s">
        <v>178</v>
      </c>
      <c r="X56" s="67" t="s">
        <v>178</v>
      </c>
      <c r="Y56" s="67" t="s">
        <v>178</v>
      </c>
      <c r="Z56" s="64" t="s">
        <v>171</v>
      </c>
      <c r="AA56" s="64" t="s">
        <v>171</v>
      </c>
      <c r="AB56" s="67" t="s">
        <v>178</v>
      </c>
      <c r="AC56" s="67" t="s">
        <v>178</v>
      </c>
      <c r="AD56" s="67" t="s">
        <v>178</v>
      </c>
      <c r="AE56" s="67" t="s">
        <v>178</v>
      </c>
      <c r="AF56" s="67" t="s">
        <v>178</v>
      </c>
      <c r="AG56" s="67" t="s">
        <v>178</v>
      </c>
      <c r="AH56" s="67" t="s">
        <v>178</v>
      </c>
      <c r="AI56" s="64" t="s">
        <v>171</v>
      </c>
      <c r="AJ56" s="64" t="s">
        <v>171</v>
      </c>
      <c r="AK56" s="67" t="s">
        <v>178</v>
      </c>
      <c r="AL56" s="67" t="s">
        <v>178</v>
      </c>
      <c r="AM56" s="67" t="s">
        <v>178</v>
      </c>
      <c r="AN56" s="67" t="s">
        <v>178</v>
      </c>
      <c r="AO56" s="67" t="s">
        <v>178</v>
      </c>
      <c r="AP56" s="67" t="s">
        <v>178</v>
      </c>
      <c r="AQ56" s="67" t="s">
        <v>178</v>
      </c>
      <c r="AR56" s="67" t="s">
        <v>178</v>
      </c>
      <c r="AS56" s="67" t="s">
        <v>178</v>
      </c>
      <c r="AT56" s="67" t="s">
        <v>178</v>
      </c>
      <c r="AU56" s="67" t="s">
        <v>178</v>
      </c>
      <c r="AV56" s="67" t="s">
        <v>178</v>
      </c>
      <c r="AW56" s="67" t="s">
        <v>178</v>
      </c>
      <c r="AX56" s="67" t="s">
        <v>178</v>
      </c>
      <c r="AY56" s="67" t="s">
        <v>178</v>
      </c>
      <c r="AZ56" s="67" t="s">
        <v>178</v>
      </c>
      <c r="BA56" s="67" t="s">
        <v>178</v>
      </c>
      <c r="BB56" s="67" t="s">
        <v>178</v>
      </c>
      <c r="BC56" s="67" t="s">
        <v>178</v>
      </c>
      <c r="BD56" s="67" t="s">
        <v>178</v>
      </c>
      <c r="BE56" s="67" t="s">
        <v>178</v>
      </c>
      <c r="BF56" s="67" t="s">
        <v>178</v>
      </c>
      <c r="BG56" s="67" t="s">
        <v>178</v>
      </c>
      <c r="BH56" s="67" t="s">
        <v>178</v>
      </c>
      <c r="BI56" s="67" t="s">
        <v>178</v>
      </c>
      <c r="BJ56" s="67" t="s">
        <v>178</v>
      </c>
      <c r="BK56" s="67" t="s">
        <v>178</v>
      </c>
      <c r="BL56" s="67" t="s">
        <v>178</v>
      </c>
      <c r="BM56" s="64" t="s">
        <v>171</v>
      </c>
      <c r="BN56" s="64" t="s">
        <v>171</v>
      </c>
      <c r="BO56" s="67" t="s">
        <v>178</v>
      </c>
      <c r="BP56" s="67" t="s">
        <v>178</v>
      </c>
    </row>
    <row r="57" spans="1:68" x14ac:dyDescent="0.3">
      <c r="A57" s="52" t="s">
        <v>175</v>
      </c>
      <c r="B57" s="75">
        <f>(Input!B126*0.1/0.2371*1000)</f>
        <v>83.762125685364836</v>
      </c>
      <c r="C57" s="75">
        <f>(Input!C126*0.1/0.2371*1000)</f>
        <v>1664.6984394770141</v>
      </c>
      <c r="D57" s="75">
        <f>(Input!D126*0.1/0.2371*1000)</f>
        <v>79.291438211725023</v>
      </c>
      <c r="E57" s="75">
        <f>(Input!E126*0.1/0.2371*1000)</f>
        <v>903.41628005061159</v>
      </c>
      <c r="F57" s="75">
        <f>(Input!F126*0.1/0.2371*1000)</f>
        <v>6415.014761703922</v>
      </c>
      <c r="G57" s="75">
        <f>(Input!G126*0.1/0.2371*1000)</f>
        <v>-4.3441585828764238</v>
      </c>
      <c r="H57" s="64">
        <v>1.74211</v>
      </c>
      <c r="I57" s="64">
        <v>1.1623300000000001</v>
      </c>
      <c r="J57" s="75">
        <f>(Input!J126*0.1/0.2371*1000)</f>
        <v>94.98102066638549</v>
      </c>
      <c r="K57" s="75">
        <f>(Input!L126*0.1/0.2371*1000)</f>
        <v>9.7300716997047658</v>
      </c>
      <c r="L57" s="75">
        <f>(Input!M126*0.1/0.2371*1000)</f>
        <v>0.71615352172079294</v>
      </c>
      <c r="M57" s="75">
        <f>(Input!N126*0.1/0.2371*1000)</f>
        <v>35.938422606495145</v>
      </c>
      <c r="N57" s="75">
        <f>(Input!O126*0.1/0.2371*1000)</f>
        <v>1.1691269506537323</v>
      </c>
      <c r="O57" s="75">
        <f>(Input!P126*0.1/0.2371*1000)</f>
        <v>0.17798397300716998</v>
      </c>
      <c r="P57" s="75">
        <f>(Input!Q126*0.1/0.2371*1000)</f>
        <v>0.82496836777730909</v>
      </c>
      <c r="Q57" s="75">
        <f>(Input!R126*0.1/0.2371*1000)</f>
        <v>11.556305356389709</v>
      </c>
      <c r="R57" s="75">
        <f>(Input!S126*0.1/0.2371*1000)</f>
        <v>11.826233656684943</v>
      </c>
      <c r="S57" s="75">
        <f>(Input!T126*0.1/0.2371*1000)</f>
        <v>0.3842260649514973</v>
      </c>
      <c r="T57" s="64">
        <v>1.78271</v>
      </c>
      <c r="U57" s="64">
        <v>1.0407900000000001</v>
      </c>
      <c r="V57" s="75">
        <f>(Input!W126*0.1/0.2371*1000)</f>
        <v>1.8135807676086038E-2</v>
      </c>
      <c r="W57" s="75">
        <f>(Input!X126*0.1/0.2371*1000)</f>
        <v>-0.1935892028679882</v>
      </c>
      <c r="X57" s="75">
        <f>(Input!Y126*0.1/0.2371*1000)</f>
        <v>5.2551665963728382</v>
      </c>
      <c r="Y57" s="75">
        <f>(Input!Z126*0.1/0.2371*1000)</f>
        <v>87.895402783635603</v>
      </c>
      <c r="Z57" s="64">
        <v>1.74394</v>
      </c>
      <c r="AA57" s="64">
        <v>1.1913</v>
      </c>
      <c r="AB57" s="75">
        <f>(Input!AC126*0.1/0.2371*1000)</f>
        <v>4.6393926613243361E-2</v>
      </c>
      <c r="AC57" s="75">
        <f>(Input!AD126*0.1/0.2371*1000)</f>
        <v>0.43778996204133286</v>
      </c>
      <c r="AD57" s="75">
        <f>(Input!AE126*0.1/0.2371*1000)</f>
        <v>8.8570223534373688E-3</v>
      </c>
      <c r="AE57" s="75">
        <f>(Input!AF126*0.1/0.2371*1000)</f>
        <v>1.0122311261071278E-2</v>
      </c>
      <c r="AF57" s="75">
        <f>(Input!AG126*0.1/0.2371*1000)</f>
        <v>2.6992830029523407E-2</v>
      </c>
      <c r="AG57" s="75">
        <f>(Input!AH126*0.1/0.2371*1000)</f>
        <v>0.44200759173344584</v>
      </c>
      <c r="AH57" s="75">
        <f>(Input!AI126*0.1/0.2371*1000)</f>
        <v>0.16111345423871787</v>
      </c>
      <c r="AI57" s="64">
        <v>1.59595</v>
      </c>
      <c r="AJ57" s="64">
        <v>1.18635</v>
      </c>
      <c r="AK57" s="75">
        <f>(Input!AL126*0.1/0.2371*1000)</f>
        <v>1.940109658371995E-2</v>
      </c>
      <c r="AL57" s="75">
        <f>(Input!AM126*0.1/0.2371*1000)</f>
        <v>6.7482075073808517E-3</v>
      </c>
      <c r="AM57" s="75">
        <f>(Input!AN126*0.1/0.2371*1000)</f>
        <v>0.16743989877688742</v>
      </c>
      <c r="AN57" s="75">
        <f>(Input!AO126*0.1/0.2371*1000)</f>
        <v>9.8270771826233663</v>
      </c>
      <c r="AO57" s="75">
        <f>(Input!AQ126*0.1/0.2371*1000)</f>
        <v>7.6339097427245872E-2</v>
      </c>
      <c r="AP57" s="75">
        <f>(Input!AR126*0.1/0.2371*1000)</f>
        <v>0.13201180936313792</v>
      </c>
      <c r="AQ57" s="75">
        <f>(Input!AS126*0.1/0.2371*1000)</f>
        <v>2.867988190636862E-2</v>
      </c>
      <c r="AR57" s="75">
        <f>(Input!AT126*0.1/0.2371*1000)</f>
        <v>6.5373260227752014E-2</v>
      </c>
      <c r="AS57" s="75">
        <f>(Input!AU126*0.1/0.2371*1000)</f>
        <v>2.488401518346689E-2</v>
      </c>
      <c r="AT57" s="75">
        <f>(Input!AV126*0.1/0.2371*1000)</f>
        <v>1.7292281737663433E-2</v>
      </c>
      <c r="AU57" s="75">
        <f>(Input!AW126*0.1/0.2371*1000)</f>
        <v>2.319696330662168E-2</v>
      </c>
      <c r="AV57" s="75">
        <f>(Input!AX126*0.1/0.2371*1000)</f>
        <v>1.6026992830029525E-2</v>
      </c>
      <c r="AW57" s="75">
        <f>(Input!AY126*0.1/0.2371*1000)</f>
        <v>2.1509911429776468E-2</v>
      </c>
      <c r="AX57" s="75">
        <f>(Input!AZ126*0.1/0.2371*1000)</f>
        <v>1.6870518768452133E-2</v>
      </c>
      <c r="AY57" s="75">
        <f>(Input!BA126*0.1/0.2371*1000)</f>
        <v>1.8557570645297346E-2</v>
      </c>
      <c r="AZ57" s="75">
        <f>(Input!BB126*0.1/0.2371*1000)</f>
        <v>1.5605229860818219E-2</v>
      </c>
      <c r="BA57" s="75">
        <f>(Input!BC126*0.1/0.2371*1000)</f>
        <v>1.7714044706874738E-2</v>
      </c>
      <c r="BB57" s="75">
        <f>(Input!BD126*0.1/0.2371*1000)</f>
        <v>1.5605229860818219E-2</v>
      </c>
      <c r="BC57" s="75">
        <f>(Input!BE126*0.1/0.2371*1000)</f>
        <v>8.4352593842260664E-3</v>
      </c>
      <c r="BD57" s="75">
        <f>(Input!BF126*0.1/0.2371*1000)</f>
        <v>8.7304934626739772E-2</v>
      </c>
      <c r="BE57" s="75">
        <f>(Input!BG126*0.1/0.2371*1000)</f>
        <v>0.19907212146773512</v>
      </c>
      <c r="BF57" s="75">
        <f>(Input!BH126*0.1/0.2371*1000)</f>
        <v>0.20118093631379166</v>
      </c>
      <c r="BG57" s="75">
        <f>(Input!BI126*0.1/0.2371*1000)</f>
        <v>7.169970476592155E-3</v>
      </c>
      <c r="BH57" s="75">
        <f>(Input!BJ126*0.1/0.2371*1000)</f>
        <v>7.5917334458034573E-3</v>
      </c>
      <c r="BI57" s="75">
        <f>(Input!BK126*0.1/0.2371*1000)</f>
        <v>0.10080134964150146</v>
      </c>
      <c r="BJ57" s="75">
        <f>(Input!BL126*0.1/0.2371*1000)</f>
        <v>0.33741037536904261</v>
      </c>
      <c r="BK57" s="75">
        <f>(Input!BM126*0.1/0.2371*1000)</f>
        <v>0.22648671446646984</v>
      </c>
      <c r="BL57" s="75">
        <f>(Input!BN126*0.1/0.2371*1000)</f>
        <v>0.67884015183466884</v>
      </c>
      <c r="BM57" s="64">
        <v>1.6095299999999999</v>
      </c>
      <c r="BN57" s="64">
        <v>1.14758</v>
      </c>
      <c r="BO57" s="75">
        <f>(Input!BQ126*0.1/0.2371*1000)</f>
        <v>4.048924504428511E-2</v>
      </c>
      <c r="BP57" s="75">
        <f>(Input!BR126*0.1/0.2371*1000)</f>
        <v>7.2121467735132866E-2</v>
      </c>
    </row>
    <row r="58" spans="1:68" x14ac:dyDescent="0.3">
      <c r="A58" s="52" t="s">
        <v>73</v>
      </c>
      <c r="B58" s="75">
        <f>(Input!B127*0.1/0.1656*1000)</f>
        <v>69.806763285024161</v>
      </c>
      <c r="C58" s="75">
        <f>(Input!C127*0.1/0.1656*1000)</f>
        <v>1766.304347826087</v>
      </c>
      <c r="D58" s="75">
        <f>(Input!D127*0.1/0.1656*1000)</f>
        <v>54.595410628019316</v>
      </c>
      <c r="E58" s="75">
        <f>(Input!E127*0.1/0.1656*1000)</f>
        <v>1198.0676328502418</v>
      </c>
      <c r="F58" s="75">
        <f>(Input!F127*0.1/0.1656*1000)</f>
        <v>17016.908212560389</v>
      </c>
      <c r="G58" s="75">
        <f>(Input!G127*0.1/0.1656*1000)</f>
        <v>16642.512077294687</v>
      </c>
      <c r="H58" s="64">
        <v>1.11409</v>
      </c>
      <c r="I58" s="64">
        <v>1.0791299999999999</v>
      </c>
      <c r="J58" s="75">
        <f>(Input!J127*0.1/0.1656*1000)</f>
        <v>74.698067632850254</v>
      </c>
      <c r="K58" s="75">
        <f>(Input!L127*0.1/0.1656*1000)</f>
        <v>5.8466183574879222</v>
      </c>
      <c r="L58" s="75">
        <f>(Input!M127*0.1/0.1656*1000)</f>
        <v>0.87983091787439627</v>
      </c>
      <c r="M58" s="75">
        <f>(Input!N127*0.1/0.1656*1000)</f>
        <v>19.7524154589372</v>
      </c>
      <c r="N58" s="75">
        <f>(Input!O127*0.1/0.1656*1000)</f>
        <v>118.65942028985509</v>
      </c>
      <c r="O58" s="75">
        <f>(Input!P127*0.1/0.1656*1000)</f>
        <v>9.0579710144927522E-2</v>
      </c>
      <c r="P58" s="75">
        <f>(Input!Q127*0.1/0.1656*1000)</f>
        <v>1.2047101449275364</v>
      </c>
      <c r="Q58" s="75">
        <f>(Input!R127*0.1/0.1656*1000)</f>
        <v>8.4420289855072479</v>
      </c>
      <c r="R58" s="75">
        <f>(Input!S127*0.1/0.1656*1000)</f>
        <v>5.1195652173913038</v>
      </c>
      <c r="S58" s="75">
        <f>(Input!T127*0.1/0.1656*1000)</f>
        <v>0.31400966183574885</v>
      </c>
      <c r="T58" s="64">
        <v>1.0461199999999999</v>
      </c>
      <c r="U58" s="64">
        <v>0.96020000000000005</v>
      </c>
      <c r="V58" s="75">
        <f>(Input!W127*0.1/0.1656*1000)</f>
        <v>2.415458937198068E-2</v>
      </c>
      <c r="W58" s="75">
        <f>(Input!X127*0.1/0.1656*1000)</f>
        <v>2.543478260869565</v>
      </c>
      <c r="X58" s="75">
        <f>(Input!Y127*0.1/0.1656*1000)</f>
        <v>5.2397342995169076</v>
      </c>
      <c r="Y58" s="75">
        <f>(Input!Z127*0.1/0.1656*1000)</f>
        <v>53.490338164251206</v>
      </c>
      <c r="Z58" s="64">
        <v>1.08179</v>
      </c>
      <c r="AA58" s="64">
        <v>1.1072299999999999</v>
      </c>
      <c r="AB58" s="75">
        <f>(Input!AC127*0.1/0.1656*1000)</f>
        <v>1.0869565217391304E-2</v>
      </c>
      <c r="AC58" s="75">
        <f>(Input!AD127*0.1/0.1656*1000)</f>
        <v>0.33212560386473439</v>
      </c>
      <c r="AD58" s="75">
        <f>(Input!AE127*0.1/0.1656*1000)</f>
        <v>0</v>
      </c>
      <c r="AE58" s="75">
        <f>(Input!AF127*0.1/0.1656*1000)</f>
        <v>1.2077294685990338E-3</v>
      </c>
      <c r="AF58" s="75">
        <f>(Input!AG127*0.1/0.1656*1000)</f>
        <v>1.3285024154589372E-2</v>
      </c>
      <c r="AG58" s="75">
        <f>(Input!AH127*0.1/0.1656*1000)</f>
        <v>4.1666666666666678E-2</v>
      </c>
      <c r="AH58" s="75">
        <f>(Input!AI127*0.1/0.1656*1000)</f>
        <v>0.11292270531400968</v>
      </c>
      <c r="AI58" s="64">
        <v>0.99158999999999997</v>
      </c>
      <c r="AJ58" s="64">
        <v>1.1009</v>
      </c>
      <c r="AK58" s="75">
        <f>(Input!AL127*0.1/0.1656*1000)</f>
        <v>1.2681159420289858E-2</v>
      </c>
      <c r="AL58" s="75">
        <f>(Input!AM127*0.1/0.1656*1000)</f>
        <v>0</v>
      </c>
      <c r="AM58" s="75">
        <f>(Input!AN127*0.1/0.1656*1000)</f>
        <v>6.4613526570048319E-2</v>
      </c>
      <c r="AN58" s="75">
        <f>(Input!AO127*0.1/0.1656*1000)</f>
        <v>8.7258454106280201</v>
      </c>
      <c r="AO58" s="75">
        <f>(Input!AQ127*0.1/0.1656*1000)</f>
        <v>6.7028985507246369E-2</v>
      </c>
      <c r="AP58" s="75">
        <f>(Input!AR127*0.1/0.1656*1000)</f>
        <v>0.11352657004830917</v>
      </c>
      <c r="AQ58" s="75">
        <f>(Input!AS127*0.1/0.1656*1000)</f>
        <v>1.3285024154589372E-2</v>
      </c>
      <c r="AR58" s="75">
        <f>(Input!AT127*0.1/0.1656*1000)</f>
        <v>5.072463768115943E-2</v>
      </c>
      <c r="AS58" s="75">
        <f>(Input!AU127*0.1/0.1656*1000)</f>
        <v>9.6618357487922701E-3</v>
      </c>
      <c r="AT58" s="75">
        <f>(Input!AV127*0.1/0.1656*1000)</f>
        <v>3.0193236714975849E-3</v>
      </c>
      <c r="AU58" s="75">
        <f>(Input!AW127*0.1/0.1656*1000)</f>
        <v>9.057971014492754E-3</v>
      </c>
      <c r="AV58" s="75">
        <f>(Input!AX127*0.1/0.1656*1000)</f>
        <v>1.2077294685990338E-3</v>
      </c>
      <c r="AW58" s="75">
        <f>(Input!AY127*0.1/0.1656*1000)</f>
        <v>6.0386473429951699E-3</v>
      </c>
      <c r="AX58" s="75">
        <f>(Input!AZ127*0.1/0.1656*1000)</f>
        <v>1.2077294685990338E-3</v>
      </c>
      <c r="AY58" s="75">
        <f>(Input!BA127*0.1/0.1656*1000)</f>
        <v>3.6231884057971019E-3</v>
      </c>
      <c r="AZ58" s="75">
        <f>(Input!BB127*0.1/0.1656*1000)</f>
        <v>6.0386473429951688E-4</v>
      </c>
      <c r="BA58" s="75">
        <f>(Input!BC127*0.1/0.1656*1000)</f>
        <v>2.4154589371980675E-3</v>
      </c>
      <c r="BB58" s="75">
        <f>(Input!BD127*0.1/0.1656*1000)</f>
        <v>6.0386473429951688E-4</v>
      </c>
      <c r="BC58" s="75">
        <f>(Input!BE127*0.1/0.1656*1000)</f>
        <v>6.0386473429951688E-4</v>
      </c>
      <c r="BD58" s="75">
        <f>(Input!BF127*0.1/0.1656*1000)</f>
        <v>3.3816425120772951E-2</v>
      </c>
      <c r="BE58" s="75">
        <f>(Input!BG127*0.1/0.1656*1000)</f>
        <v>0.14794685990338163</v>
      </c>
      <c r="BF58" s="75">
        <f>(Input!BH127*0.1/0.1656*1000)</f>
        <v>0.15157004830917875</v>
      </c>
      <c r="BG58" s="75">
        <f>(Input!BI127*0.1/0.1656*1000)</f>
        <v>0</v>
      </c>
      <c r="BH58" s="75">
        <f>(Input!BJ127*0.1/0.1656*1000)</f>
        <v>0</v>
      </c>
      <c r="BI58" s="75">
        <f>(Input!BK127*0.1/0.1656*1000)</f>
        <v>8.5748792270531393E-2</v>
      </c>
      <c r="BJ58" s="75">
        <f>(Input!BL127*0.1/0.1656*1000)</f>
        <v>1.2077294685990338E-3</v>
      </c>
      <c r="BK58" s="75">
        <f>(Input!BM127*0.1/0.1656*1000)</f>
        <v>0.18538647342995171</v>
      </c>
      <c r="BL58" s="75">
        <f>(Input!BN127*0.1/0.1656*1000)</f>
        <v>0.57395531400966193</v>
      </c>
      <c r="BM58" s="64">
        <v>0.95047000000000004</v>
      </c>
      <c r="BN58" s="64">
        <v>1.0664899999999999</v>
      </c>
      <c r="BO58" s="75">
        <f>(Input!BQ127*0.1/0.1656*1000)</f>
        <v>1.570048309178744E-2</v>
      </c>
      <c r="BP58" s="75">
        <f>(Input!BR127*0.1/0.1656*1000)</f>
        <v>4.2270531400966189E-3</v>
      </c>
    </row>
    <row r="59" spans="1:68" x14ac:dyDescent="0.3">
      <c r="A59" s="52" t="s">
        <v>74</v>
      </c>
      <c r="B59" s="75">
        <f>(Input!B128*0.1/0.2515*1000)</f>
        <v>32.258449304174952</v>
      </c>
      <c r="C59" s="75">
        <f>(Input!C128*0.1/0.2515*1000)</f>
        <v>2128.031809145129</v>
      </c>
      <c r="D59" s="75">
        <f>(Input!D128*0.1/0.2515*1000)</f>
        <v>60.795228628230618</v>
      </c>
      <c r="E59" s="75">
        <f>(Input!E128*0.1/0.2515*1000)</f>
        <v>1455.2683896620281</v>
      </c>
      <c r="F59" s="75">
        <f>(Input!F128*0.1/0.2515*1000)</f>
        <v>19184.890656063621</v>
      </c>
      <c r="G59" s="75">
        <f>(Input!G128*0.1/0.2515*1000)</f>
        <v>17988.07157057654</v>
      </c>
      <c r="H59" s="64">
        <v>1.13629</v>
      </c>
      <c r="I59" s="64">
        <v>1.1220600000000001</v>
      </c>
      <c r="J59" s="75">
        <f>(Input!J128*0.1/0.2515*1000)</f>
        <v>93.9165009940358</v>
      </c>
      <c r="K59" s="75">
        <f>(Input!L128*0.1/0.2515*1000)</f>
        <v>4.2743538767395624</v>
      </c>
      <c r="L59" s="75">
        <f>(Input!M128*0.1/0.2515*1000)</f>
        <v>0.6353876739562625</v>
      </c>
      <c r="M59" s="75">
        <f>(Input!N128*0.1/0.2515*1000)</f>
        <v>55.467196819085494</v>
      </c>
      <c r="N59" s="75">
        <f>(Input!O128*0.1/0.2515*1000)</f>
        <v>110.77534791252486</v>
      </c>
      <c r="O59" s="75">
        <f>(Input!P128*0.1/0.2515*1000)</f>
        <v>0.16262425447316101</v>
      </c>
      <c r="P59" s="75">
        <f>(Input!Q128*0.1/0.2515*1000)</f>
        <v>2.3594433399602384</v>
      </c>
      <c r="Q59" s="75">
        <f>(Input!R128*0.1/0.2515*1000)</f>
        <v>8.1669980119284293</v>
      </c>
      <c r="R59" s="75">
        <f>(Input!S128*0.1/0.2515*1000)</f>
        <v>7.0974155069582503</v>
      </c>
      <c r="S59" s="75">
        <f>(Input!T128*0.1/0.2515*1000)</f>
        <v>7.5149105367793248E-2</v>
      </c>
      <c r="T59" s="64">
        <v>1.03207</v>
      </c>
      <c r="U59" s="64">
        <v>0.97797000000000001</v>
      </c>
      <c r="V59" s="75">
        <f>(Input!W128*0.1/0.2515*1000)</f>
        <v>3.8568588469184893E-2</v>
      </c>
      <c r="W59" s="75">
        <f>(Input!X128*0.1/0.2515*1000)</f>
        <v>3.1455268389662026</v>
      </c>
      <c r="X59" s="75">
        <f>(Input!Y128*0.1/0.2515*1000)</f>
        <v>16.246520874751489</v>
      </c>
      <c r="Y59" s="75">
        <f>(Input!Z128*0.1/0.2515*1000)</f>
        <v>46.560636182902584</v>
      </c>
      <c r="Z59" s="64">
        <v>1.0991</v>
      </c>
      <c r="AA59" s="64">
        <v>1.14181</v>
      </c>
      <c r="AB59" s="75">
        <f>(Input!AC128*0.1/0.2515*1000)</f>
        <v>8.7475149105367793E-3</v>
      </c>
      <c r="AC59" s="75">
        <f>(Input!AD128*0.1/0.2515*1000)</f>
        <v>0.21669980119284296</v>
      </c>
      <c r="AD59" s="75">
        <f>(Input!AE128*0.1/0.2515*1000)</f>
        <v>0</v>
      </c>
      <c r="AE59" s="75">
        <f>(Input!AF128*0.1/0.2515*1000)</f>
        <v>7.9522862823061622E-4</v>
      </c>
      <c r="AF59" s="75">
        <f>(Input!AG128*0.1/0.2515*1000)</f>
        <v>1.272365805168986E-2</v>
      </c>
      <c r="AG59" s="75">
        <f>(Input!AH128*0.1/0.2515*1000)</f>
        <v>0.17296222664015903</v>
      </c>
      <c r="AH59" s="75">
        <f>(Input!AI128*0.1/0.2515*1000)</f>
        <v>7.992047713717694E-2</v>
      </c>
      <c r="AI59" s="64">
        <v>1.00715</v>
      </c>
      <c r="AJ59" s="64">
        <v>1.13266</v>
      </c>
      <c r="AK59" s="75">
        <f>(Input!AL128*0.1/0.2515*1000)</f>
        <v>9.9403578528827041E-3</v>
      </c>
      <c r="AL59" s="75">
        <f>(Input!AM128*0.1/0.2515*1000)</f>
        <v>0</v>
      </c>
      <c r="AM59" s="75">
        <f>(Input!AN128*0.1/0.2515*1000)</f>
        <v>0.11928429423459244</v>
      </c>
      <c r="AN59" s="75">
        <f>(Input!AO128*0.1/0.2515*1000)</f>
        <v>1.8548707753479126</v>
      </c>
      <c r="AO59" s="75">
        <f>(Input!AQ128*0.1/0.2515*1000)</f>
        <v>5.5666003976143144E-2</v>
      </c>
      <c r="AP59" s="75">
        <f>(Input!AR128*0.1/0.2515*1000)</f>
        <v>9.7415506958250506E-2</v>
      </c>
      <c r="AQ59" s="75">
        <f>(Input!AS128*0.1/0.2515*1000)</f>
        <v>1.2326043737574554E-2</v>
      </c>
      <c r="AR59" s="75">
        <f>(Input!AT128*0.1/0.2515*1000)</f>
        <v>4.5328031809145131E-2</v>
      </c>
      <c r="AS59" s="75">
        <f>(Input!AU128*0.1/0.2515*1000)</f>
        <v>9.145129224652087E-3</v>
      </c>
      <c r="AT59" s="75">
        <f>(Input!AV128*0.1/0.2515*1000)</f>
        <v>1.5904572564612324E-3</v>
      </c>
      <c r="AU59" s="75">
        <f>(Input!AW128*0.1/0.2515*1000)</f>
        <v>7.9522862823061639E-3</v>
      </c>
      <c r="AV59" s="75">
        <f>(Input!AX128*0.1/0.2515*1000)</f>
        <v>1.1928429423459245E-3</v>
      </c>
      <c r="AW59" s="75">
        <f>(Input!AY128*0.1/0.2515*1000)</f>
        <v>5.5666003976143144E-3</v>
      </c>
      <c r="AX59" s="75">
        <f>(Input!AZ128*0.1/0.2515*1000)</f>
        <v>1.5904572564612324E-3</v>
      </c>
      <c r="AY59" s="75">
        <f>(Input!BA128*0.1/0.2515*1000)</f>
        <v>3.1809145129224649E-3</v>
      </c>
      <c r="AZ59" s="75">
        <f>(Input!BB128*0.1/0.2515*1000)</f>
        <v>3.9761431411530811E-4</v>
      </c>
      <c r="BA59" s="75">
        <f>(Input!BC128*0.1/0.2515*1000)</f>
        <v>2.7833001988071572E-3</v>
      </c>
      <c r="BB59" s="75">
        <f>(Input!BD128*0.1/0.2515*1000)</f>
        <v>3.9761431411530811E-4</v>
      </c>
      <c r="BC59" s="75">
        <f>(Input!BE128*0.1/0.2515*1000)</f>
        <v>3.9761431411530811E-4</v>
      </c>
      <c r="BD59" s="75">
        <f>(Input!BF128*0.1/0.2515*1000)</f>
        <v>3.4592445328031803E-2</v>
      </c>
      <c r="BE59" s="75">
        <f>(Input!BG128*0.1/0.2515*1000)</f>
        <v>0.14831013916500996</v>
      </c>
      <c r="BF59" s="75">
        <f>(Input!BH128*0.1/0.2515*1000)</f>
        <v>0.15506958250497019</v>
      </c>
      <c r="BG59" s="75">
        <f>(Input!BI128*0.1/0.2515*1000)</f>
        <v>0</v>
      </c>
      <c r="BH59" s="75">
        <f>(Input!BJ128*0.1/0.2515*1000)</f>
        <v>0</v>
      </c>
      <c r="BI59" s="75">
        <f>(Input!BK128*0.1/0.2515*1000)</f>
        <v>9.1053677932405583E-2</v>
      </c>
      <c r="BJ59" s="75">
        <f>(Input!BL128*0.1/0.2515*1000)</f>
        <v>1.5904572564612324E-3</v>
      </c>
      <c r="BK59" s="75">
        <f>(Input!BM128*0.1/0.2515*1000)</f>
        <v>0.31491053677932412</v>
      </c>
      <c r="BL59" s="75">
        <f>(Input!BN128*0.1/0.2515*1000)</f>
        <v>0.37614711729622274</v>
      </c>
      <c r="BM59" s="64">
        <v>0.94601000000000002</v>
      </c>
      <c r="BN59" s="64">
        <v>1.07226</v>
      </c>
      <c r="BO59" s="75">
        <f>(Input!BQ128*0.1/0.2515*1000)</f>
        <v>2.7833001988071572E-2</v>
      </c>
      <c r="BP59" s="75">
        <f>(Input!BR128*0.1/0.2515*1000)</f>
        <v>3.976143141153082E-3</v>
      </c>
    </row>
    <row r="60" spans="1:68" x14ac:dyDescent="0.3">
      <c r="A60" s="52" t="s">
        <v>75</v>
      </c>
      <c r="B60" s="75">
        <f>(Input!B129*0.1/0.2576*1000)</f>
        <v>188.04347826086959</v>
      </c>
      <c r="C60" s="75">
        <f>(Input!C129*0.1/0.2576*1000)</f>
        <v>2481.3664596273293</v>
      </c>
      <c r="D60" s="75">
        <f>(Input!D129*0.1/0.2576*1000)</f>
        <v>54.386645962732928</v>
      </c>
      <c r="E60" s="75">
        <f>(Input!E129*0.1/0.2576*1000)</f>
        <v>1003.105590062112</v>
      </c>
      <c r="F60" s="75">
        <f>(Input!F129*0.1/0.2576*1000)</f>
        <v>20962.73291925466</v>
      </c>
      <c r="G60" s="75">
        <f>(Input!G129*0.1/0.2576*1000)</f>
        <v>11836.180124223603</v>
      </c>
      <c r="H60" s="64">
        <v>1.16238</v>
      </c>
      <c r="I60" s="64">
        <v>1.15117</v>
      </c>
      <c r="J60" s="75">
        <f>(Input!J129*0.1/0.2576*1000)</f>
        <v>51.552795031055901</v>
      </c>
      <c r="K60" s="75">
        <f>(Input!L129*0.1/0.2576*1000)</f>
        <v>4.0527950310559007</v>
      </c>
      <c r="L60" s="75">
        <f>(Input!M129*0.1/0.2576*1000)</f>
        <v>0.51319875776397528</v>
      </c>
      <c r="M60" s="75">
        <f>(Input!N129*0.1/0.2576*1000)</f>
        <v>18.194875776397517</v>
      </c>
      <c r="N60" s="75">
        <f>(Input!O129*0.1/0.2576*1000)</f>
        <v>115.33385093167703</v>
      </c>
      <c r="O60" s="75">
        <f>(Input!P129*0.1/0.2576*1000)</f>
        <v>8.850931677018635E-2</v>
      </c>
      <c r="P60" s="75">
        <f>(Input!Q129*0.1/0.2576*1000)</f>
        <v>1.3571428571428574</v>
      </c>
      <c r="Q60" s="75">
        <f>(Input!R129*0.1/0.2576*1000)</f>
        <v>3.1114130434782612</v>
      </c>
      <c r="R60" s="75">
        <f>(Input!S129*0.1/0.2576*1000)</f>
        <v>5.0465838509316772</v>
      </c>
      <c r="S60" s="75">
        <f>(Input!T129*0.1/0.2576*1000)</f>
        <v>0.38936335403726713</v>
      </c>
      <c r="T60" s="64">
        <v>1.05152</v>
      </c>
      <c r="U60" s="64">
        <v>1.0039199999999999</v>
      </c>
      <c r="V60" s="75">
        <f>(Input!W129*0.1/0.2576*1000)</f>
        <v>4.6972049689440999E-2</v>
      </c>
      <c r="W60" s="75">
        <f>(Input!X129*0.1/0.2576*1000)</f>
        <v>1.956521739130435</v>
      </c>
      <c r="X60" s="75">
        <f>(Input!Y129*0.1/0.2576*1000)</f>
        <v>4.5652173913043486</v>
      </c>
      <c r="Y60" s="75">
        <f>(Input!Z129*0.1/0.2576*1000)</f>
        <v>142.93478260869566</v>
      </c>
      <c r="Z60" s="64">
        <v>1.1148</v>
      </c>
      <c r="AA60" s="64">
        <v>1.16439</v>
      </c>
      <c r="AB60" s="75">
        <f>(Input!AC129*0.1/0.2576*1000)</f>
        <v>8.9285714285714298E-3</v>
      </c>
      <c r="AC60" s="75">
        <f>(Input!AD129*0.1/0.2576*1000)</f>
        <v>0.31909937888198758</v>
      </c>
      <c r="AD60" s="75">
        <f>(Input!AE129*0.1/0.2576*1000)</f>
        <v>3.8819875776397518E-4</v>
      </c>
      <c r="AE60" s="75">
        <f>(Input!AF129*0.1/0.2576*1000)</f>
        <v>2.3291925465838514E-3</v>
      </c>
      <c r="AF60" s="75">
        <f>(Input!AG129*0.1/0.2576*1000)</f>
        <v>3.4549689440993785E-2</v>
      </c>
      <c r="AG60" s="75">
        <f>(Input!AH129*0.1/0.2576*1000)</f>
        <v>7.3757763975155289E-3</v>
      </c>
      <c r="AH60" s="75">
        <f>(Input!AI129*0.1/0.2576*1000)</f>
        <v>4.5419254658385096E-2</v>
      </c>
      <c r="AI60" s="64">
        <v>1.01542</v>
      </c>
      <c r="AJ60" s="64">
        <v>1.1492599999999999</v>
      </c>
      <c r="AK60" s="75">
        <f>(Input!AL129*0.1/0.2576*1000)</f>
        <v>1.3586956521739132E-2</v>
      </c>
      <c r="AL60" s="75">
        <f>(Input!AM129*0.1/0.2576*1000)</f>
        <v>7.7639751552795037E-4</v>
      </c>
      <c r="AM60" s="75">
        <f>(Input!AN129*0.1/0.2576*1000)</f>
        <v>3.027950310559006E-2</v>
      </c>
      <c r="AN60" s="75">
        <f>(Input!AO129*0.1/0.2576*1000)</f>
        <v>10.574534161490684</v>
      </c>
      <c r="AO60" s="75">
        <f>(Input!AQ129*0.1/0.2576*1000)</f>
        <v>5.9782608695652183E-2</v>
      </c>
      <c r="AP60" s="75">
        <f>(Input!AR129*0.1/0.2576*1000)</f>
        <v>9.5885093167701871E-2</v>
      </c>
      <c r="AQ60" s="75">
        <f>(Input!AS129*0.1/0.2576*1000)</f>
        <v>1.1257763975155282E-2</v>
      </c>
      <c r="AR60" s="75">
        <f>(Input!AT129*0.1/0.2576*1000)</f>
        <v>4.192546583850932E-2</v>
      </c>
      <c r="AS60" s="75">
        <f>(Input!AU129*0.1/0.2576*1000)</f>
        <v>8.1521739130434798E-3</v>
      </c>
      <c r="AT60" s="75">
        <f>(Input!AV129*0.1/0.2576*1000)</f>
        <v>3.4937888198757761E-3</v>
      </c>
      <c r="AU60" s="75">
        <f>(Input!AW129*0.1/0.2576*1000)</f>
        <v>7.3757763975155289E-3</v>
      </c>
      <c r="AV60" s="75">
        <f>(Input!AX129*0.1/0.2576*1000)</f>
        <v>1.5527950310559007E-3</v>
      </c>
      <c r="AW60" s="75">
        <f>(Input!AY129*0.1/0.2576*1000)</f>
        <v>5.4347826086956529E-3</v>
      </c>
      <c r="AX60" s="75">
        <f>(Input!AZ129*0.1/0.2576*1000)</f>
        <v>1.1645962732919257E-3</v>
      </c>
      <c r="AY60" s="75">
        <f>(Input!BA129*0.1/0.2576*1000)</f>
        <v>3.1055900621118015E-3</v>
      </c>
      <c r="AZ60" s="75">
        <f>(Input!BB129*0.1/0.2576*1000)</f>
        <v>3.8819875776397518E-4</v>
      </c>
      <c r="BA60" s="75">
        <f>(Input!BC129*0.1/0.2576*1000)</f>
        <v>2.7173913043478264E-3</v>
      </c>
      <c r="BB60" s="75">
        <f>(Input!BD129*0.1/0.2576*1000)</f>
        <v>3.8819875776397518E-4</v>
      </c>
      <c r="BC60" s="75">
        <f>(Input!BE129*0.1/0.2576*1000)</f>
        <v>3.8819875776397518E-4</v>
      </c>
      <c r="BD60" s="75">
        <f>(Input!BF129*0.1/0.2576*1000)</f>
        <v>3.1055900621118019E-2</v>
      </c>
      <c r="BE60" s="75">
        <f>(Input!BG129*0.1/0.2576*1000)</f>
        <v>2.8338509316770188E-2</v>
      </c>
      <c r="BF60" s="75">
        <f>(Input!BH129*0.1/0.2576*1000)</f>
        <v>2.9114906832298136E-2</v>
      </c>
      <c r="BG60" s="75">
        <f>(Input!BI129*0.1/0.2576*1000)</f>
        <v>0</v>
      </c>
      <c r="BH60" s="75">
        <f>(Input!BJ129*0.1/0.2576*1000)</f>
        <v>0</v>
      </c>
      <c r="BI60" s="75">
        <f>(Input!BK129*0.1/0.2576*1000)</f>
        <v>4.5031055900621127E-2</v>
      </c>
      <c r="BJ60" s="75">
        <f>(Input!BL129*0.1/0.2576*1000)</f>
        <v>7.7639751552795037E-4</v>
      </c>
      <c r="BK60" s="75">
        <f>(Input!BM129*0.1/0.2576*1000)</f>
        <v>0.22787267080745341</v>
      </c>
      <c r="BL60" s="75">
        <f>(Input!BN129*0.1/0.2576*1000)</f>
        <v>0.37049689440993794</v>
      </c>
      <c r="BM60" s="64">
        <v>0.95440000000000003</v>
      </c>
      <c r="BN60" s="64">
        <v>1.0849299999999999</v>
      </c>
      <c r="BO60" s="75">
        <f>(Input!BQ129*0.1/0.2576*1000)</f>
        <v>1.2034161490683232E-2</v>
      </c>
      <c r="BP60" s="75">
        <f>(Input!BR129*0.1/0.2576*1000)</f>
        <v>4.6583850931677028E-3</v>
      </c>
    </row>
    <row r="61" spans="1:68" x14ac:dyDescent="0.3">
      <c r="A61" s="52" t="s">
        <v>76</v>
      </c>
      <c r="B61" s="75">
        <f>(Input!B130*0.1/0.2535*1000)</f>
        <v>98.461538461538467</v>
      </c>
      <c r="C61" s="75">
        <f>(Input!C130*0.1/0.2535*1000)</f>
        <v>2635.1084812623276</v>
      </c>
      <c r="D61" s="75">
        <f>(Input!D130*0.1/0.2535*1000)</f>
        <v>116.33136094674556</v>
      </c>
      <c r="E61" s="75">
        <f>(Input!E130*0.1/0.2535*1000)</f>
        <v>1704.5364891518736</v>
      </c>
      <c r="F61" s="75">
        <f>(Input!F130*0.1/0.2535*1000)</f>
        <v>17147.928994082842</v>
      </c>
      <c r="G61" s="75">
        <f>(Input!G130*0.1/0.2535*1000)</f>
        <v>22915.187376725844</v>
      </c>
      <c r="H61" s="64">
        <v>1.18079</v>
      </c>
      <c r="I61" s="64">
        <v>1.1756</v>
      </c>
      <c r="J61" s="75">
        <f>(Input!J130*0.1/0.2535*1000)</f>
        <v>123.43195266272188</v>
      </c>
      <c r="K61" s="75">
        <f>(Input!L130*0.1/0.2535*1000)</f>
        <v>7.818540433925051</v>
      </c>
      <c r="L61" s="75">
        <f>(Input!M130*0.1/0.2535*1000)</f>
        <v>1.1846153846153846</v>
      </c>
      <c r="M61" s="75">
        <f>(Input!N130*0.1/0.2535*1000)</f>
        <v>44.102564102564109</v>
      </c>
      <c r="N61" s="75">
        <f>(Input!O130*0.1/0.2535*1000)</f>
        <v>189.70414201183434</v>
      </c>
      <c r="O61" s="75">
        <f>(Input!P130*0.1/0.2535*1000)</f>
        <v>0.13333333333333333</v>
      </c>
      <c r="P61" s="75">
        <f>(Input!Q130*0.1/0.2535*1000)</f>
        <v>2.7151873767258383</v>
      </c>
      <c r="Q61" s="75">
        <f>(Input!R130*0.1/0.2535*1000)</f>
        <v>11.057199211045365</v>
      </c>
      <c r="R61" s="75">
        <f>(Input!S130*0.1/0.2535*1000)</f>
        <v>16.011834319526628</v>
      </c>
      <c r="S61" s="75">
        <f>(Input!T130*0.1/0.2535*1000)</f>
        <v>0.57751479289940832</v>
      </c>
      <c r="T61" s="64">
        <v>1.05714</v>
      </c>
      <c r="U61" s="64">
        <v>0.99994000000000005</v>
      </c>
      <c r="V61" s="75">
        <f>(Input!W130*0.1/0.2535*1000)</f>
        <v>7.8895463510848141E-2</v>
      </c>
      <c r="W61" s="75">
        <f>(Input!X130*0.1/0.2535*1000)</f>
        <v>11.037475345167653</v>
      </c>
      <c r="X61" s="75">
        <f>(Input!Y130*0.1/0.2535*1000)</f>
        <v>8.2327416173570001</v>
      </c>
      <c r="Y61" s="75">
        <f>(Input!Z130*0.1/0.2535*1000)</f>
        <v>75.502958579881678</v>
      </c>
      <c r="Z61" s="64">
        <v>1.13188</v>
      </c>
      <c r="AA61" s="64">
        <v>1.18855</v>
      </c>
      <c r="AB61" s="75">
        <f>(Input!AC130*0.1/0.2535*1000)</f>
        <v>1.5384615384615384E-2</v>
      </c>
      <c r="AC61" s="75">
        <f>(Input!AD130*0.1/0.2535*1000)</f>
        <v>0.32702169625246552</v>
      </c>
      <c r="AD61" s="75">
        <f>(Input!AE130*0.1/0.2535*1000)</f>
        <v>0</v>
      </c>
      <c r="AE61" s="75">
        <f>(Input!AF130*0.1/0.2535*1000)</f>
        <v>1.5779092702169625E-3</v>
      </c>
      <c r="AF61" s="75">
        <f>(Input!AG130*0.1/0.2535*1000)</f>
        <v>2.1301775147928994E-2</v>
      </c>
      <c r="AG61" s="75">
        <f>(Input!AH130*0.1/0.2535*1000)</f>
        <v>0.10177514792899409</v>
      </c>
      <c r="AH61" s="75">
        <f>(Input!AI130*0.1/0.2535*1000)</f>
        <v>4.4970414201183431E-2</v>
      </c>
      <c r="AI61" s="64">
        <v>1.0277099999999999</v>
      </c>
      <c r="AJ61" s="64">
        <v>1.17109</v>
      </c>
      <c r="AK61" s="75">
        <f>(Input!AL130*0.1/0.2535*1000)</f>
        <v>2.2485207100591716E-2</v>
      </c>
      <c r="AL61" s="75">
        <f>(Input!AM130*0.1/0.2535*1000)</f>
        <v>1.5779092702169625E-3</v>
      </c>
      <c r="AM61" s="75">
        <f>(Input!AN130*0.1/0.2535*1000)</f>
        <v>8.2840236686390525E-2</v>
      </c>
      <c r="AN61" s="75">
        <f>(Input!AO130*0.1/0.2535*1000)</f>
        <v>15.250493096646943</v>
      </c>
      <c r="AO61" s="75">
        <f>(Input!AQ130*0.1/0.2535*1000)</f>
        <v>0.10927021696252466</v>
      </c>
      <c r="AP61" s="75">
        <f>(Input!AR130*0.1/0.2535*1000)</f>
        <v>0.18698224852071008</v>
      </c>
      <c r="AQ61" s="75">
        <f>(Input!AS130*0.1/0.2535*1000)</f>
        <v>2.4063116370808678E-2</v>
      </c>
      <c r="AR61" s="75">
        <f>(Input!AT130*0.1/0.2535*1000)</f>
        <v>9.1124260355029602E-2</v>
      </c>
      <c r="AS61" s="75">
        <f>(Input!AU130*0.1/0.2535*1000)</f>
        <v>1.7751479289940829E-2</v>
      </c>
      <c r="AT61" s="75">
        <f>(Input!AV130*0.1/0.2535*1000)</f>
        <v>5.5226824457593696E-3</v>
      </c>
      <c r="AU61" s="75">
        <f>(Input!AW130*0.1/0.2535*1000)</f>
        <v>1.617357001972387E-2</v>
      </c>
      <c r="AV61" s="75">
        <f>(Input!AX130*0.1/0.2535*1000)</f>
        <v>2.3668639053254438E-3</v>
      </c>
      <c r="AW61" s="75">
        <f>(Input!AY130*0.1/0.2535*1000)</f>
        <v>1.1834319526627219E-2</v>
      </c>
      <c r="AX61" s="75">
        <f>(Input!AZ130*0.1/0.2535*1000)</f>
        <v>2.3668639053254438E-3</v>
      </c>
      <c r="AY61" s="75">
        <f>(Input!BA130*0.1/0.2535*1000)</f>
        <v>6.3116370808678499E-3</v>
      </c>
      <c r="AZ61" s="75">
        <f>(Input!BB130*0.1/0.2535*1000)</f>
        <v>7.8895463510848124E-4</v>
      </c>
      <c r="BA61" s="75">
        <f>(Input!BC130*0.1/0.2535*1000)</f>
        <v>4.7337278106508876E-3</v>
      </c>
      <c r="BB61" s="75">
        <f>(Input!BD130*0.1/0.2535*1000)</f>
        <v>7.8895463510848124E-4</v>
      </c>
      <c r="BC61" s="75">
        <f>(Input!BE130*0.1/0.2535*1000)</f>
        <v>3.9447731755424062E-4</v>
      </c>
      <c r="BD61" s="75">
        <f>(Input!BF130*0.1/0.2535*1000)</f>
        <v>3.5502958579881658E-2</v>
      </c>
      <c r="BE61" s="75">
        <f>(Input!BG130*0.1/0.2535*1000)</f>
        <v>0.12781065088757396</v>
      </c>
      <c r="BF61" s="75">
        <f>(Input!BH130*0.1/0.2535*1000)</f>
        <v>0.13017751479289943</v>
      </c>
      <c r="BG61" s="75">
        <f>(Input!BI130*0.1/0.2535*1000)</f>
        <v>0</v>
      </c>
      <c r="BH61" s="75">
        <f>(Input!BJ130*0.1/0.2535*1000)</f>
        <v>3.9447731755424062E-4</v>
      </c>
      <c r="BI61" s="75">
        <f>(Input!BK130*0.1/0.2535*1000)</f>
        <v>8.5996055226824464E-2</v>
      </c>
      <c r="BJ61" s="75">
        <f>(Input!BL130*0.1/0.2535*1000)</f>
        <v>2.3668639053254438E-3</v>
      </c>
      <c r="BK61" s="75">
        <f>(Input!BM130*0.1/0.2535*1000)</f>
        <v>5.8067061143984233</v>
      </c>
      <c r="BL61" s="75">
        <f>(Input!BN130*0.1/0.2535*1000)</f>
        <v>0.3769072978303748</v>
      </c>
      <c r="BM61" s="64">
        <v>0.95545999999999998</v>
      </c>
      <c r="BN61" s="64">
        <v>1.08955</v>
      </c>
      <c r="BO61" s="75">
        <f>(Input!BQ130*0.1/0.2535*1000)</f>
        <v>2.9585798816568042E-2</v>
      </c>
      <c r="BP61" s="75">
        <f>(Input!BR130*0.1/0.2535*1000)</f>
        <v>5.5226824457593696E-3</v>
      </c>
    </row>
    <row r="62" spans="1:68" x14ac:dyDescent="0.3">
      <c r="A62" s="52" t="s">
        <v>77</v>
      </c>
      <c r="B62" s="75">
        <f>(Input!B131*0.1/0.2549*1000)</f>
        <v>167.00666928207139</v>
      </c>
      <c r="C62" s="75">
        <f>(Input!C131*0.1/0.2549*1000)</f>
        <v>1781.4829344841114</v>
      </c>
      <c r="D62" s="75">
        <f>(Input!D131*0.1/0.2549*1000)</f>
        <v>78.422910945468814</v>
      </c>
      <c r="E62" s="75">
        <f>(Input!E131*0.1/0.2549*1000)</f>
        <v>1054.5311887014516</v>
      </c>
      <c r="F62" s="75">
        <f>(Input!F131*0.1/0.2549*1000)</f>
        <v>24723.420949391919</v>
      </c>
      <c r="G62" s="75">
        <f>(Input!G131*0.1/0.2549*1000)</f>
        <v>27512.750098077675</v>
      </c>
      <c r="H62" s="64">
        <v>1.1830099999999999</v>
      </c>
      <c r="I62" s="64">
        <v>1.1763999999999999</v>
      </c>
      <c r="J62" s="75">
        <f>(Input!J131*0.1/0.2549*1000)</f>
        <v>149.15653197332284</v>
      </c>
      <c r="K62" s="75">
        <f>(Input!L131*0.1/0.2549*1000)</f>
        <v>5.6531973322871725</v>
      </c>
      <c r="L62" s="75">
        <f>(Input!M131*0.1/0.2549*1000)</f>
        <v>0.70969007453903488</v>
      </c>
      <c r="M62" s="75">
        <f>(Input!N131*0.1/0.2549*1000)</f>
        <v>14.723420949391919</v>
      </c>
      <c r="N62" s="75">
        <f>(Input!O131*0.1/0.2549*1000)</f>
        <v>134.48411141624163</v>
      </c>
      <c r="O62" s="75">
        <f>(Input!P131*0.1/0.2549*1000)</f>
        <v>0.11455472734405649</v>
      </c>
      <c r="P62" s="75">
        <f>(Input!Q131*0.1/0.2549*1000)</f>
        <v>1.6123970184386034</v>
      </c>
      <c r="Q62" s="75">
        <f>(Input!R131*0.1/0.2549*1000)</f>
        <v>6.206355433503334</v>
      </c>
      <c r="R62" s="75">
        <f>(Input!S131*0.1/0.2549*1000)</f>
        <v>19.513534719497841</v>
      </c>
      <c r="S62" s="75">
        <f>(Input!T131*0.1/0.2549*1000)</f>
        <v>0.43311102393095335</v>
      </c>
      <c r="T62" s="64">
        <v>1.0654600000000001</v>
      </c>
      <c r="U62" s="64">
        <v>1.0198</v>
      </c>
      <c r="V62" s="75">
        <f>(Input!W131*0.1/0.2549*1000)</f>
        <v>6.5123577873675953E-2</v>
      </c>
      <c r="W62" s="75">
        <f>(Input!X131*0.1/0.2549*1000)</f>
        <v>1.7187132208709299</v>
      </c>
      <c r="X62" s="75">
        <f>(Input!Y131*0.1/0.2549*1000)</f>
        <v>15.017653981953709</v>
      </c>
      <c r="Y62" s="75">
        <f>(Input!Z131*0.1/0.2549*1000)</f>
        <v>142.56571204393882</v>
      </c>
      <c r="Z62" s="64">
        <v>1.12527</v>
      </c>
      <c r="AA62" s="64">
        <v>1.1834499999999999</v>
      </c>
      <c r="AB62" s="75">
        <f>(Input!AC131*0.1/0.2549*1000)</f>
        <v>1.9615535504119264E-2</v>
      </c>
      <c r="AC62" s="75">
        <f>(Input!AD131*0.1/0.2549*1000)</f>
        <v>0.34719497842291092</v>
      </c>
      <c r="AD62" s="75">
        <f>(Input!AE131*0.1/0.2549*1000)</f>
        <v>7.8462142016477038E-4</v>
      </c>
      <c r="AE62" s="75">
        <f>(Input!AF131*0.1/0.2549*1000)</f>
        <v>2.3538642604943117E-3</v>
      </c>
      <c r="AF62" s="75">
        <f>(Input!AG131*0.1/0.2549*1000)</f>
        <v>3.6092585327579439E-2</v>
      </c>
      <c r="AG62" s="75">
        <f>(Input!AH131*0.1/0.2549*1000)</f>
        <v>9.0231463318948615E-2</v>
      </c>
      <c r="AH62" s="75">
        <f>(Input!AI131*0.1/0.2549*1000)</f>
        <v>6.1592781482934476E-2</v>
      </c>
      <c r="AI62" s="64">
        <v>1.0128699999999999</v>
      </c>
      <c r="AJ62" s="64">
        <v>1.1617999999999999</v>
      </c>
      <c r="AK62" s="75">
        <f>(Input!AL131*0.1/0.2549*1000)</f>
        <v>2.903099254609651E-2</v>
      </c>
      <c r="AL62" s="75">
        <f>(Input!AM131*0.1/0.2549*1000)</f>
        <v>-7.8462142016477038E-4</v>
      </c>
      <c r="AM62" s="75">
        <f>(Input!AN131*0.1/0.2549*1000)</f>
        <v>8.1208316987053747E-2</v>
      </c>
      <c r="AN62" s="75">
        <f>(Input!AO131*0.1/0.2549*1000)</f>
        <v>11.785013730874853</v>
      </c>
      <c r="AO62" s="75">
        <f>(Input!AQ131*0.1/0.2549*1000)</f>
        <v>7.4146724205570821E-2</v>
      </c>
      <c r="AP62" s="75">
        <f>(Input!AR131*0.1/0.2549*1000)</f>
        <v>0.12279325225578658</v>
      </c>
      <c r="AQ62" s="75">
        <f>(Input!AS131*0.1/0.2549*1000)</f>
        <v>1.6084739113377794E-2</v>
      </c>
      <c r="AR62" s="75">
        <f>(Input!AT131*0.1/0.2549*1000)</f>
        <v>6.1200470772852095E-2</v>
      </c>
      <c r="AS62" s="75">
        <f>(Input!AU131*0.1/0.2549*1000)</f>
        <v>1.1769321302471557E-2</v>
      </c>
      <c r="AT62" s="75">
        <f>(Input!AV131*0.1/0.2549*1000)</f>
        <v>4.3154178109062373E-3</v>
      </c>
      <c r="AU62" s="75">
        <f>(Input!AW131*0.1/0.2549*1000)</f>
        <v>1.1377010592389172E-2</v>
      </c>
      <c r="AV62" s="75">
        <f>(Input!AX131*0.1/0.2549*1000)</f>
        <v>1.5692428403295408E-3</v>
      </c>
      <c r="AW62" s="75">
        <f>(Input!AY131*0.1/0.2549*1000)</f>
        <v>7.8462142016477061E-3</v>
      </c>
      <c r="AX62" s="75">
        <f>(Input!AZ131*0.1/0.2549*1000)</f>
        <v>1.5692428403295408E-3</v>
      </c>
      <c r="AY62" s="75">
        <f>(Input!BA131*0.1/0.2549*1000)</f>
        <v>4.3154178109062373E-3</v>
      </c>
      <c r="AZ62" s="75">
        <f>(Input!BB131*0.1/0.2549*1000)</f>
        <v>7.8462142016477038E-4</v>
      </c>
      <c r="BA62" s="75">
        <f>(Input!BC131*0.1/0.2549*1000)</f>
        <v>3.9231071008238531E-3</v>
      </c>
      <c r="BB62" s="75">
        <f>(Input!BD131*0.1/0.2549*1000)</f>
        <v>3.9231071008238519E-4</v>
      </c>
      <c r="BC62" s="75">
        <f>(Input!BE131*0.1/0.2549*1000)</f>
        <v>3.9231071008238519E-4</v>
      </c>
      <c r="BD62" s="75">
        <f>(Input!BF131*0.1/0.2549*1000)</f>
        <v>2.8638681836014122E-2</v>
      </c>
      <c r="BE62" s="75">
        <f>(Input!BG131*0.1/0.2549*1000)</f>
        <v>0.12632404864652805</v>
      </c>
      <c r="BF62" s="75">
        <f>(Input!BH131*0.1/0.2549*1000)</f>
        <v>0.1278932914868576</v>
      </c>
      <c r="BG62" s="75">
        <f>(Input!BI131*0.1/0.2549*1000)</f>
        <v>0</v>
      </c>
      <c r="BH62" s="75">
        <f>(Input!BJ131*0.1/0.2549*1000)</f>
        <v>3.9231071008238519E-4</v>
      </c>
      <c r="BI62" s="75">
        <f>(Input!BK131*0.1/0.2549*1000)</f>
        <v>0.10710082385249117</v>
      </c>
      <c r="BJ62" s="75">
        <f>(Input!BL131*0.1/0.2549*1000)</f>
        <v>2.7461749705766968E-3</v>
      </c>
      <c r="BK62" s="75">
        <f>(Input!BM131*0.1/0.2549*1000)</f>
        <v>0.37504903883876023</v>
      </c>
      <c r="BL62" s="75">
        <f>(Input!BN131*0.1/0.2549*1000)</f>
        <v>0.37349941153393484</v>
      </c>
      <c r="BM62" s="64">
        <v>0.95204999999999995</v>
      </c>
      <c r="BN62" s="64">
        <v>1.0846100000000001</v>
      </c>
      <c r="BO62" s="75">
        <f>(Input!BQ131*0.1/0.2549*1000)</f>
        <v>1.9615535504119264E-2</v>
      </c>
      <c r="BP62" s="75">
        <f>(Input!BR131*0.1/0.2549*1000)</f>
        <v>4.7077285209886233E-3</v>
      </c>
    </row>
    <row r="63" spans="1:68" x14ac:dyDescent="0.3">
      <c r="A63" s="52" t="s">
        <v>78</v>
      </c>
      <c r="B63" s="75">
        <f>(Input!B132*0.1/0.2512*1000)</f>
        <v>151.43312101910828</v>
      </c>
      <c r="C63" s="75">
        <f>(Input!C132*0.1/0.2512*1000)</f>
        <v>1779.4585987261148</v>
      </c>
      <c r="D63" s="75">
        <f>(Input!D132*0.1/0.2512*1000)</f>
        <v>72.691082802547768</v>
      </c>
      <c r="E63" s="75">
        <f>(Input!E132*0.1/0.2512*1000)</f>
        <v>777.46815286624224</v>
      </c>
      <c r="F63" s="75">
        <f>(Input!F132*0.1/0.2512*1000)</f>
        <v>9725.3184713375795</v>
      </c>
      <c r="G63" s="75">
        <f>(Input!G132*0.1/0.2512*1000)</f>
        <v>27169.585987261151</v>
      </c>
      <c r="H63" s="64">
        <v>1.1901600000000001</v>
      </c>
      <c r="I63" s="64">
        <v>1.1571100000000001</v>
      </c>
      <c r="J63" s="75">
        <f>(Input!J132*0.1/0.2512*1000)</f>
        <v>142.51592356687897</v>
      </c>
      <c r="K63" s="75">
        <f>(Input!L132*0.1/0.2512*1000)</f>
        <v>4.0167197452229306</v>
      </c>
      <c r="L63" s="75">
        <f>(Input!M132*0.1/0.2512*1000)</f>
        <v>0.50039808917197448</v>
      </c>
      <c r="M63" s="75">
        <f>(Input!N132*0.1/0.2512*1000)</f>
        <v>51.592356687898089</v>
      </c>
      <c r="N63" s="75">
        <f>(Input!O132*0.1/0.2512*1000)</f>
        <v>102.03025477707008</v>
      </c>
      <c r="O63" s="75">
        <f>(Input!P132*0.1/0.2512*1000)</f>
        <v>9.355095541401276E-2</v>
      </c>
      <c r="P63" s="75">
        <f>(Input!Q132*0.1/0.2512*1000)</f>
        <v>0.84036624203821664</v>
      </c>
      <c r="Q63" s="75">
        <f>(Input!R132*0.1/0.2512*1000)</f>
        <v>7.9697452229299373</v>
      </c>
      <c r="R63" s="75">
        <f>(Input!S132*0.1/0.2512*1000)</f>
        <v>13.666401273885352</v>
      </c>
      <c r="S63" s="75">
        <f>(Input!T132*0.1/0.2512*1000)</f>
        <v>0.34554140127388538</v>
      </c>
      <c r="T63" s="64">
        <v>1.08382</v>
      </c>
      <c r="U63" s="64">
        <v>1.01135</v>
      </c>
      <c r="V63" s="75">
        <f>(Input!W132*0.1/0.2512*1000)</f>
        <v>3.1449044585987261E-2</v>
      </c>
      <c r="W63" s="75">
        <f>(Input!X132*0.1/0.2512*1000)</f>
        <v>1.83359872611465</v>
      </c>
      <c r="X63" s="75">
        <f>(Input!Y132*0.1/0.2512*1000)</f>
        <v>6.9824840764331215</v>
      </c>
      <c r="Y63" s="75">
        <f>(Input!Z132*0.1/0.2512*1000)</f>
        <v>132.04617834394904</v>
      </c>
      <c r="Z63" s="64">
        <v>1.13273</v>
      </c>
      <c r="AA63" s="64">
        <v>1.1681900000000001</v>
      </c>
      <c r="AB63" s="75">
        <f>(Input!AC132*0.1/0.2512*1000)</f>
        <v>9.1560509554140124E-3</v>
      </c>
      <c r="AC63" s="75">
        <f>(Input!AD132*0.1/0.2512*1000)</f>
        <v>0.1640127388535032</v>
      </c>
      <c r="AD63" s="75">
        <f>(Input!AE132*0.1/0.2512*1000)</f>
        <v>3.9808917197452231E-4</v>
      </c>
      <c r="AE63" s="75">
        <f>(Input!AF132*0.1/0.2512*1000)</f>
        <v>2.3885350318471345E-3</v>
      </c>
      <c r="AF63" s="75">
        <f>(Input!AG132*0.1/0.2512*1000)</f>
        <v>3.3439490445859879E-2</v>
      </c>
      <c r="AG63" s="75">
        <f>(Input!AH132*0.1/0.2512*1000)</f>
        <v>0.10230891719745225</v>
      </c>
      <c r="AH63" s="75">
        <f>(Input!AI132*0.1/0.2512*1000)</f>
        <v>5.6926751592356689E-2</v>
      </c>
      <c r="AI63" s="64">
        <v>1.0266900000000001</v>
      </c>
      <c r="AJ63" s="64">
        <v>1.1524300000000001</v>
      </c>
      <c r="AK63" s="75">
        <f>(Input!AL132*0.1/0.2512*1000)</f>
        <v>2.5079617834394909E-2</v>
      </c>
      <c r="AL63" s="75">
        <f>(Input!AM132*0.1/0.2512*1000)</f>
        <v>3.9808917197452231E-4</v>
      </c>
      <c r="AM63" s="75">
        <f>(Input!AN132*0.1/0.2512*1000)</f>
        <v>0.13933121019108283</v>
      </c>
      <c r="AN63" s="75">
        <f>(Input!AO132*0.1/0.2512*1000)</f>
        <v>9.3869426751592364</v>
      </c>
      <c r="AO63" s="75">
        <f>(Input!AQ132*0.1/0.2512*1000)</f>
        <v>5.6528662420382167E-2</v>
      </c>
      <c r="AP63" s="75">
        <f>(Input!AR132*0.1/0.2512*1000)</f>
        <v>9.7531847133757968E-2</v>
      </c>
      <c r="AQ63" s="75">
        <f>(Input!AS132*0.1/0.2512*1000)</f>
        <v>1.2340764331210194E-2</v>
      </c>
      <c r="AR63" s="75">
        <f>(Input!AT132*0.1/0.2512*1000)</f>
        <v>4.5780254777070074E-2</v>
      </c>
      <c r="AS63" s="75">
        <f>(Input!AU132*0.1/0.2512*1000)</f>
        <v>8.757961783439492E-3</v>
      </c>
      <c r="AT63" s="75">
        <f>(Input!AV132*0.1/0.2512*1000)</f>
        <v>3.5828025477707003E-3</v>
      </c>
      <c r="AU63" s="75">
        <f>(Input!AW132*0.1/0.2512*1000)</f>
        <v>8.3598726114649698E-3</v>
      </c>
      <c r="AV63" s="75">
        <f>(Input!AX132*0.1/0.2512*1000)</f>
        <v>1.1942675159235673E-3</v>
      </c>
      <c r="AW63" s="75">
        <f>(Input!AY132*0.1/0.2512*1000)</f>
        <v>5.5732484076433135E-3</v>
      </c>
      <c r="AX63" s="75">
        <f>(Input!AZ132*0.1/0.2512*1000)</f>
        <v>1.1942675159235673E-3</v>
      </c>
      <c r="AY63" s="75">
        <f>(Input!BA132*0.1/0.2512*1000)</f>
        <v>3.1847133757961785E-3</v>
      </c>
      <c r="AZ63" s="75">
        <f>(Input!BB132*0.1/0.2512*1000)</f>
        <v>3.9808917197452231E-4</v>
      </c>
      <c r="BA63" s="75">
        <f>(Input!BC132*0.1/0.2512*1000)</f>
        <v>2.7866242038216567E-3</v>
      </c>
      <c r="BB63" s="75">
        <f>(Input!BD132*0.1/0.2512*1000)</f>
        <v>3.9808917197452231E-4</v>
      </c>
      <c r="BC63" s="75">
        <f>(Input!BE132*0.1/0.2512*1000)</f>
        <v>3.9808917197452231E-4</v>
      </c>
      <c r="BD63" s="75">
        <f>(Input!BF132*0.1/0.2512*1000)</f>
        <v>2.0700636942675162E-2</v>
      </c>
      <c r="BE63" s="75">
        <f>(Input!BG132*0.1/0.2512*1000)</f>
        <v>4.5382165605095545E-2</v>
      </c>
      <c r="BF63" s="75">
        <f>(Input!BH132*0.1/0.2512*1000)</f>
        <v>4.7770700636942678E-2</v>
      </c>
      <c r="BG63" s="75">
        <f>(Input!BI132*0.1/0.2512*1000)</f>
        <v>0</v>
      </c>
      <c r="BH63" s="75">
        <f>(Input!BJ132*0.1/0.2512*1000)</f>
        <v>3.9808917197452231E-4</v>
      </c>
      <c r="BI63" s="75">
        <f>(Input!BK132*0.1/0.2512*1000)</f>
        <v>5.6926751592356689E-2</v>
      </c>
      <c r="BJ63" s="75">
        <f>(Input!BL132*0.1/0.2512*1000)</f>
        <v>1.9904458598726123E-3</v>
      </c>
      <c r="BK63" s="75">
        <f>(Input!BM132*0.1/0.2512*1000)</f>
        <v>0.34156050955414019</v>
      </c>
      <c r="BL63" s="75">
        <f>(Input!BN132*0.1/0.2512*1000)</f>
        <v>0.38483678343949046</v>
      </c>
      <c r="BM63" s="64">
        <v>0.96670999999999996</v>
      </c>
      <c r="BN63" s="64">
        <v>1.08789</v>
      </c>
      <c r="BO63" s="75">
        <f>(Input!BQ132*0.1/0.2512*1000)</f>
        <v>1.2340764331210194E-2</v>
      </c>
      <c r="BP63" s="75">
        <f>(Input!BR132*0.1/0.2512*1000)</f>
        <v>4.378980891719746E-3</v>
      </c>
    </row>
    <row r="64" spans="1:68" x14ac:dyDescent="0.3">
      <c r="A64" s="52" t="s">
        <v>79</v>
      </c>
      <c r="B64" s="75">
        <f>(Input!B133*0.1/0.2513*1000)</f>
        <v>211.53999204138483</v>
      </c>
      <c r="C64" s="75">
        <f>(Input!C133*0.1/0.2513*1000)</f>
        <v>1998.4082769598092</v>
      </c>
      <c r="D64" s="75">
        <f>(Input!D133*0.1/0.2513*1000)</f>
        <v>77.397532829287698</v>
      </c>
      <c r="E64" s="75">
        <f>(Input!E133*0.1/0.2513*1000)</f>
        <v>1078.392359729407</v>
      </c>
      <c r="F64" s="75">
        <f>(Input!F133*0.1/0.2513*1000)</f>
        <v>14150.417827298052</v>
      </c>
      <c r="G64" s="75">
        <f>(Input!G133*0.1/0.2513*1000)</f>
        <v>33955.431754874648</v>
      </c>
      <c r="H64" s="64">
        <v>1.20105</v>
      </c>
      <c r="I64" s="64">
        <v>1.2112700000000001</v>
      </c>
      <c r="J64" s="75">
        <f>(Input!J133*0.1/0.2513*1000)</f>
        <v>172.9407083167529</v>
      </c>
      <c r="K64" s="75">
        <f>(Input!L133*0.1/0.2513*1000)</f>
        <v>5.9729407083167523</v>
      </c>
      <c r="L64" s="75">
        <f>(Input!M133*0.1/0.2513*1000)</f>
        <v>0.95861520095503361</v>
      </c>
      <c r="M64" s="75">
        <f>(Input!N133*0.1/0.2513*1000)</f>
        <v>57.580580978909666</v>
      </c>
      <c r="N64" s="75">
        <f>(Input!O133*0.1/0.2513*1000)</f>
        <v>146.55789892558693</v>
      </c>
      <c r="O64" s="75">
        <f>(Input!P133*0.1/0.2513*1000)</f>
        <v>0.12813370473537605</v>
      </c>
      <c r="P64" s="75">
        <f>(Input!Q133*0.1/0.2513*1000)</f>
        <v>1.2857142857142856</v>
      </c>
      <c r="Q64" s="75">
        <f>(Input!R133*0.1/0.2513*1000)</f>
        <v>10.465578989255869</v>
      </c>
      <c r="R64" s="75">
        <f>(Input!S133*0.1/0.2513*1000)</f>
        <v>7.1030640668523679</v>
      </c>
      <c r="S64" s="75">
        <f>(Input!T133*0.1/0.2513*1000)</f>
        <v>0.61082371667329871</v>
      </c>
      <c r="T64" s="64">
        <v>1.0837300000000001</v>
      </c>
      <c r="U64" s="64">
        <v>1.03871</v>
      </c>
      <c r="V64" s="75">
        <f>(Input!W133*0.1/0.2513*1000)</f>
        <v>2.1090330282530836E-2</v>
      </c>
      <c r="W64" s="75">
        <f>(Input!X133*0.1/0.2513*1000)</f>
        <v>3.6693195384003183</v>
      </c>
      <c r="X64" s="75">
        <f>(Input!Y133*0.1/0.2513*1000)</f>
        <v>4.9701551929964189</v>
      </c>
      <c r="Y64" s="75">
        <f>(Input!Z133*0.1/0.2513*1000)</f>
        <v>157.81933943493831</v>
      </c>
      <c r="Z64" s="64">
        <v>1.1515599999999999</v>
      </c>
      <c r="AA64" s="64">
        <v>1.2099299999999999</v>
      </c>
      <c r="AB64" s="75">
        <f>(Input!AC133*0.1/0.2513*1000)</f>
        <v>1.1539992041384799E-2</v>
      </c>
      <c r="AC64" s="75">
        <f>(Input!AD133*0.1/0.2513*1000)</f>
        <v>0.27735773975328293</v>
      </c>
      <c r="AD64" s="75">
        <f>(Input!AE133*0.1/0.2513*1000)</f>
        <v>3.9793076004775168E-4</v>
      </c>
      <c r="AE64" s="75">
        <f>(Input!AF133*0.1/0.2513*1000)</f>
        <v>2.7855153203342618E-3</v>
      </c>
      <c r="AF64" s="75">
        <f>(Input!AG133*0.1/0.2513*1000)</f>
        <v>4.2578591325109424E-2</v>
      </c>
      <c r="AG64" s="75">
        <f>(Input!AH133*0.1/0.2513*1000)</f>
        <v>0.12813370473537605</v>
      </c>
      <c r="AH64" s="75">
        <f>(Input!AI133*0.1/0.2513*1000)</f>
        <v>5.3322721846398725E-2</v>
      </c>
      <c r="AI64" s="64">
        <v>1.0370699999999999</v>
      </c>
      <c r="AJ64" s="64">
        <v>1.18645</v>
      </c>
      <c r="AK64" s="75">
        <f>(Input!AL133*0.1/0.2513*1000)</f>
        <v>3.2232391563867882E-2</v>
      </c>
      <c r="AL64" s="75">
        <f>(Input!AM133*0.1/0.2513*1000)</f>
        <v>3.9793076004775168E-4</v>
      </c>
      <c r="AM64" s="75">
        <f>(Input!AN133*0.1/0.2513*1000)</f>
        <v>3.501790688420215E-2</v>
      </c>
      <c r="AN64" s="75">
        <f>(Input!AO133*0.1/0.2513*1000)</f>
        <v>16.346995622761636</v>
      </c>
      <c r="AO64" s="75">
        <f>(Input!AQ133*0.1/0.2513*1000)</f>
        <v>7.0433744528452039E-2</v>
      </c>
      <c r="AP64" s="75">
        <f>(Input!AR133*0.1/0.2513*1000)</f>
        <v>0.12017508953442099</v>
      </c>
      <c r="AQ64" s="75">
        <f>(Input!AS133*0.1/0.2513*1000)</f>
        <v>1.5917230401910069E-2</v>
      </c>
      <c r="AR64" s="75">
        <f>(Input!AT133*0.1/0.2513*1000)</f>
        <v>5.7302029446876228E-2</v>
      </c>
      <c r="AS64" s="75">
        <f>(Input!AU133*0.1/0.2513*1000)</f>
        <v>1.0744130521289296E-2</v>
      </c>
      <c r="AT64" s="75">
        <f>(Input!AV133*0.1/0.2513*1000)</f>
        <v>4.7751691205730204E-3</v>
      </c>
      <c r="AU64" s="75">
        <f>(Input!AW133*0.1/0.2513*1000)</f>
        <v>1.0346199761241544E-2</v>
      </c>
      <c r="AV64" s="75">
        <f>(Input!AX133*0.1/0.2513*1000)</f>
        <v>1.5917230401910067E-3</v>
      </c>
      <c r="AW64" s="75">
        <f>(Input!AY133*0.1/0.2513*1000)</f>
        <v>7.5606844409072818E-3</v>
      </c>
      <c r="AX64" s="75">
        <f>(Input!AZ133*0.1/0.2513*1000)</f>
        <v>1.1937922801432551E-3</v>
      </c>
      <c r="AY64" s="75">
        <f>(Input!BA133*0.1/0.2513*1000)</f>
        <v>3.9793076004775172E-3</v>
      </c>
      <c r="AZ64" s="75">
        <f>(Input!BB133*0.1/0.2513*1000)</f>
        <v>3.9793076004775168E-4</v>
      </c>
      <c r="BA64" s="75">
        <f>(Input!BC133*0.1/0.2513*1000)</f>
        <v>3.1834460803820135E-3</v>
      </c>
      <c r="BB64" s="75">
        <f>(Input!BD133*0.1/0.2513*1000)</f>
        <v>3.9793076004775168E-4</v>
      </c>
      <c r="BC64" s="75">
        <f>(Input!BE133*0.1/0.2513*1000)</f>
        <v>3.9793076004775168E-4</v>
      </c>
      <c r="BD64" s="75">
        <f>(Input!BF133*0.1/0.2513*1000)</f>
        <v>4.5364106645443693E-2</v>
      </c>
      <c r="BE64" s="75">
        <f>(Input!BG133*0.1/0.2513*1000)</f>
        <v>0.12853163549542379</v>
      </c>
      <c r="BF64" s="75">
        <f>(Input!BH133*0.1/0.2513*1000)</f>
        <v>0.12972542777556703</v>
      </c>
      <c r="BG64" s="75">
        <f>(Input!BI133*0.1/0.2513*1000)</f>
        <v>0</v>
      </c>
      <c r="BH64" s="75">
        <f>(Input!BJ133*0.1/0.2513*1000)</f>
        <v>0</v>
      </c>
      <c r="BI64" s="75">
        <f>(Input!BK133*0.1/0.2513*1000)</f>
        <v>7.5208913649025072E-2</v>
      </c>
      <c r="BJ64" s="75">
        <f>(Input!BL133*0.1/0.2513*1000)</f>
        <v>1.5917230401910067E-3</v>
      </c>
      <c r="BK64" s="75">
        <f>(Input!BM133*0.1/0.2513*1000)</f>
        <v>0.25586947871070431</v>
      </c>
      <c r="BL64" s="75">
        <f>(Input!BN133*0.1/0.2513*1000)</f>
        <v>0.3834301631516116</v>
      </c>
      <c r="BM64" s="64">
        <v>0.96355999999999997</v>
      </c>
      <c r="BN64" s="64">
        <v>1.1050199999999999</v>
      </c>
      <c r="BO64" s="75">
        <f>(Input!BQ133*0.1/0.2513*1000)</f>
        <v>1.5121368881814564E-2</v>
      </c>
      <c r="BP64" s="75">
        <f>(Input!BR133*0.1/0.2513*1000)</f>
        <v>3.5813768404297642E-3</v>
      </c>
    </row>
    <row r="65" spans="1:68" x14ac:dyDescent="0.3">
      <c r="A65" s="52" t="s">
        <v>80</v>
      </c>
      <c r="B65" s="75">
        <f>(Input!B134*0.1/0.2576*1000)</f>
        <v>192.81832298136644</v>
      </c>
      <c r="C65" s="75">
        <f>(Input!C134*0.1/0.2576*1000)</f>
        <v>2619.9534161490687</v>
      </c>
      <c r="D65" s="75">
        <f>(Input!D134*0.1/0.2576*1000)</f>
        <v>69.215838509316782</v>
      </c>
      <c r="E65" s="75">
        <f>(Input!E134*0.1/0.2576*1000)</f>
        <v>1324.1459627329193</v>
      </c>
      <c r="F65" s="75">
        <f>(Input!F134*0.1/0.2576*1000)</f>
        <v>13342.391304347826</v>
      </c>
      <c r="G65" s="75">
        <f>(Input!G134*0.1/0.2576*1000)</f>
        <v>29079.968944099379</v>
      </c>
      <c r="H65" s="64">
        <v>1.2035800000000001</v>
      </c>
      <c r="I65" s="64">
        <v>1.2058599999999999</v>
      </c>
      <c r="J65" s="75">
        <f>(Input!J134*0.1/0.2576*1000)</f>
        <v>151.9409937888199</v>
      </c>
      <c r="K65" s="75">
        <f>(Input!L134*0.1/0.2576*1000)</f>
        <v>6.1645962732919264</v>
      </c>
      <c r="L65" s="75">
        <f>(Input!M134*0.1/0.2576*1000)</f>
        <v>0.86956521739130443</v>
      </c>
      <c r="M65" s="75">
        <f>(Input!N134*0.1/0.2576*1000)</f>
        <v>69.177018633540371</v>
      </c>
      <c r="N65" s="75">
        <f>(Input!O134*0.1/0.2576*1000)</f>
        <v>140.37267080745343</v>
      </c>
      <c r="O65" s="75">
        <f>(Input!P134*0.1/0.2576*1000)</f>
        <v>0.12616459627329193</v>
      </c>
      <c r="P65" s="75">
        <f>(Input!Q134*0.1/0.2576*1000)</f>
        <v>1.9429347826086956</v>
      </c>
      <c r="Q65" s="75">
        <f>(Input!R134*0.1/0.2576*1000)</f>
        <v>7.5815217391304364</v>
      </c>
      <c r="R65" s="75">
        <f>(Input!S134*0.1/0.2576*1000)</f>
        <v>12.919254658385096</v>
      </c>
      <c r="S65" s="75">
        <f>(Input!T134*0.1/0.2576*1000)</f>
        <v>0.64945652173913049</v>
      </c>
      <c r="T65" s="64">
        <v>1.0789800000000001</v>
      </c>
      <c r="U65" s="64">
        <v>1.03308</v>
      </c>
      <c r="V65" s="75">
        <f>(Input!W134*0.1/0.2576*1000)</f>
        <v>5.4736024844720489E-2</v>
      </c>
      <c r="W65" s="75">
        <f>(Input!X134*0.1/0.2576*1000)</f>
        <v>3.3241459627329202</v>
      </c>
      <c r="X65" s="75">
        <f>(Input!Y134*0.1/0.2576*1000)</f>
        <v>7.6048136645962741</v>
      </c>
      <c r="Y65" s="75">
        <f>(Input!Z134*0.1/0.2576*1000)</f>
        <v>125.15527950310559</v>
      </c>
      <c r="Z65" s="64">
        <v>1.1488799999999999</v>
      </c>
      <c r="AA65" s="64">
        <v>1.21438</v>
      </c>
      <c r="AB65" s="75">
        <f>(Input!AC134*0.1/0.2576*1000)</f>
        <v>7.3757763975155289E-3</v>
      </c>
      <c r="AC65" s="75">
        <f>(Input!AD134*0.1/0.2576*1000)</f>
        <v>0.48913043478260876</v>
      </c>
      <c r="AD65" s="75">
        <f>(Input!AE134*0.1/0.2576*1000)</f>
        <v>3.8819875776397518E-4</v>
      </c>
      <c r="AE65" s="75">
        <f>(Input!AF134*0.1/0.2576*1000)</f>
        <v>2.3291925465838514E-3</v>
      </c>
      <c r="AF65" s="75">
        <f>(Input!AG134*0.1/0.2576*1000)</f>
        <v>3.4549689440993785E-2</v>
      </c>
      <c r="AG65" s="75">
        <f>(Input!AH134*0.1/0.2576*1000)</f>
        <v>6.4829192546583855E-2</v>
      </c>
      <c r="AH65" s="75">
        <f>(Input!AI134*0.1/0.2576*1000)</f>
        <v>3.998447204968944E-2</v>
      </c>
      <c r="AI65" s="64">
        <v>1.03546</v>
      </c>
      <c r="AJ65" s="64">
        <v>1.1892799999999999</v>
      </c>
      <c r="AK65" s="75">
        <f>(Input!AL134*0.1/0.2576*1000)</f>
        <v>1.785714285714286E-2</v>
      </c>
      <c r="AL65" s="75">
        <f>(Input!AM134*0.1/0.2576*1000)</f>
        <v>1.1645962732919257E-3</v>
      </c>
      <c r="AM65" s="75">
        <f>(Input!AN134*0.1/0.2576*1000)</f>
        <v>9.7437888198757774E-2</v>
      </c>
      <c r="AN65" s="75">
        <f>(Input!AO134*0.1/0.2576*1000)</f>
        <v>17.457298136645964</v>
      </c>
      <c r="AO65" s="75">
        <f>(Input!AQ134*0.1/0.2576*1000)</f>
        <v>6.5217391304347838E-2</v>
      </c>
      <c r="AP65" s="75">
        <f>(Input!AR134*0.1/0.2576*1000)</f>
        <v>0.11529503105590064</v>
      </c>
      <c r="AQ65" s="75">
        <f>(Input!AS134*0.1/0.2576*1000)</f>
        <v>1.436335403726708E-2</v>
      </c>
      <c r="AR65" s="75">
        <f>(Input!AT134*0.1/0.2576*1000)</f>
        <v>5.5124223602484472E-2</v>
      </c>
      <c r="AS65" s="75">
        <f>(Input!AU134*0.1/0.2576*1000)</f>
        <v>1.1257763975155282E-2</v>
      </c>
      <c r="AT65" s="75">
        <f>(Input!AV134*0.1/0.2576*1000)</f>
        <v>4.6583850931677028E-3</v>
      </c>
      <c r="AU65" s="75">
        <f>(Input!AW134*0.1/0.2576*1000)</f>
        <v>9.3167701863354057E-3</v>
      </c>
      <c r="AV65" s="75">
        <f>(Input!AX134*0.1/0.2576*1000)</f>
        <v>1.1645962732919257E-3</v>
      </c>
      <c r="AW65" s="75">
        <f>(Input!AY134*0.1/0.2576*1000)</f>
        <v>6.2111801242236029E-3</v>
      </c>
      <c r="AX65" s="75">
        <f>(Input!AZ134*0.1/0.2576*1000)</f>
        <v>1.1645962732919257E-3</v>
      </c>
      <c r="AY65" s="75">
        <f>(Input!BA134*0.1/0.2576*1000)</f>
        <v>3.1055900621118015E-3</v>
      </c>
      <c r="AZ65" s="75">
        <f>(Input!BB134*0.1/0.2576*1000)</f>
        <v>3.8819875776397518E-4</v>
      </c>
      <c r="BA65" s="75">
        <f>(Input!BC134*0.1/0.2576*1000)</f>
        <v>2.7173913043478264E-3</v>
      </c>
      <c r="BB65" s="75">
        <f>(Input!BD134*0.1/0.2576*1000)</f>
        <v>3.8819875776397518E-4</v>
      </c>
      <c r="BC65" s="75">
        <f>(Input!BE134*0.1/0.2576*1000)</f>
        <v>0</v>
      </c>
      <c r="BD65" s="75">
        <f>(Input!BF134*0.1/0.2576*1000)</f>
        <v>4.9689440993788823E-2</v>
      </c>
      <c r="BE65" s="75">
        <f>(Input!BG134*0.1/0.2576*1000)</f>
        <v>0.18322981366459629</v>
      </c>
      <c r="BF65" s="75">
        <f>(Input!BH134*0.1/0.2576*1000)</f>
        <v>0.18672360248447206</v>
      </c>
      <c r="BG65" s="75">
        <f>(Input!BI134*0.1/0.2576*1000)</f>
        <v>0</v>
      </c>
      <c r="BH65" s="75">
        <f>(Input!BJ134*0.1/0.2576*1000)</f>
        <v>0</v>
      </c>
      <c r="BI65" s="75">
        <f>(Input!BK134*0.1/0.2576*1000)</f>
        <v>5.0077639751552792E-2</v>
      </c>
      <c r="BJ65" s="75">
        <f>(Input!BL134*0.1/0.2576*1000)</f>
        <v>1.1645962732919257E-3</v>
      </c>
      <c r="BK65" s="75">
        <f>(Input!BM134*0.1/0.2576*1000)</f>
        <v>0.50970496894409933</v>
      </c>
      <c r="BL65" s="75">
        <f>(Input!BN134*0.1/0.2576*1000)</f>
        <v>0.37515139751552801</v>
      </c>
      <c r="BM65" s="64">
        <v>0.96638999999999997</v>
      </c>
      <c r="BN65" s="64">
        <v>1.10626</v>
      </c>
      <c r="BO65" s="75">
        <f>(Input!BQ134*0.1/0.2576*1000)</f>
        <v>1.630434782608696E-2</v>
      </c>
      <c r="BP65" s="75">
        <f>(Input!BR134*0.1/0.2576*1000)</f>
        <v>3.4937888198757761E-3</v>
      </c>
    </row>
    <row r="66" spans="1:68" x14ac:dyDescent="0.3">
      <c r="A66" s="52" t="s">
        <v>81</v>
      </c>
      <c r="B66" s="75">
        <f>(Input!B135*0.1/0.2533*1000)</f>
        <v>122.2266087643111</v>
      </c>
      <c r="C66" s="75">
        <f>(Input!C135*0.1/0.2533*1000)</f>
        <v>1410.5803395183575</v>
      </c>
      <c r="D66" s="75">
        <f>(Input!D135*0.1/0.2533*1000)</f>
        <v>73.035925779707839</v>
      </c>
      <c r="E66" s="75">
        <f>(Input!E135*0.1/0.2533*1000)</f>
        <v>1057.6391630477692</v>
      </c>
      <c r="F66" s="75">
        <f>(Input!F135*0.1/0.2533*1000)</f>
        <v>20090.801421239637</v>
      </c>
      <c r="G66" s="75">
        <f>(Input!G135*0.1/0.2533*1000)</f>
        <v>21354.125542834583</v>
      </c>
      <c r="H66" s="64">
        <v>1.1550800000000001</v>
      </c>
      <c r="I66" s="64">
        <v>1.1799500000000001</v>
      </c>
      <c r="J66" s="75">
        <f>(Input!J135*0.1/0.2533*1000)</f>
        <v>112.23845242795103</v>
      </c>
      <c r="K66" s="75">
        <f>(Input!L135*0.1/0.2533*1000)</f>
        <v>7.2246348203711008</v>
      </c>
      <c r="L66" s="75">
        <f>(Input!M135*0.1/0.2533*1000)</f>
        <v>1.1030398736675877</v>
      </c>
      <c r="M66" s="75">
        <f>(Input!N135*0.1/0.2533*1000)</f>
        <v>42.716146861429138</v>
      </c>
      <c r="N66" s="75">
        <f>(Input!O135*0.1/0.2533*1000)</f>
        <v>137.86024476904853</v>
      </c>
      <c r="O66" s="75">
        <f>(Input!P135*0.1/0.2533*1000)</f>
        <v>0.117252270035531</v>
      </c>
      <c r="P66" s="75">
        <f>(Input!Q135*0.1/0.2533*1000)</f>
        <v>0.98657718120805349</v>
      </c>
      <c r="Q66" s="75">
        <f>(Input!R135*0.1/0.2533*1000)</f>
        <v>12.096328464271615</v>
      </c>
      <c r="R66" s="75">
        <f>(Input!S135*0.1/0.2533*1000)</f>
        <v>13.639952625345437</v>
      </c>
      <c r="S66" s="75">
        <f>(Input!T135*0.1/0.2533*1000)</f>
        <v>0.29214370311883142</v>
      </c>
      <c r="T66" s="64">
        <v>1.04115</v>
      </c>
      <c r="U66" s="64">
        <v>1.0056499999999999</v>
      </c>
      <c r="V66" s="75">
        <f>(Input!W135*0.1/0.2533*1000)</f>
        <v>5.8823529411764698E-2</v>
      </c>
      <c r="W66" s="75">
        <f>(Input!X135*0.1/0.2533*1000)</f>
        <v>3.5377023292538494</v>
      </c>
      <c r="X66" s="75">
        <f>(Input!Y135*0.1/0.2533*1000)</f>
        <v>20.35136202131859</v>
      </c>
      <c r="Y66" s="75">
        <f>(Input!Z135*0.1/0.2533*1000)</f>
        <v>71.417291748914323</v>
      </c>
      <c r="Z66" s="64">
        <v>1.1175600000000001</v>
      </c>
      <c r="AA66" s="64">
        <v>1.19299</v>
      </c>
      <c r="AB66" s="75">
        <f>(Input!AC135*0.1/0.2533*1000)</f>
        <v>9.0801421239636772E-3</v>
      </c>
      <c r="AC66" s="75">
        <f>(Input!AD135*0.1/0.2533*1000)</f>
        <v>0.33043821555467823</v>
      </c>
      <c r="AD66" s="75">
        <f>(Input!AE135*0.1/0.2533*1000)</f>
        <v>3.9478878799842083E-4</v>
      </c>
      <c r="AE66" s="75">
        <f>(Input!AF135*0.1/0.2533*1000)</f>
        <v>1.1843663639952626E-3</v>
      </c>
      <c r="AF66" s="75">
        <f>(Input!AG135*0.1/0.2533*1000)</f>
        <v>2.1318594551914725E-2</v>
      </c>
      <c r="AG66" s="75">
        <f>(Input!AH135*0.1/0.2533*1000)</f>
        <v>4.6585076983813659E-2</v>
      </c>
      <c r="AH66" s="75">
        <f>(Input!AI135*0.1/0.2533*1000)</f>
        <v>3.5925779707856299E-2</v>
      </c>
      <c r="AI66" s="64">
        <v>1.0085999999999999</v>
      </c>
      <c r="AJ66" s="64">
        <v>1.1757899999999999</v>
      </c>
      <c r="AK66" s="75">
        <f>(Input!AL135*0.1/0.2533*1000)</f>
        <v>3.5530990919857876E-2</v>
      </c>
      <c r="AL66" s="75">
        <f>(Input!AM135*0.1/0.2533*1000)</f>
        <v>0</v>
      </c>
      <c r="AM66" s="75">
        <f>(Input!AN135*0.1/0.2533*1000)</f>
        <v>0.13343861034346624</v>
      </c>
      <c r="AN66" s="75">
        <f>(Input!AO135*0.1/0.2533*1000)</f>
        <v>7.5838926174496644</v>
      </c>
      <c r="AO66" s="75">
        <f>(Input!AQ135*0.1/0.2533*1000)</f>
        <v>7.461508093170155E-2</v>
      </c>
      <c r="AP66" s="75">
        <f>(Input!AR135*0.1/0.2533*1000)</f>
        <v>0.13778128701144884</v>
      </c>
      <c r="AQ66" s="75">
        <f>(Input!AS135*0.1/0.2533*1000)</f>
        <v>1.7370706671930518E-2</v>
      </c>
      <c r="AR66" s="75">
        <f>(Input!AT135*0.1/0.2533*1000)</f>
        <v>6.4745361231741017E-2</v>
      </c>
      <c r="AS66" s="75">
        <f>(Input!AU135*0.1/0.2533*1000)</f>
        <v>1.1843663639952625E-2</v>
      </c>
      <c r="AT66" s="75">
        <f>(Input!AV135*0.1/0.2533*1000)</f>
        <v>4.3426766679826295E-3</v>
      </c>
      <c r="AU66" s="75">
        <f>(Input!AW135*0.1/0.2533*1000)</f>
        <v>1.1054086063955783E-2</v>
      </c>
      <c r="AV66" s="75">
        <f>(Input!AX135*0.1/0.2533*1000)</f>
        <v>1.9739439399921043E-3</v>
      </c>
      <c r="AW66" s="75">
        <f>(Input!AY135*0.1/0.2533*1000)</f>
        <v>8.2905645479668388E-3</v>
      </c>
      <c r="AX66" s="75">
        <f>(Input!AZ135*0.1/0.2533*1000)</f>
        <v>1.5791551519936833E-3</v>
      </c>
      <c r="AY66" s="75">
        <f>(Input!BA135*0.1/0.2533*1000)</f>
        <v>4.7374654559810504E-3</v>
      </c>
      <c r="AZ66" s="75">
        <f>(Input!BB135*0.1/0.2533*1000)</f>
        <v>7.8957757599684166E-4</v>
      </c>
      <c r="BA66" s="75">
        <f>(Input!BC135*0.1/0.2533*1000)</f>
        <v>4.3426766679826295E-3</v>
      </c>
      <c r="BB66" s="75">
        <f>(Input!BD135*0.1/0.2533*1000)</f>
        <v>3.9478878799842083E-4</v>
      </c>
      <c r="BC66" s="75">
        <f>(Input!BE135*0.1/0.2533*1000)</f>
        <v>0</v>
      </c>
      <c r="BD66" s="75">
        <f>(Input!BF135*0.1/0.2533*1000)</f>
        <v>3.0793525463876825E-2</v>
      </c>
      <c r="BE66" s="75">
        <f>(Input!BG135*0.1/0.2533*1000)</f>
        <v>3.9084090011843667E-2</v>
      </c>
      <c r="BF66" s="75">
        <f>(Input!BH135*0.1/0.2533*1000)</f>
        <v>4.0268456375838924E-2</v>
      </c>
      <c r="BG66" s="75">
        <f>(Input!BI135*0.1/0.2533*1000)</f>
        <v>0</v>
      </c>
      <c r="BH66" s="75">
        <f>(Input!BJ135*0.1/0.2533*1000)</f>
        <v>0</v>
      </c>
      <c r="BI66" s="75">
        <f>(Input!BK135*0.1/0.2533*1000)</f>
        <v>6.5929727595736287E-2</v>
      </c>
      <c r="BJ66" s="75">
        <f>(Input!BL135*0.1/0.2533*1000)</f>
        <v>2.7635215159889457E-3</v>
      </c>
      <c r="BK66" s="75">
        <f>(Input!BM135*0.1/0.2533*1000)</f>
        <v>3.1650217133833398</v>
      </c>
      <c r="BL66" s="75">
        <f>(Input!BN135*0.1/0.2533*1000)</f>
        <v>0.37460718515594155</v>
      </c>
      <c r="BM66" s="64">
        <v>0.94887999999999995</v>
      </c>
      <c r="BN66" s="64">
        <v>1.09459</v>
      </c>
      <c r="BO66" s="75">
        <f>(Input!BQ135*0.1/0.2533*1000)</f>
        <v>1.8555073035925778E-2</v>
      </c>
      <c r="BP66" s="75">
        <f>(Input!BR135*0.1/0.2533*1000)</f>
        <v>4.3426766679826295E-3</v>
      </c>
    </row>
    <row r="67" spans="1:68" x14ac:dyDescent="0.3">
      <c r="A67" s="52" t="s">
        <v>82</v>
      </c>
      <c r="B67" s="75">
        <f>(Input!B136*0.1/0.2553*1000)</f>
        <v>216.84292988640814</v>
      </c>
      <c r="C67" s="75">
        <f>(Input!C136*0.1/0.2553*1000)</f>
        <v>2609.8707403055232</v>
      </c>
      <c r="D67" s="75">
        <f>(Input!D136*0.1/0.2553*1000)</f>
        <v>50.646298472385432</v>
      </c>
      <c r="E67" s="75">
        <f>(Input!E136*0.1/0.2553*1000)</f>
        <v>1504.8962005483743</v>
      </c>
      <c r="F67" s="75">
        <f>(Input!F136*0.1/0.2553*1000)</f>
        <v>17951.429690560126</v>
      </c>
      <c r="G67" s="75">
        <f>(Input!G136*0.1/0.2553*1000)</f>
        <v>25942.028985507248</v>
      </c>
      <c r="H67" s="64">
        <v>1.1294900000000001</v>
      </c>
      <c r="I67" s="64">
        <v>1.1319399999999999</v>
      </c>
      <c r="J67" s="75">
        <f>(Input!J136*0.1/0.2553*1000)</f>
        <v>134.78260869565219</v>
      </c>
      <c r="K67" s="75">
        <f>(Input!L136*0.1/0.2553*1000)</f>
        <v>6.259302781041912</v>
      </c>
      <c r="L67" s="75">
        <f>(Input!M136*0.1/0.2553*1000)</f>
        <v>1.1049745397571484</v>
      </c>
      <c r="M67" s="75">
        <f>(Input!N136*0.1/0.2553*1000)</f>
        <v>58.59772816294555</v>
      </c>
      <c r="N67" s="75">
        <f>(Input!O136*0.1/0.2553*1000)</f>
        <v>428.51547199373283</v>
      </c>
      <c r="O67" s="75">
        <f>(Input!P136*0.1/0.2553*1000)</f>
        <v>0.15119467293380334</v>
      </c>
      <c r="P67" s="75">
        <f>(Input!Q136*0.1/0.2553*1000)</f>
        <v>1.1034077555816686</v>
      </c>
      <c r="Q67" s="75">
        <f>(Input!R136*0.1/0.2553*1000)</f>
        <v>5.5229142185663918</v>
      </c>
      <c r="R67" s="75">
        <f>(Input!S136*0.1/0.2553*1000)</f>
        <v>5.8323540932236586</v>
      </c>
      <c r="S67" s="75">
        <f>(Input!T136*0.1/0.2553*1000)</f>
        <v>0.6572659616137877</v>
      </c>
      <c r="T67" s="64">
        <v>1.00545</v>
      </c>
      <c r="U67" s="64">
        <v>0.96901999999999999</v>
      </c>
      <c r="V67" s="75">
        <f>(Input!W136*0.1/0.2553*1000)</f>
        <v>4.5436741088914996E-2</v>
      </c>
      <c r="W67" s="75">
        <f>(Input!X136*0.1/0.2553*1000)</f>
        <v>12.248335291813552</v>
      </c>
      <c r="X67" s="75">
        <f>(Input!Y136*0.1/0.2553*1000)</f>
        <v>6.388562475518996</v>
      </c>
      <c r="Y67" s="75">
        <f>(Input!Z136*0.1/0.2553*1000)</f>
        <v>142.34234234234233</v>
      </c>
      <c r="Z67" s="64">
        <v>1.07853</v>
      </c>
      <c r="AA67" s="64">
        <v>1.1524700000000001</v>
      </c>
      <c r="AB67" s="75">
        <f>(Input!AC136*0.1/0.2553*1000)</f>
        <v>6.2671367019193104E-3</v>
      </c>
      <c r="AC67" s="75">
        <f>(Input!AD136*0.1/0.2553*1000)</f>
        <v>0.45554249902075983</v>
      </c>
      <c r="AD67" s="75">
        <f>(Input!AE136*0.1/0.2553*1000)</f>
        <v>7.833920877399138E-4</v>
      </c>
      <c r="AE67" s="75">
        <f>(Input!AF136*0.1/0.2553*1000)</f>
        <v>2.7418723070896981E-3</v>
      </c>
      <c r="AF67" s="75">
        <f>(Input!AG136*0.1/0.2553*1000)</f>
        <v>3.8777908343125736E-2</v>
      </c>
      <c r="AG67" s="75">
        <f>(Input!AH136*0.1/0.2553*1000)</f>
        <v>0.86603995299647474</v>
      </c>
      <c r="AH67" s="75">
        <f>(Input!AI136*0.1/0.2553*1000)</f>
        <v>5.3270661966314137E-2</v>
      </c>
      <c r="AI67" s="64">
        <v>0.97921999999999998</v>
      </c>
      <c r="AJ67" s="64">
        <v>1.1398600000000001</v>
      </c>
      <c r="AK67" s="75">
        <f>(Input!AL136*0.1/0.2553*1000)</f>
        <v>1.2534273403838621E-2</v>
      </c>
      <c r="AL67" s="75">
        <f>(Input!AM136*0.1/0.2553*1000)</f>
        <v>7.833920877399138E-4</v>
      </c>
      <c r="AM67" s="75">
        <f>(Input!AN136*0.1/0.2553*1000)</f>
        <v>6.1104582843713263E-2</v>
      </c>
      <c r="AN67" s="75">
        <f>(Input!AO136*0.1/0.2553*1000)</f>
        <v>17.974931453192319</v>
      </c>
      <c r="AO67" s="75">
        <f>(Input!AQ136*0.1/0.2553*1000)</f>
        <v>5.0528789659224436E-2</v>
      </c>
      <c r="AP67" s="75">
        <f>(Input!AR136*0.1/0.2553*1000)</f>
        <v>8.3039561300430859E-2</v>
      </c>
      <c r="AQ67" s="75">
        <f>(Input!AS136*0.1/0.2553*1000)</f>
        <v>1.1359185272228749E-2</v>
      </c>
      <c r="AR67" s="75">
        <f>(Input!AT136*0.1/0.2553*1000)</f>
        <v>4.2303172737955343E-2</v>
      </c>
      <c r="AS67" s="75">
        <f>(Input!AU136*0.1/0.2553*1000)</f>
        <v>8.2256169212690956E-3</v>
      </c>
      <c r="AT67" s="75">
        <f>(Input!AV136*0.1/0.2553*1000)</f>
        <v>4.3086564825695261E-3</v>
      </c>
      <c r="AU67" s="75">
        <f>(Input!AW136*0.1/0.2553*1000)</f>
        <v>7.4422248335291813E-3</v>
      </c>
      <c r="AV67" s="75">
        <f>(Input!AX136*0.1/0.2553*1000)</f>
        <v>1.1750881316098707E-3</v>
      </c>
      <c r="AW67" s="75">
        <f>(Input!AY136*0.1/0.2553*1000)</f>
        <v>4.7003525264394828E-3</v>
      </c>
      <c r="AX67" s="75">
        <f>(Input!AZ136*0.1/0.2553*1000)</f>
        <v>7.833920877399138E-4</v>
      </c>
      <c r="AY67" s="75">
        <f>(Input!BA136*0.1/0.2553*1000)</f>
        <v>2.3501762632197414E-3</v>
      </c>
      <c r="AZ67" s="75">
        <f>(Input!BB136*0.1/0.2553*1000)</f>
        <v>3.916960438699569E-4</v>
      </c>
      <c r="BA67" s="75">
        <f>(Input!BC136*0.1/0.2553*1000)</f>
        <v>1.9584802193497847E-3</v>
      </c>
      <c r="BB67" s="75">
        <f>(Input!BD136*0.1/0.2553*1000)</f>
        <v>3.916960438699569E-4</v>
      </c>
      <c r="BC67" s="75">
        <f>(Input!BE136*0.1/0.2553*1000)</f>
        <v>3.916960438699569E-4</v>
      </c>
      <c r="BD67" s="75">
        <f>(Input!BF136*0.1/0.2553*1000)</f>
        <v>8.1864473168820978E-2</v>
      </c>
      <c r="BE67" s="75">
        <f>(Input!BG136*0.1/0.2553*1000)</f>
        <v>0.11398354876615745</v>
      </c>
      <c r="BF67" s="75">
        <f>(Input!BH136*0.1/0.2553*1000)</f>
        <v>0.11476694085389734</v>
      </c>
      <c r="BG67" s="75">
        <f>(Input!BI136*0.1/0.2553*1000)</f>
        <v>0</v>
      </c>
      <c r="BH67" s="75">
        <f>(Input!BJ136*0.1/0.2553*1000)</f>
        <v>7.833920877399138E-4</v>
      </c>
      <c r="BI67" s="75">
        <f>(Input!BK136*0.1/0.2553*1000)</f>
        <v>0.44222483352918135</v>
      </c>
      <c r="BJ67" s="75">
        <f>(Input!BL136*0.1/0.2553*1000)</f>
        <v>1.5667841754798276E-3</v>
      </c>
      <c r="BK67" s="75">
        <f>(Input!BM136*0.1/0.2553*1000)</f>
        <v>0.36506071288679987</v>
      </c>
      <c r="BL67" s="75">
        <f>(Input!BN136*0.1/0.2553*1000)</f>
        <v>0.36520564042303172</v>
      </c>
      <c r="BM67" s="64">
        <v>0.93237000000000003</v>
      </c>
      <c r="BN67" s="64">
        <v>1.0738799999999999</v>
      </c>
      <c r="BO67" s="75">
        <f>(Input!BQ136*0.1/0.2553*1000)</f>
        <v>1.4101057579318446E-2</v>
      </c>
      <c r="BP67" s="75">
        <f>(Input!BR136*0.1/0.2553*1000)</f>
        <v>3.5252643948296115E-3</v>
      </c>
    </row>
    <row r="68" spans="1:68" x14ac:dyDescent="0.3">
      <c r="A68" s="52" t="s">
        <v>83</v>
      </c>
      <c r="B68" s="75">
        <f>(Input!B137*0.1/0.254*1000)</f>
        <v>206.61417322834643</v>
      </c>
      <c r="C68" s="75">
        <f>(Input!C137*0.1/0.254*1000)</f>
        <v>2072.0472440944882</v>
      </c>
      <c r="D68" s="75">
        <f>(Input!D137*0.1/0.254*1000)</f>
        <v>95.78740157480317</v>
      </c>
      <c r="E68" s="75">
        <f>(Input!E137*0.1/0.254*1000)</f>
        <v>1377.952755905512</v>
      </c>
      <c r="F68" s="75">
        <f>(Input!F137*0.1/0.254*1000)</f>
        <v>20169.291338582676</v>
      </c>
      <c r="G68" s="75">
        <f>(Input!G137*0.1/0.254*1000)</f>
        <v>19496.06299212599</v>
      </c>
      <c r="H68" s="64">
        <v>1.0860700000000001</v>
      </c>
      <c r="I68" s="64">
        <v>1.0976900000000001</v>
      </c>
      <c r="J68" s="75">
        <f>(Input!J137*0.1/0.254*1000)</f>
        <v>105.07874015748031</v>
      </c>
      <c r="K68" s="75">
        <f>(Input!L137*0.1/0.254*1000)</f>
        <v>7.5511811023622046</v>
      </c>
      <c r="L68" s="75">
        <f>(Input!M137*0.1/0.254*1000)</f>
        <v>1.0649606299212599</v>
      </c>
      <c r="M68" s="75">
        <f>(Input!N137*0.1/0.254*1000)</f>
        <v>51.417322834645674</v>
      </c>
      <c r="N68" s="75">
        <f>(Input!O137*0.1/0.254*1000)</f>
        <v>144.72440944881893</v>
      </c>
      <c r="O68" s="75">
        <f>(Input!P137*0.1/0.254*1000)</f>
        <v>0.19566929133858271</v>
      </c>
      <c r="P68" s="75">
        <f>(Input!Q137*0.1/0.254*1000)</f>
        <v>0.84881889763779528</v>
      </c>
      <c r="Q68" s="75">
        <f>(Input!R137*0.1/0.254*1000)</f>
        <v>6.8464566929133861</v>
      </c>
      <c r="R68" s="75">
        <f>(Input!S137*0.1/0.254*1000)</f>
        <v>5.059055118110237</v>
      </c>
      <c r="S68" s="75">
        <f>(Input!T137*0.1/0.254*1000)</f>
        <v>0.37795275590551181</v>
      </c>
      <c r="T68" s="64">
        <v>0.97804999999999997</v>
      </c>
      <c r="U68" s="64">
        <v>0.94479999999999997</v>
      </c>
      <c r="V68" s="75">
        <f>(Input!W137*0.1/0.254*1000)</f>
        <v>1.9685039370078743E-2</v>
      </c>
      <c r="W68" s="75">
        <f>(Input!X137*0.1/0.254*1000)</f>
        <v>13.161417322834648</v>
      </c>
      <c r="X68" s="75">
        <f>(Input!Y137*0.1/0.254*1000)</f>
        <v>6.452755905511812</v>
      </c>
      <c r="Y68" s="75">
        <f>(Input!Z137*0.1/0.254*1000)</f>
        <v>98.858267716535423</v>
      </c>
      <c r="Z68" s="64">
        <v>1.04121</v>
      </c>
      <c r="AA68" s="64">
        <v>1.1269100000000001</v>
      </c>
      <c r="AB68" s="75">
        <f>(Input!AC137*0.1/0.254*1000)</f>
        <v>8.2677165354330708E-3</v>
      </c>
      <c r="AC68" s="75">
        <f>(Input!AD137*0.1/0.254*1000)</f>
        <v>0.54409448818897643</v>
      </c>
      <c r="AD68" s="75">
        <f>(Input!AE137*0.1/0.254*1000)</f>
        <v>0</v>
      </c>
      <c r="AE68" s="75">
        <f>(Input!AF137*0.1/0.254*1000)</f>
        <v>1.574803149606299E-3</v>
      </c>
      <c r="AF68" s="75">
        <f>(Input!AG137*0.1/0.254*1000)</f>
        <v>2.7165354330708668E-2</v>
      </c>
      <c r="AG68" s="75">
        <f>(Input!AH137*0.1/0.254*1000)</f>
        <v>0.13110236220472443</v>
      </c>
      <c r="AH68" s="75">
        <f>(Input!AI137*0.1/0.254*1000)</f>
        <v>2.8346456692913382E-2</v>
      </c>
      <c r="AI68" s="64">
        <v>0.94806000000000001</v>
      </c>
      <c r="AJ68" s="64">
        <v>1.1134999999999999</v>
      </c>
      <c r="AK68" s="75">
        <f>(Input!AL137*0.1/0.254*1000)</f>
        <v>9.4488188976377969E-3</v>
      </c>
      <c r="AL68" s="75">
        <f>(Input!AM137*0.1/0.254*1000)</f>
        <v>3.9370078740157474E-4</v>
      </c>
      <c r="AM68" s="75">
        <f>(Input!AN137*0.1/0.254*1000)</f>
        <v>4.9606299212598431E-2</v>
      </c>
      <c r="AN68" s="75">
        <f>(Input!AO137*0.1/0.254*1000)</f>
        <v>9.9881889763779519</v>
      </c>
      <c r="AO68" s="75">
        <f>(Input!AQ137*0.1/0.254*1000)</f>
        <v>7.7559055118110246E-2</v>
      </c>
      <c r="AP68" s="75">
        <f>(Input!AR137*0.1/0.254*1000)</f>
        <v>0.14330708661417324</v>
      </c>
      <c r="AQ68" s="75">
        <f>(Input!AS137*0.1/0.254*1000)</f>
        <v>1.8503937007874012E-2</v>
      </c>
      <c r="AR68" s="75">
        <f>(Input!AT137*0.1/0.254*1000)</f>
        <v>7.1259842519685035E-2</v>
      </c>
      <c r="AS68" s="75">
        <f>(Input!AU137*0.1/0.254*1000)</f>
        <v>1.4566929133858269E-2</v>
      </c>
      <c r="AT68" s="75">
        <f>(Input!AV137*0.1/0.254*1000)</f>
        <v>4.3307086614173228E-3</v>
      </c>
      <c r="AU68" s="75">
        <f>(Input!AW137*0.1/0.254*1000)</f>
        <v>1.3385826771653543E-2</v>
      </c>
      <c r="AV68" s="75">
        <f>(Input!AX137*0.1/0.254*1000)</f>
        <v>1.574803149606299E-3</v>
      </c>
      <c r="AW68" s="75">
        <f>(Input!AY137*0.1/0.254*1000)</f>
        <v>9.0551181102362203E-3</v>
      </c>
      <c r="AX68" s="75">
        <f>(Input!AZ137*0.1/0.254*1000)</f>
        <v>1.574803149606299E-3</v>
      </c>
      <c r="AY68" s="75">
        <f>(Input!BA137*0.1/0.254*1000)</f>
        <v>4.7244094488188984E-3</v>
      </c>
      <c r="AZ68" s="75">
        <f>(Input!BB137*0.1/0.254*1000)</f>
        <v>7.8740157480314949E-4</v>
      </c>
      <c r="BA68" s="75">
        <f>(Input!BC137*0.1/0.254*1000)</f>
        <v>3.5433070866141727E-3</v>
      </c>
      <c r="BB68" s="75">
        <f>(Input!BD137*0.1/0.254*1000)</f>
        <v>3.9370078740157474E-4</v>
      </c>
      <c r="BC68" s="75">
        <f>(Input!BE137*0.1/0.254*1000)</f>
        <v>3.9370078740157474E-4</v>
      </c>
      <c r="BD68" s="75">
        <f>(Input!BF137*0.1/0.254*1000)</f>
        <v>3.7401574803149609E-2</v>
      </c>
      <c r="BE68" s="75">
        <f>(Input!BG137*0.1/0.254*1000)</f>
        <v>0.20393700787401578</v>
      </c>
      <c r="BF68" s="75">
        <f>(Input!BH137*0.1/0.254*1000)</f>
        <v>0.20708661417322835</v>
      </c>
      <c r="BG68" s="75">
        <f>(Input!BI137*0.1/0.254*1000)</f>
        <v>0</v>
      </c>
      <c r="BH68" s="75">
        <f>(Input!BJ137*0.1/0.254*1000)</f>
        <v>0</v>
      </c>
      <c r="BI68" s="75">
        <f>(Input!BK137*0.1/0.254*1000)</f>
        <v>7.9133858267716545E-2</v>
      </c>
      <c r="BJ68" s="75">
        <f>(Input!BL137*0.1/0.254*1000)</f>
        <v>1.9685039370078744E-3</v>
      </c>
      <c r="BK68" s="75">
        <f>(Input!BM137*0.1/0.254*1000)</f>
        <v>0.55078740157480321</v>
      </c>
      <c r="BL68" s="75">
        <f>(Input!BN137*0.1/0.254*1000)</f>
        <v>0.35837007874015753</v>
      </c>
      <c r="BM68" s="64">
        <v>0.91025999999999996</v>
      </c>
      <c r="BN68" s="64">
        <v>1.05341</v>
      </c>
      <c r="BO68" s="75">
        <f>(Input!BQ137*0.1/0.254*1000)</f>
        <v>2.2834645669291338E-2</v>
      </c>
      <c r="BP68" s="75">
        <f>(Input!BR137*0.1/0.254*1000)</f>
        <v>4.7244094488188984E-3</v>
      </c>
    </row>
    <row r="69" spans="1:68" x14ac:dyDescent="0.3">
      <c r="A69" s="52" t="s">
        <v>84</v>
      </c>
      <c r="B69" s="75">
        <f>(Input!B138*0.1/0.2558*1000)</f>
        <v>183.38545738858483</v>
      </c>
      <c r="C69" s="75">
        <f>(Input!C138*0.1/0.2558*1000)</f>
        <v>2463.2525410476937</v>
      </c>
      <c r="D69" s="75">
        <f>(Input!D138*0.1/0.2558*1000)</f>
        <v>63.330727130570764</v>
      </c>
      <c r="E69" s="75">
        <f>(Input!E138*0.1/0.2558*1000)</f>
        <v>2188.8193901485533</v>
      </c>
      <c r="F69" s="75">
        <f>(Input!F138*0.1/0.2558*1000)</f>
        <v>15992.963252541047</v>
      </c>
      <c r="G69" s="75">
        <f>(Input!G138*0.1/0.2558*1000)</f>
        <v>30953.870211102421</v>
      </c>
      <c r="H69" s="64">
        <v>1.08344</v>
      </c>
      <c r="I69" s="64">
        <v>1.12452</v>
      </c>
      <c r="J69" s="75">
        <f>(Input!J138*0.1/0.2558*1000)</f>
        <v>157.62314308053166</v>
      </c>
      <c r="K69" s="75">
        <f>(Input!L138*0.1/0.2558*1000)</f>
        <v>6.3565285379202496</v>
      </c>
      <c r="L69" s="75">
        <f>(Input!M138*0.1/0.2558*1000)</f>
        <v>0.99061767005473012</v>
      </c>
      <c r="M69" s="75">
        <f>(Input!N138*0.1/0.2558*1000)</f>
        <v>67.787333854573887</v>
      </c>
      <c r="N69" s="75">
        <f>(Input!O138*0.1/0.2558*1000)</f>
        <v>132.21266614542611</v>
      </c>
      <c r="O69" s="75">
        <f>(Input!P138*0.1/0.2558*1000)</f>
        <v>0.38936669272869423</v>
      </c>
      <c r="P69" s="75">
        <f>(Input!Q138*0.1/0.2558*1000)</f>
        <v>2.7263487099296322</v>
      </c>
      <c r="Q69" s="75">
        <f>(Input!R138*0.1/0.2558*1000)</f>
        <v>7.4511336982017182</v>
      </c>
      <c r="R69" s="75">
        <f>(Input!S138*0.1/0.2558*1000)</f>
        <v>4.9765441751368256</v>
      </c>
      <c r="S69" s="75">
        <f>(Input!T138*0.1/0.2558*1000)</f>
        <v>0.96129788897576229</v>
      </c>
      <c r="T69" s="64">
        <v>0.97902</v>
      </c>
      <c r="U69" s="64">
        <v>0.96738000000000002</v>
      </c>
      <c r="V69" s="75">
        <f>(Input!W138*0.1/0.2558*1000)</f>
        <v>4.5738858483189995E-2</v>
      </c>
      <c r="W69" s="75">
        <f>(Input!X138*0.1/0.2558*1000)</f>
        <v>14.038311180609849</v>
      </c>
      <c r="X69" s="75">
        <f>(Input!Y138*0.1/0.2558*1000)</f>
        <v>11.825645035183735</v>
      </c>
      <c r="Y69" s="75">
        <f>(Input!Z138*0.1/0.2558*1000)</f>
        <v>220.71931196247067</v>
      </c>
      <c r="Z69" s="64">
        <v>1.0491699999999999</v>
      </c>
      <c r="AA69" s="64">
        <v>1.14178</v>
      </c>
      <c r="AB69" s="75">
        <f>(Input!AC138*0.1/0.2558*1000)</f>
        <v>5.4730258014073496E-3</v>
      </c>
      <c r="AC69" s="75">
        <f>(Input!AD138*0.1/0.2558*1000)</f>
        <v>0.30140734949179043</v>
      </c>
      <c r="AD69" s="75">
        <f>(Input!AE138*0.1/0.2558*1000)</f>
        <v>3.9093041438623919E-4</v>
      </c>
      <c r="AE69" s="75">
        <f>(Input!AF138*0.1/0.2558*1000)</f>
        <v>3.5183737294761522E-3</v>
      </c>
      <c r="AF69" s="75">
        <f>(Input!AG138*0.1/0.2558*1000)</f>
        <v>6.0594214229867077E-2</v>
      </c>
      <c r="AG69" s="75">
        <f>(Input!AH138*0.1/0.2558*1000)</f>
        <v>0.11923377638780296</v>
      </c>
      <c r="AH69" s="75">
        <f>(Input!AI138*0.1/0.2558*1000)</f>
        <v>2.7365129007036745E-2</v>
      </c>
      <c r="AI69" s="64">
        <v>0.94937000000000005</v>
      </c>
      <c r="AJ69" s="64">
        <v>1.1236200000000001</v>
      </c>
      <c r="AK69" s="75">
        <f>(Input!AL138*0.1/0.2558*1000)</f>
        <v>8.2095387021110244E-3</v>
      </c>
      <c r="AL69" s="75">
        <f>(Input!AM138*0.1/0.2558*1000)</f>
        <v>0</v>
      </c>
      <c r="AM69" s="75">
        <f>(Input!AN138*0.1/0.2558*1000)</f>
        <v>7.9749804534792801E-2</v>
      </c>
      <c r="AN69" s="75">
        <f>(Input!AO138*0.1/0.2558*1000)</f>
        <v>26.278342455043003</v>
      </c>
      <c r="AO69" s="75">
        <f>(Input!AQ138*0.1/0.2558*1000)</f>
        <v>5.3948397185301027E-2</v>
      </c>
      <c r="AP69" s="75">
        <f>(Input!AR138*0.1/0.2558*1000)</f>
        <v>0.10164190774042221</v>
      </c>
      <c r="AQ69" s="75">
        <f>(Input!AS138*0.1/0.2558*1000)</f>
        <v>1.2509773260359654E-2</v>
      </c>
      <c r="AR69" s="75">
        <f>(Input!AT138*0.1/0.2558*1000)</f>
        <v>4.6520719311962465E-2</v>
      </c>
      <c r="AS69" s="75">
        <f>(Input!AU138*0.1/0.2558*1000)</f>
        <v>9.773260359655981E-3</v>
      </c>
      <c r="AT69" s="75">
        <f>(Input!AV138*0.1/0.2558*1000)</f>
        <v>6.6458170445660662E-3</v>
      </c>
      <c r="AU69" s="75">
        <f>(Input!AW138*0.1/0.2558*1000)</f>
        <v>8.6004691164972627E-3</v>
      </c>
      <c r="AV69" s="75">
        <f>(Input!AX138*0.1/0.2558*1000)</f>
        <v>1.1727912431587178E-3</v>
      </c>
      <c r="AW69" s="75">
        <f>(Input!AY138*0.1/0.2558*1000)</f>
        <v>5.8639562157935879E-3</v>
      </c>
      <c r="AX69" s="75">
        <f>(Input!AZ138*0.1/0.2558*1000)</f>
        <v>1.1727912431587178E-3</v>
      </c>
      <c r="AY69" s="75">
        <f>(Input!BA138*0.1/0.2558*1000)</f>
        <v>3.1274433150899135E-3</v>
      </c>
      <c r="AZ69" s="75">
        <f>(Input!BB138*0.1/0.2558*1000)</f>
        <v>3.9093041438623919E-4</v>
      </c>
      <c r="BA69" s="75">
        <f>(Input!BC138*0.1/0.2558*1000)</f>
        <v>2.3455824863174357E-3</v>
      </c>
      <c r="BB69" s="75">
        <f>(Input!BD138*0.1/0.2558*1000)</f>
        <v>3.9093041438623919E-4</v>
      </c>
      <c r="BC69" s="75">
        <f>(Input!BE138*0.1/0.2558*1000)</f>
        <v>0</v>
      </c>
      <c r="BD69" s="75">
        <f>(Input!BF138*0.1/0.2558*1000)</f>
        <v>6.2548866301798275E-2</v>
      </c>
      <c r="BE69" s="75">
        <f>(Input!BG138*0.1/0.2558*1000)</f>
        <v>0.18842845973416733</v>
      </c>
      <c r="BF69" s="75">
        <f>(Input!BH138*0.1/0.2558*1000)</f>
        <v>0.19077404222048472</v>
      </c>
      <c r="BG69" s="75">
        <f>(Input!BI138*0.1/0.2558*1000)</f>
        <v>0</v>
      </c>
      <c r="BH69" s="75">
        <f>(Input!BJ138*0.1/0.2558*1000)</f>
        <v>0</v>
      </c>
      <c r="BI69" s="75">
        <f>(Input!BK138*0.1/0.2558*1000)</f>
        <v>7.1149335418295545E-2</v>
      </c>
      <c r="BJ69" s="75">
        <f>(Input!BL138*0.1/0.2558*1000)</f>
        <v>1.9546520719311961E-3</v>
      </c>
      <c r="BK69" s="75">
        <f>(Input!BM138*0.1/0.2558*1000)</f>
        <v>0.1157154026583268</v>
      </c>
      <c r="BL69" s="75">
        <f>(Input!BN138*0.1/0.2558*1000)</f>
        <v>0.35576231430805316</v>
      </c>
      <c r="BM69" s="64">
        <v>0.91003999999999996</v>
      </c>
      <c r="BN69" s="64">
        <v>1.06003</v>
      </c>
      <c r="BO69" s="75">
        <f>(Input!BQ138*0.1/0.2558*1000)</f>
        <v>1.4073494917904609E-2</v>
      </c>
      <c r="BP69" s="75">
        <f>(Input!BR138*0.1/0.2558*1000)</f>
        <v>3.1274433150899135E-3</v>
      </c>
    </row>
    <row r="70" spans="1:68" x14ac:dyDescent="0.3">
      <c r="A70" s="52" t="s">
        <v>85</v>
      </c>
      <c r="B70" s="75">
        <f>(Input!B139*0.1/0.2588*1000)</f>
        <v>184.69860896445135</v>
      </c>
      <c r="C70" s="75">
        <f>(Input!C139*0.1/0.2588*1000)</f>
        <v>2085.0077279752704</v>
      </c>
      <c r="D70" s="75">
        <f>(Input!D139*0.1/0.2588*1000)</f>
        <v>58.423493044822273</v>
      </c>
      <c r="E70" s="75">
        <f>(Input!E139*0.1/0.2588*1000)</f>
        <v>1414.9922720247296</v>
      </c>
      <c r="F70" s="75">
        <f>(Input!F139*0.1/0.2588*1000)</f>
        <v>18724.884080370946</v>
      </c>
      <c r="G70" s="75">
        <f>(Input!G139*0.1/0.2588*1000)</f>
        <v>22492.272024729526</v>
      </c>
      <c r="H70" s="64">
        <v>1.07464</v>
      </c>
      <c r="I70" s="64">
        <v>1.0933900000000001</v>
      </c>
      <c r="J70" s="75">
        <f>(Input!J139*0.1/0.2588*1000)</f>
        <v>118.0061823802164</v>
      </c>
      <c r="K70" s="75">
        <f>(Input!L139*0.1/0.2588*1000)</f>
        <v>5.6646058732612063</v>
      </c>
      <c r="L70" s="75">
        <f>(Input!M139*0.1/0.2588*1000)</f>
        <v>0.93160741885625975</v>
      </c>
      <c r="M70" s="75">
        <f>(Input!N139*0.1/0.2588*1000)</f>
        <v>55.139103554868633</v>
      </c>
      <c r="N70" s="75">
        <f>(Input!O139*0.1/0.2588*1000)</f>
        <v>120.36321483771253</v>
      </c>
      <c r="O70" s="75">
        <f>(Input!P139*0.1/0.2588*1000)</f>
        <v>0.20556414219474503</v>
      </c>
      <c r="P70" s="75">
        <f>(Input!Q139*0.1/0.2588*1000)</f>
        <v>2.1989953632148378</v>
      </c>
      <c r="Q70" s="75">
        <f>(Input!R139*0.1/0.2588*1000)</f>
        <v>6.9860896445131377</v>
      </c>
      <c r="R70" s="75">
        <f>(Input!S139*0.1/0.2588*1000)</f>
        <v>3.2407264296754255</v>
      </c>
      <c r="S70" s="75">
        <f>(Input!T139*0.1/0.2588*1000)</f>
        <v>0.58230293663060284</v>
      </c>
      <c r="T70" s="64">
        <v>0.98179000000000005</v>
      </c>
      <c r="U70" s="64">
        <v>0.94704999999999995</v>
      </c>
      <c r="V70" s="75">
        <f>(Input!W139*0.1/0.2588*1000)</f>
        <v>5.4482225656877901E-2</v>
      </c>
      <c r="W70" s="75">
        <f>(Input!X139*0.1/0.2588*1000)</f>
        <v>6.6924265842349309</v>
      </c>
      <c r="X70" s="75">
        <f>(Input!Y139*0.1/0.2588*1000)</f>
        <v>9.8995363214837724</v>
      </c>
      <c r="Y70" s="75">
        <f>(Input!Z139*0.1/0.2588*1000)</f>
        <v>110.93508500772801</v>
      </c>
      <c r="Z70" s="64">
        <v>1.0396000000000001</v>
      </c>
      <c r="AA70" s="64">
        <v>1.1165799999999999</v>
      </c>
      <c r="AB70" s="75">
        <f>(Input!AC139*0.1/0.2588*1000)</f>
        <v>5.4095826893353956E-3</v>
      </c>
      <c r="AC70" s="75">
        <f>(Input!AD139*0.1/0.2588*1000)</f>
        <v>0.23995363214837717</v>
      </c>
      <c r="AD70" s="75">
        <f>(Input!AE139*0.1/0.2588*1000)</f>
        <v>3.8639876352395672E-4</v>
      </c>
      <c r="AE70" s="75">
        <f>(Input!AF139*0.1/0.2588*1000)</f>
        <v>1.9319938176197841E-3</v>
      </c>
      <c r="AF70" s="75">
        <f>(Input!AG139*0.1/0.2588*1000)</f>
        <v>2.9366306027820716E-2</v>
      </c>
      <c r="AG70" s="75">
        <f>(Input!AH139*0.1/0.2588*1000)</f>
        <v>0.14335394126738799</v>
      </c>
      <c r="AH70" s="75">
        <f>(Input!AI139*0.1/0.2588*1000)</f>
        <v>3.3230293663060281E-2</v>
      </c>
      <c r="AI70" s="64">
        <v>0.94525999999999999</v>
      </c>
      <c r="AJ70" s="64">
        <v>1.1069800000000001</v>
      </c>
      <c r="AK70" s="75">
        <f>(Input!AL139*0.1/0.2588*1000)</f>
        <v>1.1978361669242661E-2</v>
      </c>
      <c r="AL70" s="75">
        <f>(Input!AM139*0.1/0.2588*1000)</f>
        <v>0</v>
      </c>
      <c r="AM70" s="75">
        <f>(Input!AN139*0.1/0.2588*1000)</f>
        <v>6.7619783616692436E-2</v>
      </c>
      <c r="AN70" s="75">
        <f>(Input!AO139*0.1/0.2588*1000)</f>
        <v>15.834621329211748</v>
      </c>
      <c r="AO70" s="75">
        <f>(Input!AQ139*0.1/0.2588*1000)</f>
        <v>6.1437403400309142E-2</v>
      </c>
      <c r="AP70" s="75">
        <f>(Input!AR139*0.1/0.2588*1000)</f>
        <v>0.10123647604327669</v>
      </c>
      <c r="AQ70" s="75">
        <f>(Input!AS139*0.1/0.2588*1000)</f>
        <v>1.3523956723338487E-2</v>
      </c>
      <c r="AR70" s="75">
        <f>(Input!AT139*0.1/0.2588*1000)</f>
        <v>5.0618238021638347E-2</v>
      </c>
      <c r="AS70" s="75">
        <f>(Input!AU139*0.1/0.2588*1000)</f>
        <v>1.0046367851622875E-2</v>
      </c>
      <c r="AT70" s="75">
        <f>(Input!AV139*0.1/0.2588*1000)</f>
        <v>5.0231839258114376E-3</v>
      </c>
      <c r="AU70" s="75">
        <f>(Input!AW139*0.1/0.2588*1000)</f>
        <v>9.6599690880989197E-3</v>
      </c>
      <c r="AV70" s="75">
        <f>(Input!AX139*0.1/0.2588*1000)</f>
        <v>1.1591962905718705E-3</v>
      </c>
      <c r="AW70" s="75">
        <f>(Input!AY139*0.1/0.2588*1000)</f>
        <v>6.1823802163833074E-3</v>
      </c>
      <c r="AX70" s="75">
        <f>(Input!AZ139*0.1/0.2588*1000)</f>
        <v>1.1591962905718705E-3</v>
      </c>
      <c r="AY70" s="75">
        <f>(Input!BA139*0.1/0.2588*1000)</f>
        <v>3.0911901081916537E-3</v>
      </c>
      <c r="AZ70" s="75">
        <f>(Input!BB139*0.1/0.2588*1000)</f>
        <v>3.8639876352395672E-4</v>
      </c>
      <c r="BA70" s="75">
        <f>(Input!BC139*0.1/0.2588*1000)</f>
        <v>2.7047913446676978E-3</v>
      </c>
      <c r="BB70" s="75">
        <f>(Input!BD139*0.1/0.2588*1000)</f>
        <v>3.8639876352395672E-4</v>
      </c>
      <c r="BC70" s="75">
        <f>(Input!BE139*0.1/0.2588*1000)</f>
        <v>0</v>
      </c>
      <c r="BD70" s="75">
        <f>(Input!BF139*0.1/0.2588*1000)</f>
        <v>3.0911901081916545E-2</v>
      </c>
      <c r="BE70" s="75">
        <f>(Input!BG139*0.1/0.2588*1000)</f>
        <v>0.14914992272024732</v>
      </c>
      <c r="BF70" s="75">
        <f>(Input!BH139*0.1/0.2588*1000)</f>
        <v>0.15340030911901084</v>
      </c>
      <c r="BG70" s="75">
        <f>(Input!BI139*0.1/0.2588*1000)</f>
        <v>0</v>
      </c>
      <c r="BH70" s="75">
        <f>(Input!BJ139*0.1/0.2588*1000)</f>
        <v>0</v>
      </c>
      <c r="BI70" s="75">
        <f>(Input!BK139*0.1/0.2588*1000)</f>
        <v>6.0278207109737254E-2</v>
      </c>
      <c r="BJ70" s="75">
        <f>(Input!BL139*0.1/0.2588*1000)</f>
        <v>1.5455950540958269E-3</v>
      </c>
      <c r="BK70" s="75">
        <f>(Input!BM139*0.1/0.2588*1000)</f>
        <v>0.12442040185471409</v>
      </c>
      <c r="BL70" s="75">
        <f>(Input!BN139*0.1/0.2588*1000)</f>
        <v>0.35213292117465228</v>
      </c>
      <c r="BM70" s="64">
        <v>0.91132000000000002</v>
      </c>
      <c r="BN70" s="64">
        <v>1.0513999999999999</v>
      </c>
      <c r="BO70" s="75">
        <f>(Input!BQ139*0.1/0.2588*1000)</f>
        <v>3.6707882534775894E-2</v>
      </c>
      <c r="BP70" s="75">
        <f>(Input!BR139*0.1/0.2588*1000)</f>
        <v>3.8639876352395681E-3</v>
      </c>
    </row>
    <row r="71" spans="1:68" x14ac:dyDescent="0.3">
      <c r="A71" s="52" t="s">
        <v>86</v>
      </c>
      <c r="B71" s="75">
        <f>(Input!B140*0.1/0.2544*1000)</f>
        <v>137.73584905660377</v>
      </c>
      <c r="C71" s="75">
        <f>(Input!C140*0.1/0.2544*1000)</f>
        <v>2552.6729559748428</v>
      </c>
      <c r="D71" s="75">
        <f>(Input!D140*0.1/0.2544*1000)</f>
        <v>30.172955974842772</v>
      </c>
      <c r="E71" s="75">
        <f>(Input!E140*0.1/0.2544*1000)</f>
        <v>1591.1949685534591</v>
      </c>
      <c r="F71" s="75">
        <f>(Input!F140*0.1/0.2544*1000)</f>
        <v>16151.729559748428</v>
      </c>
      <c r="G71" s="75">
        <f>(Input!G140*0.1/0.2544*1000)</f>
        <v>29319.968553459119</v>
      </c>
      <c r="H71" s="64">
        <v>1.0663400000000001</v>
      </c>
      <c r="I71" s="64">
        <v>1.1071299999999999</v>
      </c>
      <c r="J71" s="75">
        <f>(Input!J140*0.1/0.2544*1000)</f>
        <v>149.96069182389937</v>
      </c>
      <c r="K71" s="75">
        <f>(Input!L140*0.1/0.2544*1000)</f>
        <v>5.326257861635221</v>
      </c>
      <c r="L71" s="75">
        <f>(Input!M140*0.1/0.2544*1000)</f>
        <v>0.97169811320754707</v>
      </c>
      <c r="M71" s="75">
        <f>(Input!N140*0.1/0.2544*1000)</f>
        <v>55.974842767295598</v>
      </c>
      <c r="N71" s="75">
        <f>(Input!O140*0.1/0.2544*1000)</f>
        <v>370.16509433962267</v>
      </c>
      <c r="O71" s="75">
        <f>(Input!P140*0.1/0.2544*1000)</f>
        <v>0.19732704402515724</v>
      </c>
      <c r="P71" s="75">
        <f>(Input!Q140*0.1/0.2544*1000)</f>
        <v>1.2822327044025157</v>
      </c>
      <c r="Q71" s="75">
        <f>(Input!R140*0.1/0.2544*1000)</f>
        <v>6.6588050314465406</v>
      </c>
      <c r="R71" s="75">
        <f>(Input!S140*0.1/0.2544*1000)</f>
        <v>5.6761006289308167</v>
      </c>
      <c r="S71" s="75">
        <f>(Input!T140*0.1/0.2544*1000)</f>
        <v>0.80581761006289299</v>
      </c>
      <c r="T71" s="64">
        <v>0.96938000000000002</v>
      </c>
      <c r="U71" s="64">
        <v>0.95350000000000001</v>
      </c>
      <c r="V71" s="75">
        <f>(Input!W140*0.1/0.2544*1000)</f>
        <v>4.6776729559748424E-2</v>
      </c>
      <c r="W71" s="75">
        <f>(Input!X140*0.1/0.2544*1000)</f>
        <v>4.7366352201257858</v>
      </c>
      <c r="X71" s="75">
        <f>(Input!Y140*0.1/0.2544*1000)</f>
        <v>9.8584905660377355</v>
      </c>
      <c r="Y71" s="75">
        <f>(Input!Z140*0.1/0.2544*1000)</f>
        <v>159.19811320754721</v>
      </c>
      <c r="Z71" s="64">
        <v>1.0293600000000001</v>
      </c>
      <c r="AA71" s="64">
        <v>1.1306499999999999</v>
      </c>
      <c r="AB71" s="75">
        <f>(Input!AC140*0.1/0.2544*1000)</f>
        <v>3.9308176100628939E-3</v>
      </c>
      <c r="AC71" s="75">
        <f>(Input!AD140*0.1/0.2544*1000)</f>
        <v>0.3352987421383648</v>
      </c>
      <c r="AD71" s="75">
        <f>(Input!AE140*0.1/0.2544*1000)</f>
        <v>3.9308176100628928E-4</v>
      </c>
      <c r="AE71" s="75">
        <f>(Input!AF140*0.1/0.2544*1000)</f>
        <v>2.3584905660377362E-3</v>
      </c>
      <c r="AF71" s="75">
        <f>(Input!AG140*0.1/0.2544*1000)</f>
        <v>4.363207547169811E-2</v>
      </c>
      <c r="AG71" s="75">
        <f>(Input!AH140*0.1/0.2544*1000)</f>
        <v>0.27515723270440251</v>
      </c>
      <c r="AH71" s="75">
        <f>(Input!AI140*0.1/0.2544*1000)</f>
        <v>8.1367924528301896E-2</v>
      </c>
      <c r="AI71" s="64">
        <v>0.93569000000000002</v>
      </c>
      <c r="AJ71" s="64">
        <v>1.1131500000000001</v>
      </c>
      <c r="AK71" s="75">
        <f>(Input!AL140*0.1/0.2544*1000)</f>
        <v>9.8270440251572323E-3</v>
      </c>
      <c r="AL71" s="75">
        <f>(Input!AM140*0.1/0.2544*1000)</f>
        <v>1.1792452830188681E-3</v>
      </c>
      <c r="AM71" s="75">
        <f>(Input!AN140*0.1/0.2544*1000)</f>
        <v>9.0801886792452838E-2</v>
      </c>
      <c r="AN71" s="75">
        <f>(Input!AO140*0.1/0.2544*1000)</f>
        <v>22.059748427672954</v>
      </c>
      <c r="AO71" s="75">
        <f>(Input!AQ140*0.1/0.2544*1000)</f>
        <v>2.7908805031446538E-2</v>
      </c>
      <c r="AP71" s="75">
        <f>(Input!AR140*0.1/0.2544*1000)</f>
        <v>4.6383647798742135E-2</v>
      </c>
      <c r="AQ71" s="75">
        <f>(Input!AS140*0.1/0.2544*1000)</f>
        <v>5.8962264150943392E-3</v>
      </c>
      <c r="AR71" s="75">
        <f>(Input!AT140*0.1/0.2544*1000)</f>
        <v>2.2798742138364782E-2</v>
      </c>
      <c r="AS71" s="75">
        <f>(Input!AU140*0.1/0.2544*1000)</f>
        <v>4.3238993710691823E-3</v>
      </c>
      <c r="AT71" s="75">
        <f>(Input!AV140*0.1/0.2544*1000)</f>
        <v>4.3238993710691823E-3</v>
      </c>
      <c r="AU71" s="75">
        <f>(Input!AW140*0.1/0.2544*1000)</f>
        <v>3.9308176100628939E-3</v>
      </c>
      <c r="AV71" s="75">
        <f>(Input!AX140*0.1/0.2544*1000)</f>
        <v>3.9308176100628928E-4</v>
      </c>
      <c r="AW71" s="75">
        <f>(Input!AY140*0.1/0.2544*1000)</f>
        <v>3.1446540880503142E-3</v>
      </c>
      <c r="AX71" s="75">
        <f>(Input!AZ140*0.1/0.2544*1000)</f>
        <v>7.8616352201257855E-4</v>
      </c>
      <c r="AY71" s="75">
        <f>(Input!BA140*0.1/0.2544*1000)</f>
        <v>1.5723270440251571E-3</v>
      </c>
      <c r="AZ71" s="75">
        <f>(Input!BB140*0.1/0.2544*1000)</f>
        <v>0</v>
      </c>
      <c r="BA71" s="75">
        <f>(Input!BC140*0.1/0.2544*1000)</f>
        <v>1.1792452830188681E-3</v>
      </c>
      <c r="BB71" s="75">
        <f>(Input!BD140*0.1/0.2544*1000)</f>
        <v>0</v>
      </c>
      <c r="BC71" s="75">
        <f>(Input!BE140*0.1/0.2544*1000)</f>
        <v>0</v>
      </c>
      <c r="BD71" s="75">
        <f>(Input!BF140*0.1/0.2544*1000)</f>
        <v>5.8176100628930812E-2</v>
      </c>
      <c r="BE71" s="75">
        <f>(Input!BG140*0.1/0.2544*1000)</f>
        <v>9.7484276729559755E-2</v>
      </c>
      <c r="BF71" s="75">
        <f>(Input!BH140*0.1/0.2544*1000)</f>
        <v>9.9449685534591215E-2</v>
      </c>
      <c r="BG71" s="75">
        <f>(Input!BI140*0.1/0.2544*1000)</f>
        <v>0</v>
      </c>
      <c r="BH71" s="75">
        <f>(Input!BJ140*0.1/0.2544*1000)</f>
        <v>0</v>
      </c>
      <c r="BI71" s="75">
        <f>(Input!BK140*0.1/0.2544*1000)</f>
        <v>0.14661949685534592</v>
      </c>
      <c r="BJ71" s="75">
        <f>(Input!BL140*0.1/0.2544*1000)</f>
        <v>2.751572327044025E-3</v>
      </c>
      <c r="BK71" s="75">
        <f>(Input!BM140*0.1/0.2544*1000)</f>
        <v>7.1933962264150941E-2</v>
      </c>
      <c r="BL71" s="75">
        <f>(Input!BN140*0.1/0.2544*1000)</f>
        <v>0.35378144654088051</v>
      </c>
      <c r="BM71" s="64">
        <v>0.90002000000000004</v>
      </c>
      <c r="BN71" s="64">
        <v>1.0507299999999999</v>
      </c>
      <c r="BO71" s="75">
        <f>(Input!BQ140*0.1/0.2544*1000)</f>
        <v>7.075471698113206E-3</v>
      </c>
      <c r="BP71" s="75">
        <f>(Input!BR140*0.1/0.2544*1000)</f>
        <v>1.965408805031447E-3</v>
      </c>
    </row>
    <row r="72" spans="1:68" s="65" customFormat="1" x14ac:dyDescent="0.3"/>
    <row r="73" spans="1:68" s="53" customFormat="1" x14ac:dyDescent="0.3">
      <c r="A73" s="66" t="s">
        <v>177</v>
      </c>
      <c r="B73" s="51" t="s">
        <v>178</v>
      </c>
      <c r="C73" s="51" t="s">
        <v>178</v>
      </c>
      <c r="D73" s="51" t="s">
        <v>178</v>
      </c>
      <c r="E73" s="51" t="s">
        <v>178</v>
      </c>
      <c r="F73" s="51" t="s">
        <v>178</v>
      </c>
      <c r="G73" s="51" t="s">
        <v>178</v>
      </c>
      <c r="H73" s="63" t="s">
        <v>171</v>
      </c>
      <c r="I73" s="64" t="s">
        <v>171</v>
      </c>
      <c r="J73" s="67" t="s">
        <v>178</v>
      </c>
      <c r="K73" s="67" t="s">
        <v>178</v>
      </c>
      <c r="L73" s="67" t="s">
        <v>178</v>
      </c>
      <c r="M73" s="67" t="s">
        <v>178</v>
      </c>
      <c r="N73" s="67" t="s">
        <v>178</v>
      </c>
      <c r="O73" s="67" t="s">
        <v>178</v>
      </c>
      <c r="P73" s="67" t="s">
        <v>178</v>
      </c>
      <c r="Q73" s="67" t="s">
        <v>178</v>
      </c>
      <c r="R73" s="67" t="s">
        <v>178</v>
      </c>
      <c r="S73" s="67" t="s">
        <v>178</v>
      </c>
      <c r="T73" s="64" t="s">
        <v>171</v>
      </c>
      <c r="U73" s="64" t="s">
        <v>171</v>
      </c>
      <c r="V73" s="67" t="s">
        <v>178</v>
      </c>
      <c r="W73" s="67" t="s">
        <v>178</v>
      </c>
      <c r="X73" s="67" t="s">
        <v>178</v>
      </c>
      <c r="Y73" s="67" t="s">
        <v>178</v>
      </c>
      <c r="Z73" s="64" t="s">
        <v>171</v>
      </c>
      <c r="AA73" s="64" t="s">
        <v>171</v>
      </c>
      <c r="AB73" s="67" t="s">
        <v>178</v>
      </c>
      <c r="AC73" s="67" t="s">
        <v>178</v>
      </c>
      <c r="AD73" s="67" t="s">
        <v>178</v>
      </c>
      <c r="AE73" s="67" t="s">
        <v>178</v>
      </c>
      <c r="AF73" s="67" t="s">
        <v>178</v>
      </c>
      <c r="AG73" s="67" t="s">
        <v>178</v>
      </c>
      <c r="AH73" s="67" t="s">
        <v>178</v>
      </c>
      <c r="AI73" s="64" t="s">
        <v>171</v>
      </c>
      <c r="AJ73" s="64" t="s">
        <v>171</v>
      </c>
      <c r="AK73" s="67" t="s">
        <v>178</v>
      </c>
      <c r="AL73" s="67" t="s">
        <v>178</v>
      </c>
      <c r="AM73" s="67" t="s">
        <v>178</v>
      </c>
      <c r="AN73" s="67" t="s">
        <v>178</v>
      </c>
      <c r="AO73" s="67" t="s">
        <v>178</v>
      </c>
      <c r="AP73" s="67" t="s">
        <v>178</v>
      </c>
      <c r="AQ73" s="67" t="s">
        <v>178</v>
      </c>
      <c r="AR73" s="67" t="s">
        <v>178</v>
      </c>
      <c r="AS73" s="67" t="s">
        <v>178</v>
      </c>
      <c r="AT73" s="67" t="s">
        <v>178</v>
      </c>
      <c r="AU73" s="67" t="s">
        <v>178</v>
      </c>
      <c r="AV73" s="67" t="s">
        <v>178</v>
      </c>
      <c r="AW73" s="67" t="s">
        <v>178</v>
      </c>
      <c r="AX73" s="67" t="s">
        <v>178</v>
      </c>
      <c r="AY73" s="67" t="s">
        <v>178</v>
      </c>
      <c r="AZ73" s="67" t="s">
        <v>178</v>
      </c>
      <c r="BA73" s="67" t="s">
        <v>178</v>
      </c>
      <c r="BB73" s="67" t="s">
        <v>178</v>
      </c>
      <c r="BC73" s="67" t="s">
        <v>178</v>
      </c>
      <c r="BD73" s="67" t="s">
        <v>178</v>
      </c>
      <c r="BE73" s="67" t="s">
        <v>178</v>
      </c>
      <c r="BF73" s="67" t="s">
        <v>178</v>
      </c>
      <c r="BG73" s="67" t="s">
        <v>178</v>
      </c>
      <c r="BH73" s="67" t="s">
        <v>178</v>
      </c>
      <c r="BI73" s="67" t="s">
        <v>178</v>
      </c>
      <c r="BJ73" s="67" t="s">
        <v>178</v>
      </c>
      <c r="BK73" s="67" t="s">
        <v>178</v>
      </c>
      <c r="BL73" s="67" t="s">
        <v>178</v>
      </c>
      <c r="BM73" s="64" t="s">
        <v>171</v>
      </c>
      <c r="BN73" s="64" t="s">
        <v>171</v>
      </c>
      <c r="BO73" s="67" t="s">
        <v>178</v>
      </c>
      <c r="BP73" s="67" t="s">
        <v>178</v>
      </c>
    </row>
    <row r="74" spans="1:68" x14ac:dyDescent="0.3">
      <c r="A74" s="52" t="s">
        <v>175</v>
      </c>
      <c r="B74" s="75">
        <f>(Input!B141*0.1/0.258*1000)</f>
        <v>46.860465116279073</v>
      </c>
      <c r="C74" s="75">
        <f>(Input!C141*0.1/0.258*1000)</f>
        <v>1987.984496124031</v>
      </c>
      <c r="D74" s="75">
        <f>(Input!D141*0.1/0.258*1000)</f>
        <v>120.42635658914729</v>
      </c>
      <c r="E74" s="75">
        <f>(Input!E141*0.1/0.258*1000)</f>
        <v>1251.5503875968991</v>
      </c>
      <c r="F74" s="75">
        <f>(Input!F141*0.1/0.258*1000)</f>
        <v>14976.744186046511</v>
      </c>
      <c r="G74" s="75">
        <f>(Input!G141*0.1/0.258*1000)</f>
        <v>14554.263565891471</v>
      </c>
      <c r="H74" s="64">
        <v>1.0371999999999999</v>
      </c>
      <c r="I74" s="64">
        <v>1.04284</v>
      </c>
      <c r="J74" s="75">
        <f>(Input!J141*0.1/0.258*1000)</f>
        <v>80.968992248062023</v>
      </c>
      <c r="K74" s="75">
        <f>(Input!L141*0.1/0.258*1000)</f>
        <v>7.8798449612403081</v>
      </c>
      <c r="L74" s="75">
        <f>(Input!M141*0.1/0.258*1000)</f>
        <v>0.98449612403100795</v>
      </c>
      <c r="M74" s="75">
        <f>(Input!N141*0.1/0.258*1000)</f>
        <v>38.837209302325583</v>
      </c>
      <c r="N74" s="75">
        <f>(Input!O141*0.1/0.258*1000)</f>
        <v>182.05426356589149</v>
      </c>
      <c r="O74" s="75">
        <f>(Input!P141*0.1/0.258*1000)</f>
        <v>7.8294573643410872E-2</v>
      </c>
      <c r="P74" s="75">
        <f>(Input!Q141*0.1/0.258*1000)</f>
        <v>0.75155038759689918</v>
      </c>
      <c r="Q74" s="75">
        <f>(Input!R141*0.1/0.258*1000)</f>
        <v>14.755813953488371</v>
      </c>
      <c r="R74" s="75">
        <f>(Input!S141*0.1/0.258*1000)</f>
        <v>18.577519379844961</v>
      </c>
      <c r="S74" s="75">
        <f>(Input!T141*0.1/0.258*1000)</f>
        <v>0.39496124031007751</v>
      </c>
      <c r="T74" s="64">
        <v>0.94132000000000005</v>
      </c>
      <c r="U74" s="64">
        <v>0.90629999999999999</v>
      </c>
      <c r="V74" s="75">
        <f>(Input!W141*0.1/0.258*1000)</f>
        <v>7.2093023255813959E-2</v>
      </c>
      <c r="W74" s="75">
        <f>(Input!X141*0.1/0.258*1000)</f>
        <v>6.2519379844961236</v>
      </c>
      <c r="X74" s="75">
        <f>(Input!Y141*0.1/0.258*1000)</f>
        <v>9.4379844961240309</v>
      </c>
      <c r="Y74" s="75">
        <f>(Input!Z141*0.1/0.258*1000)</f>
        <v>55.426356589147289</v>
      </c>
      <c r="Z74" s="64">
        <v>1.0025900000000001</v>
      </c>
      <c r="AA74" s="64">
        <v>1.08067</v>
      </c>
      <c r="AB74" s="75">
        <f>(Input!AC141*0.1/0.258*1000)</f>
        <v>1.2015503875968994E-2</v>
      </c>
      <c r="AC74" s="75">
        <f>(Input!AD141*0.1/0.258*1000)</f>
        <v>0.34031007751937986</v>
      </c>
      <c r="AD74" s="75">
        <f>(Input!AE141*0.1/0.258*1000)</f>
        <v>0</v>
      </c>
      <c r="AE74" s="75">
        <f>(Input!AF141*0.1/0.258*1000)</f>
        <v>7.7519379844961239E-4</v>
      </c>
      <c r="AF74" s="75">
        <f>(Input!AG141*0.1/0.258*1000)</f>
        <v>1.5503875968992251E-2</v>
      </c>
      <c r="AG74" s="75">
        <f>(Input!AH141*0.1/0.258*1000)</f>
        <v>2.7131782945736438E-3</v>
      </c>
      <c r="AH74" s="75">
        <f>(Input!AI141*0.1/0.258*1000)</f>
        <v>3.1007751937984503E-2</v>
      </c>
      <c r="AI74" s="64">
        <v>0.91515999999999997</v>
      </c>
      <c r="AJ74" s="64">
        <v>1.0787800000000001</v>
      </c>
      <c r="AK74" s="75">
        <f>(Input!AL141*0.1/0.258*1000)</f>
        <v>1.2790697674418606E-2</v>
      </c>
      <c r="AL74" s="75">
        <f>(Input!AM141*0.1/0.258*1000)</f>
        <v>1.1627906976744188E-3</v>
      </c>
      <c r="AM74" s="75">
        <f>(Input!AN141*0.1/0.258*1000)</f>
        <v>0.1189922480620155</v>
      </c>
      <c r="AN74" s="75">
        <f>(Input!AO141*0.1/0.258*1000)</f>
        <v>10.364341085271318</v>
      </c>
      <c r="AO74" s="75">
        <f>(Input!AQ141*0.1/0.258*1000)</f>
        <v>0.11860465116279072</v>
      </c>
      <c r="AP74" s="75">
        <f>(Input!AR141*0.1/0.258*1000)</f>
        <v>0.22325581395348831</v>
      </c>
      <c r="AQ74" s="75">
        <f>(Input!AS141*0.1/0.258*1000)</f>
        <v>2.7906976744186039E-2</v>
      </c>
      <c r="AR74" s="75">
        <f>(Input!AT141*0.1/0.258*1000)</f>
        <v>0.10697674418604654</v>
      </c>
      <c r="AS74" s="75">
        <f>(Input!AU141*0.1/0.258*1000)</f>
        <v>2.0542635658914728E-2</v>
      </c>
      <c r="AT74" s="75">
        <f>(Input!AV141*0.1/0.258*1000)</f>
        <v>5.8139534883720929E-3</v>
      </c>
      <c r="AU74" s="75">
        <f>(Input!AW141*0.1/0.258*1000)</f>
        <v>1.8604651162790701E-2</v>
      </c>
      <c r="AV74" s="75">
        <f>(Input!AX141*0.1/0.258*1000)</f>
        <v>2.3255813953488376E-3</v>
      </c>
      <c r="AW74" s="75">
        <f>(Input!AY141*0.1/0.258*1000)</f>
        <v>1.3178294573643411E-2</v>
      </c>
      <c r="AX74" s="75">
        <f>(Input!AZ141*0.1/0.258*1000)</f>
        <v>2.7131782945736438E-3</v>
      </c>
      <c r="AY74" s="75">
        <f>(Input!BA141*0.1/0.258*1000)</f>
        <v>6.9767441860465098E-3</v>
      </c>
      <c r="AZ74" s="75">
        <f>(Input!BB141*0.1/0.258*1000)</f>
        <v>7.7519379844961239E-4</v>
      </c>
      <c r="BA74" s="75">
        <f>(Input!BC141*0.1/0.258*1000)</f>
        <v>5.8139534883720929E-3</v>
      </c>
      <c r="BB74" s="75">
        <f>(Input!BD141*0.1/0.258*1000)</f>
        <v>7.7519379844961239E-4</v>
      </c>
      <c r="BC74" s="75">
        <f>(Input!BE141*0.1/0.258*1000)</f>
        <v>3.875968992248062E-4</v>
      </c>
      <c r="BD74" s="75">
        <f>(Input!BF141*0.1/0.258*1000)</f>
        <v>2.4806201550387597E-2</v>
      </c>
      <c r="BE74" s="75">
        <f>(Input!BG141*0.1/0.258*1000)</f>
        <v>0.14031007751937985</v>
      </c>
      <c r="BF74" s="75">
        <f>(Input!BH141*0.1/0.258*1000)</f>
        <v>0.14069767441860467</v>
      </c>
      <c r="BG74" s="75">
        <f>(Input!BI141*0.1/0.258*1000)</f>
        <v>0</v>
      </c>
      <c r="BH74" s="75">
        <f>(Input!BJ141*0.1/0.258*1000)</f>
        <v>0</v>
      </c>
      <c r="BI74" s="75">
        <f>(Input!BK141*0.1/0.258*1000)</f>
        <v>5.0775193798449622E-2</v>
      </c>
      <c r="BJ74" s="75">
        <f>(Input!BL141*0.1/0.258*1000)</f>
        <v>3.1007751937984496E-3</v>
      </c>
      <c r="BK74" s="75">
        <f>(Input!BM141*0.1/0.258*1000)</f>
        <v>1.5127906976744188</v>
      </c>
      <c r="BL74" s="75">
        <f>(Input!BN141*0.1/0.258*1000)</f>
        <v>0.34733333333333333</v>
      </c>
      <c r="BM74" s="64">
        <v>0.89612000000000003</v>
      </c>
      <c r="BN74" s="64">
        <v>1.0355300000000001</v>
      </c>
      <c r="BO74" s="75">
        <f>(Input!BQ141*0.1/0.258*1000)</f>
        <v>3.604651162790698E-2</v>
      </c>
      <c r="BP74" s="75">
        <f>(Input!BR141*0.1/0.258*1000)</f>
        <v>6.2015503875968991E-3</v>
      </c>
    </row>
    <row r="75" spans="1:68" x14ac:dyDescent="0.3">
      <c r="A75" s="52" t="s">
        <v>73</v>
      </c>
      <c r="B75" s="75">
        <f>(Input!B142*0.1/0.2619*1000)</f>
        <v>59.14471172203131</v>
      </c>
      <c r="C75" s="75">
        <f>(Input!C142*0.1/0.2619*1000)</f>
        <v>1970.9812905689193</v>
      </c>
      <c r="D75" s="75">
        <f>(Input!D142*0.1/0.2619*1000)</f>
        <v>107.71286750668193</v>
      </c>
      <c r="E75" s="75">
        <f>(Input!E142*0.1/0.2619*1000)</f>
        <v>1760.9774723176786</v>
      </c>
      <c r="F75" s="75">
        <f>(Input!F142*0.1/0.2619*1000)</f>
        <v>19022.527682321495</v>
      </c>
      <c r="G75" s="75">
        <f>(Input!G142*0.1/0.2619*1000)</f>
        <v>14581.901489117981</v>
      </c>
      <c r="H75" s="64">
        <v>1.01044</v>
      </c>
      <c r="I75" s="64">
        <v>1.03651</v>
      </c>
      <c r="J75" s="75">
        <f>(Input!J142*0.1/0.2619*1000)</f>
        <v>81.023291332569698</v>
      </c>
      <c r="K75" s="75">
        <f>(Input!L142*0.1/0.2619*1000)</f>
        <v>7.7205040091638022</v>
      </c>
      <c r="L75" s="75">
        <f>(Input!M142*0.1/0.2619*1000)</f>
        <v>1.0114547537227949</v>
      </c>
      <c r="M75" s="75">
        <f>(Input!N142*0.1/0.2619*1000)</f>
        <v>30.717831233295154</v>
      </c>
      <c r="N75" s="75">
        <f>(Input!O142*0.1/0.2619*1000)</f>
        <v>200.30546009927454</v>
      </c>
      <c r="O75" s="75">
        <f>(Input!P142*0.1/0.2619*1000)</f>
        <v>9.6983581519663978E-2</v>
      </c>
      <c r="P75" s="75">
        <f>(Input!Q142*0.1/0.2619*1000)</f>
        <v>1.7040855288277967</v>
      </c>
      <c r="Q75" s="75">
        <f>(Input!R142*0.1/0.2619*1000)</f>
        <v>9.7098129056891942</v>
      </c>
      <c r="R75" s="75">
        <f>(Input!S142*0.1/0.2619*1000)</f>
        <v>12.504772814051163</v>
      </c>
      <c r="S75" s="75">
        <f>(Input!T142*0.1/0.2619*1000)</f>
        <v>0.38946162657502864</v>
      </c>
      <c r="T75" s="64">
        <v>0.90575000000000006</v>
      </c>
      <c r="U75" s="64">
        <v>0.89834000000000003</v>
      </c>
      <c r="V75" s="75">
        <f>(Input!W142*0.1/0.2619*1000)</f>
        <v>6.911034746086292E-2</v>
      </c>
      <c r="W75" s="75">
        <f>(Input!X142*0.1/0.2619*1000)</f>
        <v>15.712103856433751</v>
      </c>
      <c r="X75" s="75">
        <f>(Input!Y142*0.1/0.2619*1000)</f>
        <v>6.7697594501718212</v>
      </c>
      <c r="Y75" s="75">
        <f>(Input!Z142*0.1/0.2619*1000)</f>
        <v>50.133638793432603</v>
      </c>
      <c r="Z75" s="64">
        <v>0.97435000000000005</v>
      </c>
      <c r="AA75" s="64">
        <v>1.07413</v>
      </c>
      <c r="AB75" s="75">
        <f>(Input!AC142*0.1/0.2619*1000)</f>
        <v>1.0309278350515464E-2</v>
      </c>
      <c r="AC75" s="75">
        <f>(Input!AD142*0.1/0.2619*1000)</f>
        <v>0.21496754486445205</v>
      </c>
      <c r="AD75" s="75">
        <f>(Input!AE142*0.1/0.2619*1000)</f>
        <v>0</v>
      </c>
      <c r="AE75" s="75">
        <f>(Input!AF142*0.1/0.2619*1000)</f>
        <v>1.5273004963726612E-3</v>
      </c>
      <c r="AF75" s="75">
        <f>(Input!AG142*0.1/0.2619*1000)</f>
        <v>1.4127529591447115E-2</v>
      </c>
      <c r="AG75" s="75">
        <f>(Input!AH142*0.1/0.2619*1000)</f>
        <v>2.4054982817869417E-2</v>
      </c>
      <c r="AH75" s="75">
        <f>(Input!AI142*0.1/0.2619*1000)</f>
        <v>1.9091256204658267E-2</v>
      </c>
      <c r="AI75" s="64">
        <v>0.89134999999999998</v>
      </c>
      <c r="AJ75" s="64">
        <v>1.0691900000000001</v>
      </c>
      <c r="AK75" s="75">
        <f>(Input!AL142*0.1/0.2619*1000)</f>
        <v>1.7945780832378768E-2</v>
      </c>
      <c r="AL75" s="75">
        <f>(Input!AM142*0.1/0.2619*1000)</f>
        <v>7.6365024818633059E-4</v>
      </c>
      <c r="AM75" s="75">
        <f>(Input!AN142*0.1/0.2619*1000)</f>
        <v>6.4910271095838107E-2</v>
      </c>
      <c r="AN75" s="75">
        <f>(Input!AO142*0.1/0.2619*1000)</f>
        <v>10.324551355479189</v>
      </c>
      <c r="AO75" s="75">
        <f>(Input!AQ142*0.1/0.2619*1000)</f>
        <v>0.10920198549064526</v>
      </c>
      <c r="AP75" s="75">
        <f>(Input!AR142*0.1/0.2619*1000)</f>
        <v>0.19931271477663229</v>
      </c>
      <c r="AQ75" s="75">
        <f>(Input!AS142*0.1/0.2619*1000)</f>
        <v>2.6345933562428411E-2</v>
      </c>
      <c r="AR75" s="75">
        <f>(Input!AT142*0.1/0.2619*1000)</f>
        <v>0.10156548300878199</v>
      </c>
      <c r="AS75" s="75">
        <f>(Input!AU142*0.1/0.2619*1000)</f>
        <v>1.9854906452844594E-2</v>
      </c>
      <c r="AT75" s="75">
        <f>(Input!AV142*0.1/0.2619*1000)</f>
        <v>5.3455517373043153E-3</v>
      </c>
      <c r="AU75" s="75">
        <f>(Input!AW142*0.1/0.2619*1000)</f>
        <v>1.7182130584192438E-2</v>
      </c>
      <c r="AV75" s="75">
        <f>(Input!AX142*0.1/0.2619*1000)</f>
        <v>2.2909507445589921E-3</v>
      </c>
      <c r="AW75" s="75">
        <f>(Input!AY142*0.1/0.2619*1000)</f>
        <v>1.2218403970981289E-2</v>
      </c>
      <c r="AX75" s="75">
        <f>(Input!AZ142*0.1/0.2619*1000)</f>
        <v>2.2909507445589921E-3</v>
      </c>
      <c r="AY75" s="75">
        <f>(Input!BA142*0.1/0.2619*1000)</f>
        <v>6.1092019854906447E-3</v>
      </c>
      <c r="AZ75" s="75">
        <f>(Input!BB142*0.1/0.2619*1000)</f>
        <v>7.6365024818633059E-4</v>
      </c>
      <c r="BA75" s="75">
        <f>(Input!BC142*0.1/0.2619*1000)</f>
        <v>5.3455517373043153E-3</v>
      </c>
      <c r="BB75" s="75">
        <f>(Input!BD142*0.1/0.2619*1000)</f>
        <v>7.6365024818633059E-4</v>
      </c>
      <c r="BC75" s="75">
        <f>(Input!BE142*0.1/0.2619*1000)</f>
        <v>3.8182512409316529E-4</v>
      </c>
      <c r="BD75" s="75">
        <f>(Input!BF142*0.1/0.2619*1000)</f>
        <v>2.3673157693776252E-2</v>
      </c>
      <c r="BE75" s="75">
        <f>(Input!BG142*0.1/0.2619*1000)</f>
        <v>0.10003818251240933</v>
      </c>
      <c r="BF75" s="75">
        <f>(Input!BH142*0.1/0.2619*1000)</f>
        <v>0.10080183276059565</v>
      </c>
      <c r="BG75" s="75">
        <f>(Input!BI142*0.1/0.2619*1000)</f>
        <v>0</v>
      </c>
      <c r="BH75" s="75">
        <f>(Input!BJ142*0.1/0.2619*1000)</f>
        <v>0</v>
      </c>
      <c r="BI75" s="75">
        <f>(Input!BK142*0.1/0.2619*1000)</f>
        <v>5.5746468117602137E-2</v>
      </c>
      <c r="BJ75" s="75">
        <f>(Input!BL142*0.1/0.2619*1000)</f>
        <v>3.0546009927453223E-3</v>
      </c>
      <c r="BK75" s="75">
        <f>(Input!BM142*0.1/0.2619*1000)</f>
        <v>10.87819778541428</v>
      </c>
      <c r="BL75" s="75">
        <f>(Input!BN142*0.1/0.2619*1000)</f>
        <v>0.33310423825887742</v>
      </c>
      <c r="BM75" s="64">
        <v>0.87239999999999995</v>
      </c>
      <c r="BN75" s="64">
        <v>1.0246999999999999</v>
      </c>
      <c r="BO75" s="75">
        <f>(Input!BQ142*0.1/0.2619*1000)</f>
        <v>3.2073310423825892E-2</v>
      </c>
      <c r="BP75" s="75">
        <f>(Input!BR142*0.1/0.2619*1000)</f>
        <v>4.9637266132111484E-3</v>
      </c>
    </row>
    <row r="76" spans="1:68" x14ac:dyDescent="0.3">
      <c r="A76" s="52" t="s">
        <v>74</v>
      </c>
      <c r="B76" s="75">
        <f>(Input!B143*0.1/0.2535*1000)</f>
        <v>61.183431952662716</v>
      </c>
      <c r="C76" s="75">
        <f>(Input!C143*0.1/0.2535*1000)</f>
        <v>1968.4418145956611</v>
      </c>
      <c r="D76" s="75">
        <f>(Input!D143*0.1/0.2535*1000)</f>
        <v>281.38067061143977</v>
      </c>
      <c r="E76" s="75">
        <f>(Input!E143*0.1/0.2535*1000)</f>
        <v>1275.34516765286</v>
      </c>
      <c r="F76" s="75">
        <f>(Input!F143*0.1/0.2535*1000)</f>
        <v>20911.242603550294</v>
      </c>
      <c r="G76" s="75">
        <f>(Input!G143*0.1/0.2535*1000)</f>
        <v>14777.120315581857</v>
      </c>
      <c r="H76" s="64">
        <v>1.0083299999999999</v>
      </c>
      <c r="I76" s="64">
        <v>1.0421499999999999</v>
      </c>
      <c r="J76" s="75">
        <f>(Input!J143*0.1/0.2535*1000)</f>
        <v>92.702169625246555</v>
      </c>
      <c r="K76" s="75">
        <f>(Input!L143*0.1/0.2535*1000)</f>
        <v>11.861932938856016</v>
      </c>
      <c r="L76" s="75">
        <f>(Input!M143*0.1/0.2535*1000)</f>
        <v>0.85562130177514795</v>
      </c>
      <c r="M76" s="75">
        <f>(Input!N143*0.1/0.2535*1000)</f>
        <v>51.99211045364892</v>
      </c>
      <c r="N76" s="75">
        <f>(Input!O143*0.1/0.2535*1000)</f>
        <v>339.09270216962528</v>
      </c>
      <c r="O76" s="75">
        <f>(Input!P143*0.1/0.2535*1000)</f>
        <v>0.16528599605522684</v>
      </c>
      <c r="P76" s="75">
        <f>(Input!Q143*0.1/0.2535*1000)</f>
        <v>2.269033530571992</v>
      </c>
      <c r="Q76" s="75">
        <f>(Input!R143*0.1/0.2535*1000)</f>
        <v>11.747534516765286</v>
      </c>
      <c r="R76" s="75">
        <f>(Input!S143*0.1/0.2535*1000)</f>
        <v>9.479289940828405</v>
      </c>
      <c r="S76" s="75">
        <f>(Input!T143*0.1/0.2535*1000)</f>
        <v>0.17790927021696254</v>
      </c>
      <c r="T76" s="64">
        <v>0.91564000000000001</v>
      </c>
      <c r="U76" s="64">
        <v>0.90508</v>
      </c>
      <c r="V76" s="75">
        <f>(Input!W143*0.1/0.2535*1000)</f>
        <v>9.8619329388560148E-2</v>
      </c>
      <c r="W76" s="75">
        <f>(Input!X143*0.1/0.2535*1000)</f>
        <v>2.0240631163708089</v>
      </c>
      <c r="X76" s="75">
        <f>(Input!Y143*0.1/0.2535*1000)</f>
        <v>10.717948717948721</v>
      </c>
      <c r="Y76" s="75">
        <f>(Input!Z143*0.1/0.2535*1000)</f>
        <v>48.481262327416182</v>
      </c>
      <c r="Z76" s="64">
        <v>0.97824</v>
      </c>
      <c r="AA76" s="64">
        <v>1.0772299999999999</v>
      </c>
      <c r="AB76" s="75">
        <f>(Input!AC143*0.1/0.2535*1000)</f>
        <v>2.8402366863905321E-2</v>
      </c>
      <c r="AC76" s="75">
        <f>(Input!AD143*0.1/0.2535*1000)</f>
        <v>0.1297830374753452</v>
      </c>
      <c r="AD76" s="75">
        <f>(Input!AE143*0.1/0.2535*1000)</f>
        <v>0</v>
      </c>
      <c r="AE76" s="75">
        <f>(Input!AF143*0.1/0.2535*1000)</f>
        <v>7.8895463510848124E-4</v>
      </c>
      <c r="AF76" s="75">
        <f>(Input!AG143*0.1/0.2535*1000)</f>
        <v>1.2228796844181461E-2</v>
      </c>
      <c r="AG76" s="75">
        <f>(Input!AH143*0.1/0.2535*1000)</f>
        <v>5.7199211045364892E-2</v>
      </c>
      <c r="AH76" s="75">
        <f>(Input!AI143*0.1/0.2535*1000)</f>
        <v>2.4457593688362922E-2</v>
      </c>
      <c r="AI76" s="64">
        <v>0.89281999999999995</v>
      </c>
      <c r="AJ76" s="64">
        <v>1.0706100000000001</v>
      </c>
      <c r="AK76" s="75">
        <f>(Input!AL143*0.1/0.2535*1000)</f>
        <v>2.3668639053254437E-2</v>
      </c>
      <c r="AL76" s="75">
        <f>(Input!AM143*0.1/0.2535*1000)</f>
        <v>7.8895463510848124E-4</v>
      </c>
      <c r="AM76" s="75">
        <f>(Input!AN143*0.1/0.2535*1000)</f>
        <v>9.4674556213017749E-2</v>
      </c>
      <c r="AN76" s="75">
        <f>(Input!AO143*0.1/0.2535*1000)</f>
        <v>3.7964497041420118</v>
      </c>
      <c r="AO76" s="75">
        <f>(Input!AQ143*0.1/0.2535*1000)</f>
        <v>0.23510848126232742</v>
      </c>
      <c r="AP76" s="75">
        <f>(Input!AR143*0.1/0.2535*1000)</f>
        <v>0.46982248520710063</v>
      </c>
      <c r="AQ76" s="75">
        <f>(Input!AS143*0.1/0.2535*1000)</f>
        <v>5.7593688362919136E-2</v>
      </c>
      <c r="AR76" s="75">
        <f>(Input!AT143*0.1/0.2535*1000)</f>
        <v>0.21499013806706116</v>
      </c>
      <c r="AS76" s="75">
        <f>(Input!AU143*0.1/0.2535*1000)</f>
        <v>4.2209072978303751E-2</v>
      </c>
      <c r="AT76" s="75">
        <f>(Input!AV143*0.1/0.2535*1000)</f>
        <v>7.889546351084813E-3</v>
      </c>
      <c r="AU76" s="75">
        <f>(Input!AW143*0.1/0.2535*1000)</f>
        <v>3.708086785009862E-2</v>
      </c>
      <c r="AV76" s="75">
        <f>(Input!AX143*0.1/0.2535*1000)</f>
        <v>5.1282051282051282E-3</v>
      </c>
      <c r="AW76" s="75">
        <f>(Input!AY143*0.1/0.2535*1000)</f>
        <v>2.6824457593688365E-2</v>
      </c>
      <c r="AX76" s="75">
        <f>(Input!AZ143*0.1/0.2535*1000)</f>
        <v>5.1282051282051282E-3</v>
      </c>
      <c r="AY76" s="75">
        <f>(Input!BA143*0.1/0.2535*1000)</f>
        <v>1.3806706114398425E-2</v>
      </c>
      <c r="AZ76" s="75">
        <f>(Input!BB143*0.1/0.2535*1000)</f>
        <v>1.9723865877712033E-3</v>
      </c>
      <c r="BA76" s="75">
        <f>(Input!BC143*0.1/0.2535*1000)</f>
        <v>1.3017751479289942E-2</v>
      </c>
      <c r="BB76" s="75">
        <f>(Input!BD143*0.1/0.2535*1000)</f>
        <v>1.5779092702169625E-3</v>
      </c>
      <c r="BC76" s="75">
        <f>(Input!BE143*0.1/0.2535*1000)</f>
        <v>3.9447731755424062E-4</v>
      </c>
      <c r="BD76" s="75">
        <f>(Input!BF143*0.1/0.2535*1000)</f>
        <v>2.2485207100591716E-2</v>
      </c>
      <c r="BE76" s="75">
        <f>(Input!BG143*0.1/0.2535*1000)</f>
        <v>0.14753451676528601</v>
      </c>
      <c r="BF76" s="75">
        <f>(Input!BH143*0.1/0.2535*1000)</f>
        <v>0.15029585798816569</v>
      </c>
      <c r="BG76" s="75">
        <f>(Input!BI143*0.1/0.2535*1000)</f>
        <v>0</v>
      </c>
      <c r="BH76" s="75">
        <f>(Input!BJ143*0.1/0.2535*1000)</f>
        <v>0</v>
      </c>
      <c r="BI76" s="75">
        <f>(Input!BK143*0.1/0.2535*1000)</f>
        <v>7.7317554240631164E-2</v>
      </c>
      <c r="BJ76" s="75">
        <f>(Input!BL143*0.1/0.2535*1000)</f>
        <v>3.5502958579881651E-3</v>
      </c>
      <c r="BK76" s="75">
        <f>(Input!BM143*0.1/0.2535*1000)</f>
        <v>3.0714003944773172</v>
      </c>
      <c r="BL76" s="75">
        <f>(Input!BN143*0.1/0.2535*1000)</f>
        <v>0.34629191321499014</v>
      </c>
      <c r="BM76" s="64">
        <v>0.87785000000000002</v>
      </c>
      <c r="BN76" s="64">
        <v>1.0270300000000001</v>
      </c>
      <c r="BO76" s="75">
        <f>(Input!BQ143*0.1/0.2535*1000)</f>
        <v>5.7593688362919136E-2</v>
      </c>
      <c r="BP76" s="75">
        <f>(Input!BR143*0.1/0.2535*1000)</f>
        <v>1.1834319526627219E-2</v>
      </c>
    </row>
    <row r="77" spans="1:68" x14ac:dyDescent="0.3">
      <c r="A77" s="52" t="s">
        <v>75</v>
      </c>
      <c r="B77" s="75">
        <f>(Input!B144*0.1/0.2545*1000)</f>
        <v>78.388998035363457</v>
      </c>
      <c r="C77" s="75">
        <f>(Input!C144*0.1/0.2545*1000)</f>
        <v>2961.8860510805503</v>
      </c>
      <c r="D77" s="75">
        <f>(Input!D144*0.1/0.2545*1000)</f>
        <v>151.15913555992142</v>
      </c>
      <c r="E77" s="75">
        <f>(Input!E144*0.1/0.2545*1000)</f>
        <v>1442.8290766208252</v>
      </c>
      <c r="F77" s="75">
        <f>(Input!F144*0.1/0.2545*1000)</f>
        <v>17009.823182711199</v>
      </c>
      <c r="G77" s="75">
        <f>(Input!G144*0.1/0.2545*1000)</f>
        <v>12986.247544204321</v>
      </c>
      <c r="H77" s="64">
        <v>1.0632699999999999</v>
      </c>
      <c r="I77" s="64">
        <v>1.0877600000000001</v>
      </c>
      <c r="J77" s="75">
        <f>(Input!J144*0.1/0.2545*1000)</f>
        <v>69.115913555992137</v>
      </c>
      <c r="K77" s="75">
        <f>(Input!L144*0.1/0.2545*1000)</f>
        <v>8.2043222003929284</v>
      </c>
      <c r="L77" s="75">
        <f>(Input!M144*0.1/0.2545*1000)</f>
        <v>0.84990176817288798</v>
      </c>
      <c r="M77" s="75">
        <f>(Input!N144*0.1/0.2545*1000)</f>
        <v>40.550098231827114</v>
      </c>
      <c r="N77" s="75">
        <f>(Input!O144*0.1/0.2545*1000)</f>
        <v>197.56385068762282</v>
      </c>
      <c r="O77" s="75">
        <f>(Input!P144*0.1/0.2545*1000)</f>
        <v>0.10137524557956777</v>
      </c>
      <c r="P77" s="75">
        <f>(Input!Q144*0.1/0.2545*1000)</f>
        <v>2.2066797642436149</v>
      </c>
      <c r="Q77" s="75">
        <f>(Input!R144*0.1/0.2545*1000)</f>
        <v>7.5324165029469556</v>
      </c>
      <c r="R77" s="75">
        <f>(Input!S144*0.1/0.2545*1000)</f>
        <v>14.667976424361491</v>
      </c>
      <c r="S77" s="75">
        <f>(Input!T144*0.1/0.2545*1000)</f>
        <v>0.59410609037328099</v>
      </c>
      <c r="T77" s="64">
        <v>0.94886999999999999</v>
      </c>
      <c r="U77" s="64">
        <v>0.93835999999999997</v>
      </c>
      <c r="V77" s="75">
        <f>(Input!W144*0.1/0.2545*1000)</f>
        <v>6.7976424361493121E-2</v>
      </c>
      <c r="W77" s="75">
        <f>(Input!X144*0.1/0.2545*1000)</f>
        <v>4.3261296660117878</v>
      </c>
      <c r="X77" s="75">
        <f>(Input!Y144*0.1/0.2545*1000)</f>
        <v>5.5402750491159134</v>
      </c>
      <c r="Y77" s="75">
        <f>(Input!Z144*0.1/0.2545*1000)</f>
        <v>131.47347740667979</v>
      </c>
      <c r="Z77" s="64">
        <v>1.01387</v>
      </c>
      <c r="AA77" s="64">
        <v>1.1129500000000001</v>
      </c>
      <c r="AB77" s="75">
        <f>(Input!AC144*0.1/0.2545*1000)</f>
        <v>1.2180746561886053E-2</v>
      </c>
      <c r="AC77" s="75">
        <f>(Input!AD144*0.1/0.2545*1000)</f>
        <v>0.18899803536345777</v>
      </c>
      <c r="AD77" s="75">
        <f>(Input!AE144*0.1/0.2545*1000)</f>
        <v>3.9292730844793711E-4</v>
      </c>
      <c r="AE77" s="75">
        <f>(Input!AF144*0.1/0.2545*1000)</f>
        <v>1.964636542239686E-3</v>
      </c>
      <c r="AF77" s="75">
        <f>(Input!AG144*0.1/0.2545*1000)</f>
        <v>3.2612966601178781E-2</v>
      </c>
      <c r="AG77" s="75">
        <f>(Input!AH144*0.1/0.2545*1000)</f>
        <v>7.4656188605108061E-3</v>
      </c>
      <c r="AH77" s="75">
        <f>(Input!AI144*0.1/0.2545*1000)</f>
        <v>3.6935166994106088E-2</v>
      </c>
      <c r="AI77" s="64">
        <v>0.92337999999999998</v>
      </c>
      <c r="AJ77" s="64">
        <v>1.1033999999999999</v>
      </c>
      <c r="AK77" s="75">
        <f>(Input!AL144*0.1/0.2545*1000)</f>
        <v>1.0609037328094303E-2</v>
      </c>
      <c r="AL77" s="75">
        <f>(Input!AM144*0.1/0.2545*1000)</f>
        <v>0</v>
      </c>
      <c r="AM77" s="75">
        <f>(Input!AN144*0.1/0.2545*1000)</f>
        <v>4.9115913555992145E-2</v>
      </c>
      <c r="AN77" s="75">
        <f>(Input!AO144*0.1/0.2545*1000)</f>
        <v>15.815324165029468</v>
      </c>
      <c r="AO77" s="75">
        <f>(Input!AQ144*0.1/0.2545*1000)</f>
        <v>0.12927308447937133</v>
      </c>
      <c r="AP77" s="75">
        <f>(Input!AR144*0.1/0.2545*1000)</f>
        <v>0.26168958742632614</v>
      </c>
      <c r="AQ77" s="75">
        <f>(Input!AS144*0.1/0.2545*1000)</f>
        <v>3.1434184675834975E-2</v>
      </c>
      <c r="AR77" s="75">
        <f>(Input!AT144*0.1/0.2545*1000)</f>
        <v>0.11473477406679765</v>
      </c>
      <c r="AS77" s="75">
        <f>(Input!AU144*0.1/0.2545*1000)</f>
        <v>2.3182711198428289E-2</v>
      </c>
      <c r="AT77" s="75">
        <f>(Input!AV144*0.1/0.2545*1000)</f>
        <v>6.6797642436149315E-3</v>
      </c>
      <c r="AU77" s="75">
        <f>(Input!AW144*0.1/0.2545*1000)</f>
        <v>2.0039292730844795E-2</v>
      </c>
      <c r="AV77" s="75">
        <f>(Input!AX144*0.1/0.2545*1000)</f>
        <v>2.7504911591355601E-3</v>
      </c>
      <c r="AW77" s="75">
        <f>(Input!AY144*0.1/0.2545*1000)</f>
        <v>1.4538310412573674E-2</v>
      </c>
      <c r="AX77" s="75">
        <f>(Input!AZ144*0.1/0.2545*1000)</f>
        <v>2.7504911591355601E-3</v>
      </c>
      <c r="AY77" s="75">
        <f>(Input!BA144*0.1/0.2545*1000)</f>
        <v>7.4656188605108061E-3</v>
      </c>
      <c r="AZ77" s="75">
        <f>(Input!BB144*0.1/0.2545*1000)</f>
        <v>1.1787819253438116E-3</v>
      </c>
      <c r="BA77" s="75">
        <f>(Input!BC144*0.1/0.2545*1000)</f>
        <v>6.6797642436149315E-3</v>
      </c>
      <c r="BB77" s="75">
        <f>(Input!BD144*0.1/0.2545*1000)</f>
        <v>7.8585461689587423E-4</v>
      </c>
      <c r="BC77" s="75">
        <f>(Input!BE144*0.1/0.2545*1000)</f>
        <v>3.9292730844793711E-4</v>
      </c>
      <c r="BD77" s="75">
        <f>(Input!BF144*0.1/0.2545*1000)</f>
        <v>1.5324165029469549E-2</v>
      </c>
      <c r="BE77" s="75">
        <f>(Input!BG144*0.1/0.2545*1000)</f>
        <v>3.3005893909626723E-2</v>
      </c>
      <c r="BF77" s="75">
        <f>(Input!BH144*0.1/0.2545*1000)</f>
        <v>3.4184675834970528E-2</v>
      </c>
      <c r="BG77" s="75">
        <f>(Input!BI144*0.1/0.2545*1000)</f>
        <v>0</v>
      </c>
      <c r="BH77" s="75">
        <f>(Input!BJ144*0.1/0.2545*1000)</f>
        <v>0</v>
      </c>
      <c r="BI77" s="75">
        <f>(Input!BK144*0.1/0.2545*1000)</f>
        <v>2.7504911591355603E-2</v>
      </c>
      <c r="BJ77" s="75">
        <f>(Input!BL144*0.1/0.2545*1000)</f>
        <v>1.964636542239686E-3</v>
      </c>
      <c r="BK77" s="75">
        <f>(Input!BM144*0.1/0.2545*1000)</f>
        <v>1.5214145383104127</v>
      </c>
      <c r="BL77" s="75">
        <f>(Input!BN144*0.1/0.2545*1000)</f>
        <v>0.35214145383104128</v>
      </c>
      <c r="BM77" s="64">
        <v>0.8962</v>
      </c>
      <c r="BN77" s="64">
        <v>1.0528599999999999</v>
      </c>
      <c r="BO77" s="75">
        <f>(Input!BQ144*0.1/0.2545*1000)</f>
        <v>3.8506876227897842E-2</v>
      </c>
      <c r="BP77" s="75">
        <f>(Input!BR144*0.1/0.2545*1000)</f>
        <v>5.893909626719057E-3</v>
      </c>
    </row>
    <row r="78" spans="1:68" x14ac:dyDescent="0.3">
      <c r="A78" s="52" t="s">
        <v>76</v>
      </c>
      <c r="B78" s="75">
        <f>(Input!B145*0.1/0.2531*1000)</f>
        <v>127.81509284867643</v>
      </c>
      <c r="C78" s="75">
        <f>(Input!C145*0.1/0.2531*1000)</f>
        <v>2004.7412090082969</v>
      </c>
      <c r="D78" s="75">
        <f>(Input!D145*0.1/0.2531*1000)</f>
        <v>299.64440932437776</v>
      </c>
      <c r="E78" s="75">
        <f>(Input!E145*0.1/0.2531*1000)</f>
        <v>823.78506519162397</v>
      </c>
      <c r="F78" s="75">
        <f>(Input!F145*0.1/0.2531*1000)</f>
        <v>12090.082971157648</v>
      </c>
      <c r="G78" s="75">
        <f>(Input!G145*0.1/0.2531*1000)</f>
        <v>22192.809166337418</v>
      </c>
      <c r="H78" s="64">
        <v>1.0532699999999999</v>
      </c>
      <c r="I78" s="64">
        <v>1.0823100000000001</v>
      </c>
      <c r="J78" s="75">
        <f>(Input!J145*0.1/0.2531*1000)</f>
        <v>129.23745555116557</v>
      </c>
      <c r="K78" s="75">
        <f>(Input!L145*0.1/0.2531*1000)</f>
        <v>14.211774002370607</v>
      </c>
      <c r="L78" s="75">
        <f>(Input!M145*0.1/0.2531*1000)</f>
        <v>1.1485578822599765</v>
      </c>
      <c r="M78" s="75">
        <f>(Input!N145*0.1/0.2531*1000)</f>
        <v>41.801659423152898</v>
      </c>
      <c r="N78" s="75">
        <f>(Input!O145*0.1/0.2531*1000)</f>
        <v>392.09798498617147</v>
      </c>
      <c r="O78" s="75">
        <f>(Input!P145*0.1/0.2531*1000)</f>
        <v>0.17977084156459899</v>
      </c>
      <c r="P78" s="75">
        <f>(Input!Q145*0.1/0.2531*1000)</f>
        <v>1.9612801264322401</v>
      </c>
      <c r="Q78" s="75">
        <f>(Input!R145*0.1/0.2531*1000)</f>
        <v>12.726195179770842</v>
      </c>
      <c r="R78" s="75">
        <f>(Input!S145*0.1/0.2531*1000)</f>
        <v>16.353220071118137</v>
      </c>
      <c r="S78" s="75">
        <f>(Input!T145*0.1/0.2531*1000)</f>
        <v>0.74476491505333864</v>
      </c>
      <c r="T78" s="64">
        <v>0.95420000000000005</v>
      </c>
      <c r="U78" s="64">
        <v>0.93052000000000001</v>
      </c>
      <c r="V78" s="75">
        <f>(Input!W145*0.1/0.2531*1000)</f>
        <v>9.7194784670090878E-2</v>
      </c>
      <c r="W78" s="75">
        <f>(Input!X145*0.1/0.2531*1000)</f>
        <v>8.862109838008692</v>
      </c>
      <c r="X78" s="75">
        <f>(Input!Y145*0.1/0.2531*1000)</f>
        <v>7.2026866851047018</v>
      </c>
      <c r="Y78" s="75">
        <f>(Input!Z145*0.1/0.2531*1000)</f>
        <v>68.984591070723042</v>
      </c>
      <c r="Z78" s="64">
        <v>1.0210300000000001</v>
      </c>
      <c r="AA78" s="64">
        <v>1.11425</v>
      </c>
      <c r="AB78" s="75">
        <f>(Input!AC145*0.1/0.2531*1000)</f>
        <v>3.3978664559462662E-2</v>
      </c>
      <c r="AC78" s="75">
        <f>(Input!AD145*0.1/0.2531*1000)</f>
        <v>0.25207427894113005</v>
      </c>
      <c r="AD78" s="75">
        <f>(Input!AE145*0.1/0.2531*1000)</f>
        <v>0</v>
      </c>
      <c r="AE78" s="75">
        <f>(Input!AF145*0.1/0.2531*1000)</f>
        <v>1.9755037534571317E-3</v>
      </c>
      <c r="AF78" s="75">
        <f>(Input!AG145*0.1/0.2531*1000)</f>
        <v>1.7779533781114184E-2</v>
      </c>
      <c r="AG78" s="75">
        <f>(Input!AH145*0.1/0.2531*1000)</f>
        <v>0.10154089292769657</v>
      </c>
      <c r="AH78" s="75">
        <f>(Input!AI145*0.1/0.2531*1000)</f>
        <v>3.4768866060845519E-2</v>
      </c>
      <c r="AI78" s="64">
        <v>0.92684999999999995</v>
      </c>
      <c r="AJ78" s="64">
        <v>1.1044499999999999</v>
      </c>
      <c r="AK78" s="75">
        <f>(Input!AL145*0.1/0.2531*1000)</f>
        <v>3.1212959304622683E-2</v>
      </c>
      <c r="AL78" s="75">
        <f>(Input!AM145*0.1/0.2531*1000)</f>
        <v>7.9020150138285269E-4</v>
      </c>
      <c r="AM78" s="75">
        <f>(Input!AN145*0.1/0.2531*1000)</f>
        <v>0.10865270644014226</v>
      </c>
      <c r="AN78" s="75">
        <f>(Input!AO145*0.1/0.2531*1000)</f>
        <v>19.162386408534179</v>
      </c>
      <c r="AO78" s="75">
        <f>(Input!AQ145*0.1/0.2531*1000)</f>
        <v>0.27459502173054129</v>
      </c>
      <c r="AP78" s="75">
        <f>(Input!AR145*0.1/0.2531*1000)</f>
        <v>0.5412880284472541</v>
      </c>
      <c r="AQ78" s="75">
        <f>(Input!AS145*0.1/0.2531*1000)</f>
        <v>6.7167127617542483E-2</v>
      </c>
      <c r="AR78" s="75">
        <f>(Input!AT145*0.1/0.2531*1000)</f>
        <v>0.24891347293559857</v>
      </c>
      <c r="AS78" s="75">
        <f>(Input!AU145*0.1/0.2531*1000)</f>
        <v>4.8992493085736867E-2</v>
      </c>
      <c r="AT78" s="75">
        <f>(Input!AV145*0.1/0.2531*1000)</f>
        <v>1.185302252074279E-2</v>
      </c>
      <c r="AU78" s="75">
        <f>(Input!AW145*0.1/0.2531*1000)</f>
        <v>4.3856183326748323E-2</v>
      </c>
      <c r="AV78" s="75">
        <f>(Input!AX145*0.1/0.2531*1000)</f>
        <v>5.9265112603713952E-3</v>
      </c>
      <c r="AW78" s="75">
        <f>(Input!AY145*0.1/0.2531*1000)</f>
        <v>3.0817858553931252E-2</v>
      </c>
      <c r="AX78" s="75">
        <f>(Input!AZ145*0.1/0.2531*1000)</f>
        <v>5.9265112603713952E-3</v>
      </c>
      <c r="AY78" s="75">
        <f>(Input!BA145*0.1/0.2531*1000)</f>
        <v>1.659423152903991E-2</v>
      </c>
      <c r="AZ78" s="75">
        <f>(Input!BB145*0.1/0.2531*1000)</f>
        <v>2.3706045041485581E-3</v>
      </c>
      <c r="BA78" s="75">
        <f>(Input!BC145*0.1/0.2531*1000)</f>
        <v>1.4223627024891345E-2</v>
      </c>
      <c r="BB78" s="75">
        <f>(Input!BD145*0.1/0.2531*1000)</f>
        <v>1.9755037534571317E-3</v>
      </c>
      <c r="BC78" s="75">
        <f>(Input!BE145*0.1/0.2531*1000)</f>
        <v>7.9020150138285269E-4</v>
      </c>
      <c r="BD78" s="75">
        <f>(Input!BF145*0.1/0.2531*1000)</f>
        <v>2.844725404978269E-2</v>
      </c>
      <c r="BE78" s="75">
        <f>(Input!BG145*0.1/0.2531*1000)</f>
        <v>0.10509679968391941</v>
      </c>
      <c r="BF78" s="75">
        <f>(Input!BH145*0.1/0.2531*1000)</f>
        <v>0.10746740418806797</v>
      </c>
      <c r="BG78" s="75">
        <f>(Input!BI145*0.1/0.2531*1000)</f>
        <v>0</v>
      </c>
      <c r="BH78" s="75">
        <f>(Input!BJ145*0.1/0.2531*1000)</f>
        <v>0</v>
      </c>
      <c r="BI78" s="75">
        <f>(Input!BK145*0.1/0.2531*1000)</f>
        <v>5.3733702094033983E-2</v>
      </c>
      <c r="BJ78" s="75">
        <f>(Input!BL145*0.1/0.2531*1000)</f>
        <v>3.9510075069142635E-3</v>
      </c>
      <c r="BK78" s="75">
        <f>(Input!BM145*0.1/0.2531*1000)</f>
        <v>5.8237850651916245</v>
      </c>
      <c r="BL78" s="75">
        <f>(Input!BN145*0.1/0.2531*1000)</f>
        <v>0.35621888581588307</v>
      </c>
      <c r="BM78" s="64">
        <v>0.90159</v>
      </c>
      <c r="BN78" s="64">
        <v>1.04959</v>
      </c>
      <c r="BO78" s="75">
        <f>(Input!BQ145*0.1/0.2531*1000)</f>
        <v>8.3366258395890958E-2</v>
      </c>
      <c r="BP78" s="75">
        <f>(Input!BR145*0.1/0.2531*1000)</f>
        <v>1.3433425523508496E-2</v>
      </c>
    </row>
    <row r="79" spans="1:68" x14ac:dyDescent="0.3">
      <c r="A79" s="52" t="s">
        <v>77</v>
      </c>
      <c r="B79" s="75">
        <f>(Input!B146*0.1/0.2584*1000)</f>
        <v>112.15170278637771</v>
      </c>
      <c r="C79" s="75">
        <f>(Input!C146*0.1/0.2584*1000)</f>
        <v>1889.3188854489163</v>
      </c>
      <c r="D79" s="75">
        <f>(Input!D146*0.1/0.2584*1000)</f>
        <v>106.03715170278637</v>
      </c>
      <c r="E79" s="75">
        <f>(Input!E146*0.1/0.2584*1000)</f>
        <v>1453.9473684210527</v>
      </c>
      <c r="F79" s="75">
        <f>(Input!F146*0.1/0.2584*1000)</f>
        <v>19794.891640866874</v>
      </c>
      <c r="G79" s="75">
        <f>(Input!G146*0.1/0.2584*1000)</f>
        <v>18862.229102167184</v>
      </c>
      <c r="H79" s="64">
        <v>1.0305899999999999</v>
      </c>
      <c r="I79" s="64">
        <v>1.06596</v>
      </c>
      <c r="J79" s="75">
        <f>(Input!J146*0.1/0.2584*1000)</f>
        <v>101.70278637770899</v>
      </c>
      <c r="K79" s="75">
        <f>(Input!L146*0.1/0.2584*1000)</f>
        <v>6.1726006191950464</v>
      </c>
      <c r="L79" s="75">
        <f>(Input!M146*0.1/0.2584*1000)</f>
        <v>0.77089783281733737</v>
      </c>
      <c r="M79" s="75">
        <f>(Input!N146*0.1/0.2584*1000)</f>
        <v>24.83359133126935</v>
      </c>
      <c r="N79" s="75">
        <f>(Input!O146*0.1/0.2584*1000)</f>
        <v>190.59597523219816</v>
      </c>
      <c r="O79" s="75">
        <f>(Input!P146*0.1/0.2584*1000)</f>
        <v>0.14241486068111453</v>
      </c>
      <c r="P79" s="75">
        <f>(Input!Q146*0.1/0.2584*1000)</f>
        <v>1.566950464396285</v>
      </c>
      <c r="Q79" s="75">
        <f>(Input!R146*0.1/0.2584*1000)</f>
        <v>9.2608359133126932</v>
      </c>
      <c r="R79" s="75">
        <f>(Input!S146*0.1/0.2584*1000)</f>
        <v>18.703560371517028</v>
      </c>
      <c r="S79" s="75">
        <f>(Input!T146*0.1/0.2584*1000)</f>
        <v>0.48065015479876161</v>
      </c>
      <c r="T79" s="64">
        <v>0.93069000000000002</v>
      </c>
      <c r="U79" s="64">
        <v>0.92225999999999997</v>
      </c>
      <c r="V79" s="75">
        <f>(Input!W146*0.1/0.2584*1000)</f>
        <v>7.275541795665634E-2</v>
      </c>
      <c r="W79" s="75">
        <f>(Input!X146*0.1/0.2584*1000)</f>
        <v>1.6617647058823526</v>
      </c>
      <c r="X79" s="75">
        <f>(Input!Y146*0.1/0.2584*1000)</f>
        <v>6.5673374613003093</v>
      </c>
      <c r="Y79" s="75">
        <f>(Input!Z146*0.1/0.2584*1000)</f>
        <v>100.3482972136223</v>
      </c>
      <c r="Z79" s="64">
        <v>0.99160000000000004</v>
      </c>
      <c r="AA79" s="64">
        <v>1.09497</v>
      </c>
      <c r="AB79" s="75">
        <f>(Input!AC146*0.1/0.2584*1000)</f>
        <v>1.044891640866873E-2</v>
      </c>
      <c r="AC79" s="75">
        <f>(Input!AD146*0.1/0.2584*1000)</f>
        <v>0.14744582043343654</v>
      </c>
      <c r="AD79" s="75">
        <f>(Input!AE146*0.1/0.2584*1000)</f>
        <v>3.8699690402476777E-4</v>
      </c>
      <c r="AE79" s="75">
        <f>(Input!AF146*0.1/0.2584*1000)</f>
        <v>1.5479876160990711E-3</v>
      </c>
      <c r="AF79" s="75">
        <f>(Input!AG146*0.1/0.2584*1000)</f>
        <v>2.6315789473684209E-2</v>
      </c>
      <c r="AG79" s="75">
        <f>(Input!AH146*0.1/0.2584*1000)</f>
        <v>1.044891640866873E-2</v>
      </c>
      <c r="AH79" s="75">
        <f>(Input!AI146*0.1/0.2584*1000)</f>
        <v>6.2306501547987614E-2</v>
      </c>
      <c r="AI79" s="64">
        <v>0.90207000000000004</v>
      </c>
      <c r="AJ79" s="64">
        <v>1.08935</v>
      </c>
      <c r="AK79" s="75">
        <f>(Input!AL146*0.1/0.2584*1000)</f>
        <v>2.5541795665634678E-2</v>
      </c>
      <c r="AL79" s="75">
        <f>(Input!AM146*0.1/0.2584*1000)</f>
        <v>3.8699690402476777E-4</v>
      </c>
      <c r="AM79" s="75">
        <f>(Input!AN146*0.1/0.2584*1000)</f>
        <v>3.2120743034055731E-2</v>
      </c>
      <c r="AN79" s="75">
        <f>(Input!AO146*0.1/0.2584*1000)</f>
        <v>12.991486068111456</v>
      </c>
      <c r="AO79" s="75">
        <f>(Input!AQ146*0.1/0.2584*1000)</f>
        <v>9.4040247678018565E-2</v>
      </c>
      <c r="AP79" s="75">
        <f>(Input!AR146*0.1/0.2584*1000)</f>
        <v>0.18227554179566563</v>
      </c>
      <c r="AQ79" s="75">
        <f>(Input!AS146*0.1/0.2584*1000)</f>
        <v>2.2445820433436531E-2</v>
      </c>
      <c r="AR79" s="75">
        <f>(Input!AT146*0.1/0.2584*1000)</f>
        <v>8.6687306501548003E-2</v>
      </c>
      <c r="AS79" s="75">
        <f>(Input!AU146*0.1/0.2584*1000)</f>
        <v>1.6640866873065013E-2</v>
      </c>
      <c r="AT79" s="75">
        <f>(Input!AV146*0.1/0.2584*1000)</f>
        <v>5.0309597523219814E-3</v>
      </c>
      <c r="AU79" s="75">
        <f>(Input!AW146*0.1/0.2584*1000)</f>
        <v>1.4705882352941176E-2</v>
      </c>
      <c r="AV79" s="75">
        <f>(Input!AX146*0.1/0.2584*1000)</f>
        <v>2.3219814241486067E-3</v>
      </c>
      <c r="AW79" s="75">
        <f>(Input!AY146*0.1/0.2584*1000)</f>
        <v>1.08359133126935E-2</v>
      </c>
      <c r="AX79" s="75">
        <f>(Input!AZ146*0.1/0.2584*1000)</f>
        <v>1.934984520123839E-3</v>
      </c>
      <c r="AY79" s="75">
        <f>(Input!BA146*0.1/0.2584*1000)</f>
        <v>5.4179566563467502E-3</v>
      </c>
      <c r="AZ79" s="75">
        <f>(Input!BB146*0.1/0.2584*1000)</f>
        <v>7.7399380804953554E-4</v>
      </c>
      <c r="BA79" s="75">
        <f>(Input!BC146*0.1/0.2584*1000)</f>
        <v>5.0309597523219814E-3</v>
      </c>
      <c r="BB79" s="75">
        <f>(Input!BD146*0.1/0.2584*1000)</f>
        <v>7.7399380804953554E-4</v>
      </c>
      <c r="BC79" s="75">
        <f>(Input!BE146*0.1/0.2584*1000)</f>
        <v>3.8699690402476777E-4</v>
      </c>
      <c r="BD79" s="75">
        <f>(Input!BF146*0.1/0.2584*1000)</f>
        <v>1.5092879256965943E-2</v>
      </c>
      <c r="BE79" s="75">
        <f>(Input!BG146*0.1/0.2584*1000)</f>
        <v>3.6764705882352935E-2</v>
      </c>
      <c r="BF79" s="75">
        <f>(Input!BH146*0.1/0.2584*1000)</f>
        <v>3.7151702786377708E-2</v>
      </c>
      <c r="BG79" s="75">
        <f>(Input!BI146*0.1/0.2584*1000)</f>
        <v>0</v>
      </c>
      <c r="BH79" s="75">
        <f>(Input!BJ146*0.1/0.2584*1000)</f>
        <v>0</v>
      </c>
      <c r="BI79" s="75">
        <f>(Input!BK146*0.1/0.2584*1000)</f>
        <v>4.8761609907120744E-2</v>
      </c>
      <c r="BJ79" s="75">
        <f>(Input!BL146*0.1/0.2584*1000)</f>
        <v>4.2569659442724455E-3</v>
      </c>
      <c r="BK79" s="75">
        <f>(Input!BM146*0.1/0.2584*1000)</f>
        <v>0.85294117647058831</v>
      </c>
      <c r="BL79" s="75">
        <f>(Input!BN146*0.1/0.2584*1000)</f>
        <v>0.33976006191950464</v>
      </c>
      <c r="BM79" s="64">
        <v>0.87794000000000005</v>
      </c>
      <c r="BN79" s="64">
        <v>1.03837</v>
      </c>
      <c r="BO79" s="75">
        <f>(Input!BQ146*0.1/0.2584*1000)</f>
        <v>2.902476780185758E-2</v>
      </c>
      <c r="BP79" s="75">
        <f>(Input!BR146*0.1/0.2584*1000)</f>
        <v>4.6439628482972135E-3</v>
      </c>
    </row>
    <row r="80" spans="1:68" x14ac:dyDescent="0.3">
      <c r="A80" s="52" t="s">
        <v>78</v>
      </c>
      <c r="B80" s="75">
        <f>(Input!B147*0.1/0.2571*1000)</f>
        <v>239.05095293660059</v>
      </c>
      <c r="C80" s="75">
        <f>(Input!C147*0.1/0.2571*1000)</f>
        <v>1858.0318942045897</v>
      </c>
      <c r="D80" s="75">
        <f>(Input!D147*0.1/0.2571*1000)</f>
        <v>347.95799299883316</v>
      </c>
      <c r="E80" s="75">
        <f>(Input!E147*0.1/0.2571*1000)</f>
        <v>879.0353947880202</v>
      </c>
      <c r="F80" s="75">
        <f>(Input!F147*0.1/0.2571*1000)</f>
        <v>14663.555036950605</v>
      </c>
      <c r="G80" s="75">
        <f>(Input!G147*0.1/0.2571*1000)</f>
        <v>23286.658887592377</v>
      </c>
      <c r="H80" s="64">
        <v>1.0288200000000001</v>
      </c>
      <c r="I80" s="64">
        <v>1.06091</v>
      </c>
      <c r="J80" s="75">
        <f>(Input!J147*0.1/0.2571*1000)</f>
        <v>137.92298716452746</v>
      </c>
      <c r="K80" s="75">
        <f>(Input!L147*0.1/0.2571*1000)</f>
        <v>15.033061065733177</v>
      </c>
      <c r="L80" s="75">
        <f>(Input!M147*0.1/0.2571*1000)</f>
        <v>1.1730844029560483</v>
      </c>
      <c r="M80" s="75">
        <f>(Input!N147*0.1/0.2571*1000)</f>
        <v>62.427071178529758</v>
      </c>
      <c r="N80" s="75">
        <f>(Input!O147*0.1/0.2571*1000)</f>
        <v>528.58809801633595</v>
      </c>
      <c r="O80" s="75">
        <f>(Input!P147*0.1/0.2571*1000)</f>
        <v>0.17930766238817586</v>
      </c>
      <c r="P80" s="75">
        <f>(Input!Q147*0.1/0.2571*1000)</f>
        <v>0.98716452742123695</v>
      </c>
      <c r="Q80" s="75">
        <f>(Input!R147*0.1/0.2571*1000)</f>
        <v>12.489303772851031</v>
      </c>
      <c r="R80" s="75">
        <f>(Input!S147*0.1/0.2571*1000)</f>
        <v>13.636717230649555</v>
      </c>
      <c r="S80" s="75">
        <f>(Input!T147*0.1/0.2571*1000)</f>
        <v>0.4885258654220147</v>
      </c>
      <c r="T80" s="64">
        <v>0.92835999999999996</v>
      </c>
      <c r="U80" s="64">
        <v>0.90593999999999997</v>
      </c>
      <c r="V80" s="75">
        <f>(Input!W147*0.1/0.2571*1000)</f>
        <v>0.13068844807467911</v>
      </c>
      <c r="W80" s="75">
        <f>(Input!X147*0.1/0.2571*1000)</f>
        <v>4.2979385453131087</v>
      </c>
      <c r="X80" s="75">
        <f>(Input!Y147*0.1/0.2571*1000)</f>
        <v>11.894204589653832</v>
      </c>
      <c r="Y80" s="75">
        <f>(Input!Z147*0.1/0.2571*1000)</f>
        <v>103.42279268767017</v>
      </c>
      <c r="Z80" s="64">
        <v>0.99094000000000004</v>
      </c>
      <c r="AA80" s="64">
        <v>1.09287</v>
      </c>
      <c r="AB80" s="75">
        <f>(Input!AC147*0.1/0.2571*1000)</f>
        <v>3.4227926876701675E-2</v>
      </c>
      <c r="AC80" s="75">
        <f>(Input!AD147*0.1/0.2571*1000)</f>
        <v>0.16063788409179308</v>
      </c>
      <c r="AD80" s="75">
        <f>(Input!AE147*0.1/0.2571*1000)</f>
        <v>3.889537145079735E-4</v>
      </c>
      <c r="AE80" s="75">
        <f>(Input!AF147*0.1/0.2571*1000)</f>
        <v>2.7226760015558152E-3</v>
      </c>
      <c r="AF80" s="75">
        <f>(Input!AG147*0.1/0.2571*1000)</f>
        <v>2.4893037728510304E-2</v>
      </c>
      <c r="AG80" s="75">
        <f>(Input!AH147*0.1/0.2571*1000)</f>
        <v>9.4904706339945549E-2</v>
      </c>
      <c r="AH80" s="75">
        <f>(Input!AI147*0.1/0.2571*1000)</f>
        <v>2.0225593154414627E-2</v>
      </c>
      <c r="AI80" s="64">
        <v>0.90193000000000001</v>
      </c>
      <c r="AJ80" s="64">
        <v>1.0843799999999999</v>
      </c>
      <c r="AK80" s="75">
        <f>(Input!AL147*0.1/0.2571*1000)</f>
        <v>4.472967716841697E-2</v>
      </c>
      <c r="AL80" s="75">
        <f>(Input!AM147*0.1/0.2571*1000)</f>
        <v>1.9447685725398683E-3</v>
      </c>
      <c r="AM80" s="75">
        <f>(Input!AN147*0.1/0.2571*1000)</f>
        <v>0.19136522753792301</v>
      </c>
      <c r="AN80" s="75">
        <f>(Input!AO147*0.1/0.2571*1000)</f>
        <v>12.026448852586546</v>
      </c>
      <c r="AO80" s="75">
        <f>(Input!AQ147*0.1/0.2571*1000)</f>
        <v>0.30455075845974333</v>
      </c>
      <c r="AP80" s="75">
        <f>(Input!AR147*0.1/0.2571*1000)</f>
        <v>0.62388175807078972</v>
      </c>
      <c r="AQ80" s="75">
        <f>(Input!AS147*0.1/0.2571*1000)</f>
        <v>7.4679113185530929E-2</v>
      </c>
      <c r="AR80" s="75">
        <f>(Input!AT147*0.1/0.2571*1000)</f>
        <v>0.28510307273434465</v>
      </c>
      <c r="AS80" s="75">
        <f>(Input!AU147*0.1/0.2571*1000)</f>
        <v>5.4842473745624266E-2</v>
      </c>
      <c r="AT80" s="75">
        <f>(Input!AV147*0.1/0.2571*1000)</f>
        <v>1.2446518864255152E-2</v>
      </c>
      <c r="AU80" s="75">
        <f>(Input!AW147*0.1/0.2571*1000)</f>
        <v>4.7841306884480753E-2</v>
      </c>
      <c r="AV80" s="75">
        <f>(Input!AX147*0.1/0.2571*1000)</f>
        <v>7.0011668611435233E-3</v>
      </c>
      <c r="AW80" s="75">
        <f>(Input!AY147*0.1/0.2571*1000)</f>
        <v>3.5394788020225595E-2</v>
      </c>
      <c r="AX80" s="75">
        <f>(Input!AZ147*0.1/0.2571*1000)</f>
        <v>6.6122131466355505E-3</v>
      </c>
      <c r="AY80" s="75">
        <f>(Input!BA147*0.1/0.2571*1000)</f>
        <v>1.8280824581874758E-2</v>
      </c>
      <c r="AZ80" s="75">
        <f>(Input!BB147*0.1/0.2571*1000)</f>
        <v>2.3337222870478415E-3</v>
      </c>
      <c r="BA80" s="75">
        <f>(Input!BC147*0.1/0.2571*1000)</f>
        <v>1.5558148580318946E-2</v>
      </c>
      <c r="BB80" s="75">
        <f>(Input!BD147*0.1/0.2571*1000)</f>
        <v>2.3337222870478415E-3</v>
      </c>
      <c r="BC80" s="75">
        <f>(Input!BE147*0.1/0.2571*1000)</f>
        <v>7.77907429015947E-4</v>
      </c>
      <c r="BD80" s="75">
        <f>(Input!BF147*0.1/0.2571*1000)</f>
        <v>3.5783741734733567E-2</v>
      </c>
      <c r="BE80" s="75">
        <f>(Input!BG147*0.1/0.2571*1000)</f>
        <v>3.2672112018669777E-2</v>
      </c>
      <c r="BF80" s="75">
        <f>(Input!BH147*0.1/0.2571*1000)</f>
        <v>3.4616880591209646E-2</v>
      </c>
      <c r="BG80" s="75">
        <f>(Input!BI147*0.1/0.2571*1000)</f>
        <v>0</v>
      </c>
      <c r="BH80" s="75">
        <f>(Input!BJ147*0.1/0.2571*1000)</f>
        <v>3.889537145079735E-4</v>
      </c>
      <c r="BI80" s="75">
        <f>(Input!BK147*0.1/0.2571*1000)</f>
        <v>4.9397121742512644E-2</v>
      </c>
      <c r="BJ80" s="75">
        <f>(Input!BL147*0.1/0.2571*1000)</f>
        <v>6.223259432127576E-3</v>
      </c>
      <c r="BK80" s="75">
        <f>(Input!BM147*0.1/0.2571*1000)</f>
        <v>2.4531310774017898</v>
      </c>
      <c r="BL80" s="75">
        <f>(Input!BN147*0.1/0.2571*1000)</f>
        <v>0.34109295993776745</v>
      </c>
      <c r="BM80" s="64">
        <v>0.87695000000000001</v>
      </c>
      <c r="BN80" s="64">
        <v>1.0430999999999999</v>
      </c>
      <c r="BO80" s="75">
        <f>(Input!BQ147*0.1/0.2571*1000)</f>
        <v>9.1793076623881767E-2</v>
      </c>
      <c r="BP80" s="75">
        <f>(Input!BR147*0.1/0.2571*1000)</f>
        <v>1.4780241151302997E-2</v>
      </c>
    </row>
    <row r="81" spans="1:68" x14ac:dyDescent="0.3">
      <c r="A81" s="52" t="s">
        <v>79</v>
      </c>
      <c r="B81" s="75">
        <f>(Input!B148*0.1/0.2544*1000)</f>
        <v>141.78459119496853</v>
      </c>
      <c r="C81" s="75">
        <f>(Input!C148*0.1/0.2544*1000)</f>
        <v>1879.7169811320755</v>
      </c>
      <c r="D81" s="75">
        <f>(Input!D148*0.1/0.2544*1000)</f>
        <v>222.60220125786159</v>
      </c>
      <c r="E81" s="75">
        <f>(Input!E148*0.1/0.2544*1000)</f>
        <v>1329.009433962264</v>
      </c>
      <c r="F81" s="75">
        <f>(Input!F148*0.1/0.2544*1000)</f>
        <v>17877.358490566039</v>
      </c>
      <c r="G81" s="75">
        <f>(Input!G148*0.1/0.2544*1000)</f>
        <v>16698.113207547169</v>
      </c>
      <c r="H81" s="64">
        <v>1.0370699999999999</v>
      </c>
      <c r="I81" s="64">
        <v>1.07585</v>
      </c>
      <c r="J81" s="75">
        <f>(Input!J148*0.1/0.2544*1000)</f>
        <v>97.405660377358501</v>
      </c>
      <c r="K81" s="75">
        <f>(Input!L148*0.1/0.2544*1000)</f>
        <v>11.745283018867925</v>
      </c>
      <c r="L81" s="75">
        <f>(Input!M148*0.1/0.2544*1000)</f>
        <v>1.1132075471698111</v>
      </c>
      <c r="M81" s="75">
        <f>(Input!N148*0.1/0.2544*1000)</f>
        <v>41.588050314465399</v>
      </c>
      <c r="N81" s="75">
        <f>(Input!O148*0.1/0.2544*1000)</f>
        <v>361.63522012578619</v>
      </c>
      <c r="O81" s="75">
        <f>(Input!P148*0.1/0.2544*1000)</f>
        <v>0.17570754716981132</v>
      </c>
      <c r="P81" s="75">
        <f>(Input!Q148*0.1/0.2544*1000)</f>
        <v>1.4143081761006289</v>
      </c>
      <c r="Q81" s="75">
        <f>(Input!R148*0.1/0.2544*1000)</f>
        <v>11.116352201257863</v>
      </c>
      <c r="R81" s="75">
        <f>(Input!S148*0.1/0.2544*1000)</f>
        <v>14.689465408805033</v>
      </c>
      <c r="S81" s="75">
        <f>(Input!T148*0.1/0.2544*1000)</f>
        <v>0.51611635220125784</v>
      </c>
      <c r="T81" s="64">
        <v>0.92747999999999997</v>
      </c>
      <c r="U81" s="64">
        <v>0.92679</v>
      </c>
      <c r="V81" s="75">
        <f>(Input!W148*0.1/0.2544*1000)</f>
        <v>0.12657232704402516</v>
      </c>
      <c r="W81" s="75">
        <f>(Input!X148*0.1/0.2544*1000)</f>
        <v>8.8482704402515733</v>
      </c>
      <c r="X81" s="75">
        <f>(Input!Y148*0.1/0.2544*1000)</f>
        <v>3.7613993710691829</v>
      </c>
      <c r="Y81" s="75">
        <f>(Input!Z148*0.1/0.2544*1000)</f>
        <v>88.20754716981132</v>
      </c>
      <c r="Z81" s="64">
        <v>0.99124999999999996</v>
      </c>
      <c r="AA81" s="64">
        <v>1.10748</v>
      </c>
      <c r="AB81" s="75">
        <f>(Input!AC148*0.1/0.2544*1000)</f>
        <v>2.3191823899371068E-2</v>
      </c>
      <c r="AC81" s="75">
        <f>(Input!AD148*0.1/0.2544*1000)</f>
        <v>0.11556603773584904</v>
      </c>
      <c r="AD81" s="75">
        <f>(Input!AE148*0.1/0.2544*1000)</f>
        <v>3.9308176100628928E-4</v>
      </c>
      <c r="AE81" s="75">
        <f>(Input!AF148*0.1/0.2544*1000)</f>
        <v>1.5723270440251571E-3</v>
      </c>
      <c r="AF81" s="75">
        <f>(Input!AG148*0.1/0.2544*1000)</f>
        <v>2.0833333333333332E-2</v>
      </c>
      <c r="AG81" s="75">
        <f>(Input!AH148*0.1/0.2544*1000)</f>
        <v>5.8176100628930812E-2</v>
      </c>
      <c r="AH81" s="75">
        <f>(Input!AI148*0.1/0.2544*1000)</f>
        <v>1.9654088050314465E-2</v>
      </c>
      <c r="AI81" s="64">
        <v>0.90634999999999999</v>
      </c>
      <c r="AJ81" s="64">
        <v>1.1010500000000001</v>
      </c>
      <c r="AK81" s="75">
        <f>(Input!AL148*0.1/0.2544*1000)</f>
        <v>4.2059748427672954E-2</v>
      </c>
      <c r="AL81" s="75">
        <f>(Input!AM148*0.1/0.2544*1000)</f>
        <v>3.9308176100628928E-4</v>
      </c>
      <c r="AM81" s="75">
        <f>(Input!AN148*0.1/0.2544*1000)</f>
        <v>4.4418238993710703E-2</v>
      </c>
      <c r="AN81" s="75">
        <f>(Input!AO148*0.1/0.2544*1000)</f>
        <v>13.238993710691824</v>
      </c>
      <c r="AO81" s="75">
        <f>(Input!AQ148*0.1/0.2544*1000)</f>
        <v>0.22051886792452832</v>
      </c>
      <c r="AP81" s="75">
        <f>(Input!AR148*0.1/0.2544*1000)</f>
        <v>0.43278301886792453</v>
      </c>
      <c r="AQ81" s="75">
        <f>(Input!AS148*0.1/0.2544*1000)</f>
        <v>5.3852201257861644E-2</v>
      </c>
      <c r="AR81" s="75">
        <f>(Input!AT148*0.1/0.2544*1000)</f>
        <v>0.20047169811320756</v>
      </c>
      <c r="AS81" s="75">
        <f>(Input!AU148*0.1/0.2544*1000)</f>
        <v>3.8128930817610061E-2</v>
      </c>
      <c r="AT81" s="75">
        <f>(Input!AV148*0.1/0.2544*1000)</f>
        <v>9.0408805031446538E-3</v>
      </c>
      <c r="AU81" s="75">
        <f>(Input!AW148*0.1/0.2544*1000)</f>
        <v>3.4984276729559748E-2</v>
      </c>
      <c r="AV81" s="75">
        <f>(Input!AX148*0.1/0.2544*1000)</f>
        <v>4.7169811320754724E-3</v>
      </c>
      <c r="AW81" s="75">
        <f>(Input!AY148*0.1/0.2544*1000)</f>
        <v>2.3977987421383646E-2</v>
      </c>
      <c r="AX81" s="75">
        <f>(Input!AZ148*0.1/0.2544*1000)</f>
        <v>4.7169811320754724E-3</v>
      </c>
      <c r="AY81" s="75">
        <f>(Input!BA148*0.1/0.2544*1000)</f>
        <v>1.1792452830188678E-2</v>
      </c>
      <c r="AZ81" s="75">
        <f>(Input!BB148*0.1/0.2544*1000)</f>
        <v>1.5723270440251571E-3</v>
      </c>
      <c r="BA81" s="75">
        <f>(Input!BC148*0.1/0.2544*1000)</f>
        <v>1.0220125786163521E-2</v>
      </c>
      <c r="BB81" s="75">
        <f>(Input!BD148*0.1/0.2544*1000)</f>
        <v>1.5723270440251571E-3</v>
      </c>
      <c r="BC81" s="75">
        <f>(Input!BE148*0.1/0.2544*1000)</f>
        <v>3.9308176100628928E-4</v>
      </c>
      <c r="BD81" s="75">
        <f>(Input!BF148*0.1/0.2544*1000)</f>
        <v>2.0440251572327043E-2</v>
      </c>
      <c r="BE81" s="75">
        <f>(Input!BG148*0.1/0.2544*1000)</f>
        <v>2.3584905660377357E-2</v>
      </c>
      <c r="BF81" s="75">
        <f>(Input!BH148*0.1/0.2544*1000)</f>
        <v>2.4371069182389939E-2</v>
      </c>
      <c r="BG81" s="75">
        <f>(Input!BI148*0.1/0.2544*1000)</f>
        <v>0</v>
      </c>
      <c r="BH81" s="75">
        <f>(Input!BJ148*0.1/0.2544*1000)</f>
        <v>0</v>
      </c>
      <c r="BI81" s="75">
        <f>(Input!BK148*0.1/0.2544*1000)</f>
        <v>5.0314465408805027E-2</v>
      </c>
      <c r="BJ81" s="75">
        <f>(Input!BL148*0.1/0.2544*1000)</f>
        <v>3.1446540880503142E-3</v>
      </c>
      <c r="BK81" s="75">
        <f>(Input!BM148*0.1/0.2544*1000)</f>
        <v>1.2315251572327046</v>
      </c>
      <c r="BL81" s="75">
        <f>(Input!BN148*0.1/0.2544*1000)</f>
        <v>0.34569968553459113</v>
      </c>
      <c r="BM81" s="64">
        <v>0.87946000000000002</v>
      </c>
      <c r="BN81" s="64">
        <v>1.05183</v>
      </c>
      <c r="BO81" s="75">
        <f>(Input!BQ148*0.1/0.2544*1000)</f>
        <v>6.2106918238993718E-2</v>
      </c>
      <c r="BP81" s="75">
        <f>(Input!BR148*0.1/0.2544*1000)</f>
        <v>9.0408805031446538E-3</v>
      </c>
    </row>
    <row r="82" spans="1:68" x14ac:dyDescent="0.3">
      <c r="A82" s="52" t="s">
        <v>80</v>
      </c>
      <c r="B82" s="75">
        <f>(Input!B149*0.1/0.2601*1000)</f>
        <v>119.41560938100733</v>
      </c>
      <c r="C82" s="75">
        <f>(Input!C149*0.1/0.2601*1000)</f>
        <v>2227.6047673971552</v>
      </c>
      <c r="D82" s="75">
        <f>(Input!D149*0.1/0.2601*1000)</f>
        <v>163.82160707420226</v>
      </c>
      <c r="E82" s="75">
        <f>(Input!E149*0.1/0.2601*1000)</f>
        <v>1770.4728950403694</v>
      </c>
      <c r="F82" s="75">
        <f>(Input!F149*0.1/0.2601*1000)</f>
        <v>19504.0369088812</v>
      </c>
      <c r="G82" s="75">
        <f>(Input!G149*0.1/0.2601*1000)</f>
        <v>18688.965782391391</v>
      </c>
      <c r="H82" s="64">
        <v>1.04769</v>
      </c>
      <c r="I82" s="64">
        <v>1.0748800000000001</v>
      </c>
      <c r="J82" s="75">
        <f>(Input!J149*0.1/0.2601*1000)</f>
        <v>104.49826989619378</v>
      </c>
      <c r="K82" s="75">
        <f>(Input!L149*0.1/0.2601*1000)</f>
        <v>7.8662053056516754</v>
      </c>
      <c r="L82" s="75">
        <f>(Input!M149*0.1/0.2601*1000)</f>
        <v>0.72395232602845061</v>
      </c>
      <c r="M82" s="75">
        <f>(Input!N149*0.1/0.2601*1000)</f>
        <v>54.017685505574789</v>
      </c>
      <c r="N82" s="75">
        <f>(Input!O149*0.1/0.2601*1000)</f>
        <v>245.29027297193389</v>
      </c>
      <c r="O82" s="75">
        <f>(Input!P149*0.1/0.2601*1000)</f>
        <v>0.13148788927335645</v>
      </c>
      <c r="P82" s="75">
        <f>(Input!Q149*0.1/0.2601*1000)</f>
        <v>2.910034602076125</v>
      </c>
      <c r="Q82" s="75">
        <f>(Input!R149*0.1/0.2601*1000)</f>
        <v>24.659746251441756</v>
      </c>
      <c r="R82" s="75">
        <f>(Input!S149*0.1/0.2601*1000)</f>
        <v>18.123798539023454</v>
      </c>
      <c r="S82" s="75">
        <f>(Input!T149*0.1/0.2601*1000)</f>
        <v>0.54479046520569008</v>
      </c>
      <c r="T82" s="64">
        <v>0.94681000000000004</v>
      </c>
      <c r="U82" s="64">
        <v>0.92649999999999999</v>
      </c>
      <c r="V82" s="75">
        <f>(Input!W149*0.1/0.2601*1000)</f>
        <v>7.4586697424067663E-2</v>
      </c>
      <c r="W82" s="75">
        <f>(Input!X149*0.1/0.2601*1000)</f>
        <v>1.3675509419454057</v>
      </c>
      <c r="X82" s="75">
        <f>(Input!Y149*0.1/0.2601*1000)</f>
        <v>8.5505574778931184</v>
      </c>
      <c r="Y82" s="75">
        <f>(Input!Z149*0.1/0.2601*1000)</f>
        <v>87.081891580161496</v>
      </c>
      <c r="Z82" s="64">
        <v>1.00003</v>
      </c>
      <c r="AA82" s="64">
        <v>1.09867</v>
      </c>
      <c r="AB82" s="75">
        <f>(Input!AC149*0.1/0.2601*1000)</f>
        <v>1.4225297962322185E-2</v>
      </c>
      <c r="AC82" s="75">
        <f>(Input!AD149*0.1/0.2601*1000)</f>
        <v>0.23644752018454443</v>
      </c>
      <c r="AD82" s="75">
        <f>(Input!AE149*0.1/0.2601*1000)</f>
        <v>0</v>
      </c>
      <c r="AE82" s="75">
        <f>(Input!AF149*0.1/0.2601*1000)</f>
        <v>1.5378700499807765E-3</v>
      </c>
      <c r="AF82" s="75">
        <f>(Input!AG149*0.1/0.2601*1000)</f>
        <v>2.0761245674740483E-2</v>
      </c>
      <c r="AG82" s="75">
        <f>(Input!AH149*0.1/0.2601*1000)</f>
        <v>3.2679738562091505E-2</v>
      </c>
      <c r="AH82" s="75">
        <f>(Input!AI149*0.1/0.2601*1000)</f>
        <v>6.4975009611687826E-2</v>
      </c>
      <c r="AI82" s="64">
        <v>0.90788999999999997</v>
      </c>
      <c r="AJ82" s="64">
        <v>1.0929500000000001</v>
      </c>
      <c r="AK82" s="75">
        <f>(Input!AL149*0.1/0.2601*1000)</f>
        <v>1.6532103037293348E-2</v>
      </c>
      <c r="AL82" s="75">
        <f>(Input!AM149*0.1/0.2601*1000)</f>
        <v>0</v>
      </c>
      <c r="AM82" s="75">
        <f>(Input!AN149*0.1/0.2601*1000)</f>
        <v>6.1130334486735882E-2</v>
      </c>
      <c r="AN82" s="75">
        <f>(Input!AO149*0.1/0.2601*1000)</f>
        <v>14.559784698193004</v>
      </c>
      <c r="AO82" s="75">
        <f>(Input!AQ149*0.1/0.2601*1000)</f>
        <v>0.12995001922337565</v>
      </c>
      <c r="AP82" s="75">
        <f>(Input!AR149*0.1/0.2601*1000)</f>
        <v>0.24951941560938101</v>
      </c>
      <c r="AQ82" s="75">
        <f>(Input!AS149*0.1/0.2601*1000)</f>
        <v>3.1526336024605923E-2</v>
      </c>
      <c r="AR82" s="75">
        <f>(Input!AT149*0.1/0.2601*1000)</f>
        <v>0.11610918877354863</v>
      </c>
      <c r="AS82" s="75">
        <f>(Input!AU149*0.1/0.2601*1000)</f>
        <v>2.4221453287197235E-2</v>
      </c>
      <c r="AT82" s="75">
        <f>(Input!AV149*0.1/0.2601*1000)</f>
        <v>7.6893502499038842E-3</v>
      </c>
      <c r="AU82" s="75">
        <f>(Input!AW149*0.1/0.2601*1000)</f>
        <v>2.1145713187235682E-2</v>
      </c>
      <c r="AV82" s="75">
        <f>(Input!AX149*0.1/0.2601*1000)</f>
        <v>3.0757400999615529E-3</v>
      </c>
      <c r="AW82" s="75">
        <f>(Input!AY149*0.1/0.2601*1000)</f>
        <v>1.4994232987312572E-2</v>
      </c>
      <c r="AX82" s="75">
        <f>(Input!AZ149*0.1/0.2601*1000)</f>
        <v>2.6912725874663596E-3</v>
      </c>
      <c r="AY82" s="75">
        <f>(Input!BA149*0.1/0.2601*1000)</f>
        <v>7.6893502499038842E-3</v>
      </c>
      <c r="AZ82" s="75">
        <f>(Input!BB149*0.1/0.2601*1000)</f>
        <v>7.6893502499038823E-4</v>
      </c>
      <c r="BA82" s="75">
        <f>(Input!BC149*0.1/0.2601*1000)</f>
        <v>6.1514801999231058E-3</v>
      </c>
      <c r="BB82" s="75">
        <f>(Input!BD149*0.1/0.2601*1000)</f>
        <v>7.6893502499038823E-4</v>
      </c>
      <c r="BC82" s="75">
        <f>(Input!BE149*0.1/0.2601*1000)</f>
        <v>3.8446751249519411E-4</v>
      </c>
      <c r="BD82" s="75">
        <f>(Input!BF149*0.1/0.2601*1000)</f>
        <v>2.6528258362168405E-2</v>
      </c>
      <c r="BE82" s="75">
        <f>(Input!BG149*0.1/0.2601*1000)</f>
        <v>8.9965397923875451E-2</v>
      </c>
      <c r="BF82" s="75">
        <f>(Input!BH149*0.1/0.2601*1000)</f>
        <v>9.3425605536332182E-2</v>
      </c>
      <c r="BG82" s="75">
        <f>(Input!BI149*0.1/0.2601*1000)</f>
        <v>0</v>
      </c>
      <c r="BH82" s="75">
        <f>(Input!BJ149*0.1/0.2601*1000)</f>
        <v>0</v>
      </c>
      <c r="BI82" s="75">
        <f>(Input!BK149*0.1/0.2601*1000)</f>
        <v>6.5743944636678223E-2</v>
      </c>
      <c r="BJ82" s="75">
        <f>(Input!BL149*0.1/0.2601*1000)</f>
        <v>3.4602076124567466E-3</v>
      </c>
      <c r="BK82" s="75">
        <f>(Input!BM149*0.1/0.2601*1000)</f>
        <v>0.98423683198769718</v>
      </c>
      <c r="BL82" s="75">
        <f>(Input!BN149*0.1/0.2601*1000)</f>
        <v>0.3384582852748943</v>
      </c>
      <c r="BM82" s="64">
        <v>0.88032999999999995</v>
      </c>
      <c r="BN82" s="64">
        <v>1.04129</v>
      </c>
      <c r="BO82" s="75">
        <f>(Input!BQ149*0.1/0.2601*1000)</f>
        <v>3.844675124951942E-2</v>
      </c>
      <c r="BP82" s="75">
        <f>(Input!BR149*0.1/0.2601*1000)</f>
        <v>6.9204152249134933E-3</v>
      </c>
    </row>
    <row r="83" spans="1:68" x14ac:dyDescent="0.3">
      <c r="A83" s="52" t="s">
        <v>81</v>
      </c>
      <c r="B83" s="75">
        <f>(Input!B150*0.1/0.2526*1000)</f>
        <v>91.092636579572471</v>
      </c>
      <c r="C83" s="75">
        <f>(Input!C150*0.1/0.2526*1000)</f>
        <v>1589.4695170229611</v>
      </c>
      <c r="D83" s="75">
        <f>(Input!D150*0.1/0.2526*1000)</f>
        <v>484.56057007125895</v>
      </c>
      <c r="E83" s="75">
        <f>(Input!E150*0.1/0.2526*1000)</f>
        <v>765.63737133808411</v>
      </c>
      <c r="F83" s="75">
        <f>(Input!F150*0.1/0.2526*1000)</f>
        <v>17719.714964370545</v>
      </c>
      <c r="G83" s="75">
        <f>(Input!G150*0.1/0.2526*1000)</f>
        <v>19406.175771971502</v>
      </c>
      <c r="H83" s="64">
        <v>1.0548599999999999</v>
      </c>
      <c r="I83" s="64">
        <v>1.1080700000000001</v>
      </c>
      <c r="J83" s="75">
        <f>(Input!J150*0.1/0.2526*1000)</f>
        <v>128.3452098178939</v>
      </c>
      <c r="K83" s="75">
        <f>(Input!L150*0.1/0.2526*1000)</f>
        <v>22.161520190023751</v>
      </c>
      <c r="L83" s="75">
        <f>(Input!M150*0.1/0.2526*1000)</f>
        <v>1.4113222486144104</v>
      </c>
      <c r="M83" s="75">
        <f>(Input!N150*0.1/0.2526*1000)</f>
        <v>46.832937450514649</v>
      </c>
      <c r="N83" s="75">
        <f>(Input!O150*0.1/0.2526*1000)</f>
        <v>721.69437846397477</v>
      </c>
      <c r="O83" s="75">
        <f>(Input!P150*0.1/0.2526*1000)</f>
        <v>0.31947743467933498</v>
      </c>
      <c r="P83" s="75">
        <f>(Input!Q150*0.1/0.2526*1000)</f>
        <v>1.4833729216152018</v>
      </c>
      <c r="Q83" s="75">
        <f>(Input!R150*0.1/0.2526*1000)</f>
        <v>13.646080760095014</v>
      </c>
      <c r="R83" s="75">
        <f>(Input!S150*0.1/0.2526*1000)</f>
        <v>15.419635787806813</v>
      </c>
      <c r="S83" s="75">
        <f>(Input!T150*0.1/0.2526*1000)</f>
        <v>0.52652414885193988</v>
      </c>
      <c r="T83" s="64">
        <v>0.94979000000000002</v>
      </c>
      <c r="U83" s="64">
        <v>0.94535999999999998</v>
      </c>
      <c r="V83" s="75">
        <f>(Input!W150*0.1/0.2526*1000)</f>
        <v>0.20387965162311958</v>
      </c>
      <c r="W83" s="75">
        <f>(Input!X150*0.1/0.2526*1000)</f>
        <v>6.3262074425969921</v>
      </c>
      <c r="X83" s="75">
        <f>(Input!Y150*0.1/0.2526*1000)</f>
        <v>16.98733174980206</v>
      </c>
      <c r="Y83" s="75">
        <f>(Input!Z150*0.1/0.2526*1000)</f>
        <v>69.912905779889158</v>
      </c>
      <c r="Z83" s="64">
        <v>1.01641</v>
      </c>
      <c r="AA83" s="64">
        <v>1.13411</v>
      </c>
      <c r="AB83" s="75">
        <f>(Input!AC150*0.1/0.2526*1000)</f>
        <v>6.2153602533650036E-2</v>
      </c>
      <c r="AC83" s="75">
        <f>(Input!AD150*0.1/0.2526*1000)</f>
        <v>0.31631037212984958</v>
      </c>
      <c r="AD83" s="75">
        <f>(Input!AE150*0.1/0.2526*1000)</f>
        <v>3.9588281868566902E-4</v>
      </c>
      <c r="AE83" s="75">
        <f>(Input!AF150*0.1/0.2526*1000)</f>
        <v>1.5835312747426761E-3</v>
      </c>
      <c r="AF83" s="75">
        <f>(Input!AG150*0.1/0.2526*1000)</f>
        <v>1.6627078384798103E-2</v>
      </c>
      <c r="AG83" s="75">
        <f>(Input!AH150*0.1/0.2526*1000)</f>
        <v>0.14885193982581155</v>
      </c>
      <c r="AH83" s="75">
        <f>(Input!AI150*0.1/0.2526*1000)</f>
        <v>4.0380047505938245E-2</v>
      </c>
      <c r="AI83" s="64">
        <v>0.92040999999999995</v>
      </c>
      <c r="AJ83" s="64">
        <v>1.1220399999999999</v>
      </c>
      <c r="AK83" s="75">
        <f>(Input!AL150*0.1/0.2526*1000)</f>
        <v>7.3634204275534451E-2</v>
      </c>
      <c r="AL83" s="75">
        <f>(Input!AM150*0.1/0.2526*1000)</f>
        <v>7.9176563737133805E-4</v>
      </c>
      <c r="AM83" s="75">
        <f>(Input!AN150*0.1/0.2526*1000)</f>
        <v>0.18685669041963579</v>
      </c>
      <c r="AN83" s="75">
        <f>(Input!AO150*0.1/0.2526*1000)</f>
        <v>12.319873317498022</v>
      </c>
      <c r="AO83" s="75">
        <f>(Input!AQ150*0.1/0.2526*1000)</f>
        <v>0.59422011084718929</v>
      </c>
      <c r="AP83" s="75">
        <f>(Input!AR150*0.1/0.2526*1000)</f>
        <v>1.1634996041171815</v>
      </c>
      <c r="AQ83" s="75">
        <f>(Input!AS150*0.1/0.2526*1000)</f>
        <v>0.14212193190815517</v>
      </c>
      <c r="AR83" s="75">
        <f>(Input!AT150*0.1/0.2526*1000)</f>
        <v>0.53562945368171033</v>
      </c>
      <c r="AS83" s="75">
        <f>(Input!AU150*0.1/0.2526*1000)</f>
        <v>0.12707838479809977</v>
      </c>
      <c r="AT83" s="75">
        <f>(Input!AV150*0.1/0.2526*1000)</f>
        <v>2.0585906571654794E-2</v>
      </c>
      <c r="AU83" s="75">
        <f>(Input!AW150*0.1/0.2526*1000)</f>
        <v>9.2636579572446559E-2</v>
      </c>
      <c r="AV83" s="75">
        <f>(Input!AX150*0.1/0.2526*1000)</f>
        <v>1.2668250197941409E-2</v>
      </c>
      <c r="AW83" s="75">
        <f>(Input!AY150*0.1/0.2526*1000)</f>
        <v>6.7300079176563748E-2</v>
      </c>
      <c r="AX83" s="75">
        <f>(Input!AZ150*0.1/0.2526*1000)</f>
        <v>1.2668250197941409E-2</v>
      </c>
      <c r="AY83" s="75">
        <f>(Input!BA150*0.1/0.2526*1000)</f>
        <v>3.444180522565321E-2</v>
      </c>
      <c r="AZ83" s="75">
        <f>(Input!BB150*0.1/0.2526*1000)</f>
        <v>4.7505938242280296E-3</v>
      </c>
      <c r="BA83" s="75">
        <f>(Input!BC150*0.1/0.2526*1000)</f>
        <v>2.9295328582739512E-2</v>
      </c>
      <c r="BB83" s="75">
        <f>(Input!BD150*0.1/0.2526*1000)</f>
        <v>3.9588281868566909E-3</v>
      </c>
      <c r="BC83" s="75">
        <f>(Input!BE150*0.1/0.2526*1000)</f>
        <v>1.1876484560570074E-3</v>
      </c>
      <c r="BD83" s="75">
        <f>(Input!BF150*0.1/0.2526*1000)</f>
        <v>5.8194774346793349E-2</v>
      </c>
      <c r="BE83" s="75">
        <f>(Input!BG150*0.1/0.2526*1000)</f>
        <v>2.414885193982581E-2</v>
      </c>
      <c r="BF83" s="75">
        <f>(Input!BH150*0.1/0.2526*1000)</f>
        <v>2.4544734758511485E-2</v>
      </c>
      <c r="BG83" s="75">
        <f>(Input!BI150*0.1/0.2526*1000)</f>
        <v>0</v>
      </c>
      <c r="BH83" s="75">
        <f>(Input!BJ150*0.1/0.2526*1000)</f>
        <v>0</v>
      </c>
      <c r="BI83" s="75">
        <f>(Input!BK150*0.1/0.2526*1000)</f>
        <v>5.2652414885193996E-2</v>
      </c>
      <c r="BJ83" s="75">
        <f>(Input!BL150*0.1/0.2526*1000)</f>
        <v>9.5011876484560592E-3</v>
      </c>
      <c r="BK83" s="75">
        <f>(Input!BM150*0.1/0.2526*1000)</f>
        <v>3.2743467933491694</v>
      </c>
      <c r="BL83" s="75">
        <f>(Input!BN150*0.1/0.2526*1000)</f>
        <v>0.35332541567695963</v>
      </c>
      <c r="BM83" s="64">
        <v>0.89249999999999996</v>
      </c>
      <c r="BN83" s="64">
        <v>1.0663899999999999</v>
      </c>
      <c r="BO83" s="75">
        <f>(Input!BQ150*0.1/0.2526*1000)</f>
        <v>0.15518606492478229</v>
      </c>
      <c r="BP83" s="75">
        <f>(Input!BR150*0.1/0.2526*1000)</f>
        <v>2.4544734758511485E-2</v>
      </c>
    </row>
    <row r="84" spans="1:68" x14ac:dyDescent="0.3">
      <c r="A84" s="52" t="s">
        <v>82</v>
      </c>
      <c r="B84" s="75">
        <f>(Input!B151*0.1/0.2574*1000)</f>
        <v>244.56099456099452</v>
      </c>
      <c r="C84" s="75">
        <f>(Input!C151*0.1/0.2574*1000)</f>
        <v>2061.7715617715621</v>
      </c>
      <c r="D84" s="75">
        <f>(Input!D151*0.1/0.2574*1000)</f>
        <v>711.34421134421132</v>
      </c>
      <c r="E84" s="75">
        <f>(Input!E151*0.1/0.2574*1000)</f>
        <v>1341.4918414918413</v>
      </c>
      <c r="F84" s="75">
        <f>(Input!F151*0.1/0.2574*1000)</f>
        <v>17369.852369852368</v>
      </c>
      <c r="G84" s="75">
        <f>(Input!G151*0.1/0.2574*1000)</f>
        <v>14770.784770784772</v>
      </c>
      <c r="H84" s="64">
        <v>1.0823499999999999</v>
      </c>
      <c r="I84" s="64">
        <v>1.13923</v>
      </c>
      <c r="J84" s="75">
        <f>(Input!J151*0.1/0.2574*1000)</f>
        <v>117.17171717171719</v>
      </c>
      <c r="K84" s="75">
        <f>(Input!L151*0.1/0.2574*1000)</f>
        <v>28.084693084693086</v>
      </c>
      <c r="L84" s="75">
        <f>(Input!M151*0.1/0.2574*1000)</f>
        <v>1.4766899766899768</v>
      </c>
      <c r="M84" s="75">
        <f>(Input!N151*0.1/0.2574*1000)</f>
        <v>50.271950271950274</v>
      </c>
      <c r="N84" s="75">
        <f>(Input!O151*0.1/0.2574*1000)</f>
        <v>885.78088578088568</v>
      </c>
      <c r="O84" s="75">
        <f>(Input!P151*0.1/0.2574*1000)</f>
        <v>0.317016317016317</v>
      </c>
      <c r="P84" s="75">
        <f>(Input!Q151*0.1/0.2574*1000)</f>
        <v>1.6060606060606062</v>
      </c>
      <c r="Q84" s="75">
        <f>(Input!R151*0.1/0.2574*1000)</f>
        <v>12.136752136752136</v>
      </c>
      <c r="R84" s="75">
        <f>(Input!S151*0.1/0.2574*1000)</f>
        <v>9.7202797202797218</v>
      </c>
      <c r="S84" s="75">
        <f>(Input!T151*0.1/0.2574*1000)</f>
        <v>0.7319347319347318</v>
      </c>
      <c r="T84" s="64">
        <v>0.97289000000000003</v>
      </c>
      <c r="U84" s="64">
        <v>0.96131</v>
      </c>
      <c r="V84" s="75">
        <f>(Input!W151*0.1/0.2574*1000)</f>
        <v>0.20007770007770007</v>
      </c>
      <c r="W84" s="75">
        <f>(Input!X151*0.1/0.2574*1000)</f>
        <v>3.9121989121989125</v>
      </c>
      <c r="X84" s="75">
        <f>(Input!Y151*0.1/0.2574*1000)</f>
        <v>5.7653457653457645</v>
      </c>
      <c r="Y84" s="75">
        <f>(Input!Z151*0.1/0.2574*1000)</f>
        <v>73.970473970473975</v>
      </c>
      <c r="Z84" s="64">
        <v>1.0364500000000001</v>
      </c>
      <c r="AA84" s="64">
        <v>1.15679</v>
      </c>
      <c r="AB84" s="75">
        <f>(Input!AC151*0.1/0.2574*1000)</f>
        <v>7.5369075369075361E-2</v>
      </c>
      <c r="AC84" s="75">
        <f>(Input!AD151*0.1/0.2574*1000)</f>
        <v>0.38306138306138304</v>
      </c>
      <c r="AD84" s="75">
        <f>(Input!AE151*0.1/0.2574*1000)</f>
        <v>3.8850038850038845E-4</v>
      </c>
      <c r="AE84" s="75">
        <f>(Input!AF151*0.1/0.2574*1000)</f>
        <v>1.1655011655011657E-3</v>
      </c>
      <c r="AF84" s="75">
        <f>(Input!AG151*0.1/0.2574*1000)</f>
        <v>1.6317016317016316E-2</v>
      </c>
      <c r="AG84" s="75">
        <f>(Input!AH151*0.1/0.2574*1000)</f>
        <v>0.14257964257964256</v>
      </c>
      <c r="AH84" s="75">
        <f>(Input!AI151*0.1/0.2574*1000)</f>
        <v>2.7972027972027965E-2</v>
      </c>
      <c r="AI84" s="64">
        <v>0.93896000000000002</v>
      </c>
      <c r="AJ84" s="64">
        <v>1.14683</v>
      </c>
      <c r="AK84" s="75">
        <f>(Input!AL151*0.1/0.2574*1000)</f>
        <v>1.4763014763014764E-2</v>
      </c>
      <c r="AL84" s="75">
        <f>(Input!AM151*0.1/0.2574*1000)</f>
        <v>1.5540015540015538E-3</v>
      </c>
      <c r="AM84" s="75">
        <f>(Input!AN151*0.1/0.2574*1000)</f>
        <v>0.15229215229215232</v>
      </c>
      <c r="AN84" s="75">
        <f>(Input!AO151*0.1/0.2574*1000)</f>
        <v>16.519036519036518</v>
      </c>
      <c r="AO84" s="75">
        <f>(Input!AQ151*0.1/0.2574*1000)</f>
        <v>0.69502719502719501</v>
      </c>
      <c r="AP84" s="75">
        <f>(Input!AR151*0.1/0.2574*1000)</f>
        <v>1.3632478632478633</v>
      </c>
      <c r="AQ84" s="75">
        <f>(Input!AS151*0.1/0.2574*1000)</f>
        <v>0.17016317016317017</v>
      </c>
      <c r="AR84" s="75">
        <f>(Input!AT151*0.1/0.2574*1000)</f>
        <v>0.62198912198912204</v>
      </c>
      <c r="AS84" s="75">
        <f>(Input!AU151*0.1/0.2574*1000)</f>
        <v>0.12198912198912197</v>
      </c>
      <c r="AT84" s="75">
        <f>(Input!AV151*0.1/0.2574*1000)</f>
        <v>2.292152292152292E-2</v>
      </c>
      <c r="AU84" s="75">
        <f>(Input!AW151*0.1/0.2574*1000)</f>
        <v>0.10528360528360529</v>
      </c>
      <c r="AV84" s="75">
        <f>(Input!AX151*0.1/0.2574*1000)</f>
        <v>1.4374514374514374E-2</v>
      </c>
      <c r="AW84" s="75">
        <f>(Input!AY151*0.1/0.2574*1000)</f>
        <v>7.3038073038073026E-2</v>
      </c>
      <c r="AX84" s="75">
        <f>(Input!AZ151*0.1/0.2574*1000)</f>
        <v>1.3597513597513598E-2</v>
      </c>
      <c r="AY84" s="75">
        <f>(Input!BA151*0.1/0.2574*1000)</f>
        <v>3.6907536907536904E-2</v>
      </c>
      <c r="AZ84" s="75">
        <f>(Input!BB151*0.1/0.2574*1000)</f>
        <v>5.0505050505050509E-3</v>
      </c>
      <c r="BA84" s="75">
        <f>(Input!BC151*0.1/0.2574*1000)</f>
        <v>3.108003108003108E-2</v>
      </c>
      <c r="BB84" s="75">
        <f>(Input!BD151*0.1/0.2574*1000)</f>
        <v>4.2735042735042739E-3</v>
      </c>
      <c r="BC84" s="75">
        <f>(Input!BE151*0.1/0.2574*1000)</f>
        <v>1.1655011655011657E-3</v>
      </c>
      <c r="BD84" s="75">
        <f>(Input!BF151*0.1/0.2574*1000)</f>
        <v>4.2346542346542351E-2</v>
      </c>
      <c r="BE84" s="75">
        <f>(Input!BG151*0.1/0.2574*1000)</f>
        <v>3.9627039627039624E-2</v>
      </c>
      <c r="BF84" s="75">
        <f>(Input!BH151*0.1/0.2574*1000)</f>
        <v>4.0792540792540785E-2</v>
      </c>
      <c r="BG84" s="75">
        <f>(Input!BI151*0.1/0.2574*1000)</f>
        <v>0</v>
      </c>
      <c r="BH84" s="75">
        <f>(Input!BJ151*0.1/0.2574*1000)</f>
        <v>0</v>
      </c>
      <c r="BI84" s="75">
        <f>(Input!BK151*0.1/0.2574*1000)</f>
        <v>4.1181041181041177E-2</v>
      </c>
      <c r="BJ84" s="75">
        <f>(Input!BL151*0.1/0.2574*1000)</f>
        <v>8.5470085470085479E-3</v>
      </c>
      <c r="BK84" s="75">
        <f>(Input!BM151*0.1/0.2574*1000)</f>
        <v>2.3644133644133647</v>
      </c>
      <c r="BL84" s="75">
        <f>(Input!BN151*0.1/0.2574*1000)</f>
        <v>0.35120435120435123</v>
      </c>
      <c r="BM84" s="64">
        <v>0.90400000000000003</v>
      </c>
      <c r="BN84" s="64">
        <v>1.0817600000000001</v>
      </c>
      <c r="BO84" s="75">
        <f>(Input!BQ151*0.1/0.2574*1000)</f>
        <v>0.25174825174825172</v>
      </c>
      <c r="BP84" s="75">
        <f>(Input!BR151*0.1/0.2574*1000)</f>
        <v>3.03030303030303E-2</v>
      </c>
    </row>
    <row r="85" spans="1:68" x14ac:dyDescent="0.3">
      <c r="A85" s="52" t="s">
        <v>83</v>
      </c>
      <c r="B85" s="75">
        <f>(Input!B152*0.1/0.2577*1000)</f>
        <v>146.2165308498254</v>
      </c>
      <c r="C85" s="75">
        <f>(Input!C152*0.1/0.2577*1000)</f>
        <v>1891.3465269693443</v>
      </c>
      <c r="D85" s="75">
        <f>(Input!D152*0.1/0.2577*1000)</f>
        <v>132.98409002716338</v>
      </c>
      <c r="E85" s="75">
        <f>(Input!E152*0.1/0.2577*1000)</f>
        <v>1561.1175785797441</v>
      </c>
      <c r="F85" s="75">
        <f>(Input!F152*0.1/0.2577*1000)</f>
        <v>19293.752425300743</v>
      </c>
      <c r="G85" s="75">
        <f>(Input!G152*0.1/0.2577*1000)</f>
        <v>14373.302289483898</v>
      </c>
      <c r="H85" s="64">
        <v>1.09958</v>
      </c>
      <c r="I85" s="64">
        <v>1.1488799999999999</v>
      </c>
      <c r="J85" s="75">
        <f>(Input!J152*0.1/0.2577*1000)</f>
        <v>80.015521924718669</v>
      </c>
      <c r="K85" s="75">
        <f>(Input!L152*0.1/0.2577*1000)</f>
        <v>9.3597206053550668</v>
      </c>
      <c r="L85" s="75">
        <f>(Input!M152*0.1/0.2577*1000)</f>
        <v>1.1474582848273187</v>
      </c>
      <c r="M85" s="75">
        <f>(Input!N152*0.1/0.2577*1000)</f>
        <v>43.538998835855651</v>
      </c>
      <c r="N85" s="75">
        <f>(Input!O152*0.1/0.2577*1000)</f>
        <v>204.42374854481957</v>
      </c>
      <c r="O85" s="75">
        <f>(Input!P152*0.1/0.2577*1000)</f>
        <v>0.1233993015133877</v>
      </c>
      <c r="P85" s="75">
        <f>(Input!Q152*0.1/0.2577*1000)</f>
        <v>1.3337213814513</v>
      </c>
      <c r="Q85" s="75">
        <f>(Input!R152*0.1/0.2577*1000)</f>
        <v>20.896391152502918</v>
      </c>
      <c r="R85" s="75">
        <f>(Input!S152*0.1/0.2577*1000)</f>
        <v>10.721769499417928</v>
      </c>
      <c r="S85" s="75">
        <f>(Input!T152*0.1/0.2577*1000)</f>
        <v>0.43267365153279008</v>
      </c>
      <c r="T85" s="64">
        <v>0.97750000000000004</v>
      </c>
      <c r="U85" s="64">
        <v>0.97102999999999995</v>
      </c>
      <c r="V85" s="75">
        <f>(Input!W152*0.1/0.2577*1000)</f>
        <v>5.6655025223127674E-2</v>
      </c>
      <c r="W85" s="75">
        <f>(Input!X152*0.1/0.2577*1000)</f>
        <v>3.4206441598758248</v>
      </c>
      <c r="X85" s="75">
        <f>(Input!Y152*0.1/0.2577*1000)</f>
        <v>5.7780364765230896</v>
      </c>
      <c r="Y85" s="75">
        <f>(Input!Z152*0.1/0.2577*1000)</f>
        <v>82.382615444315107</v>
      </c>
      <c r="Z85" s="64">
        <v>1.0439799999999999</v>
      </c>
      <c r="AA85" s="64">
        <v>1.1692100000000001</v>
      </c>
      <c r="AB85" s="75">
        <f>(Input!AC152*0.1/0.2577*1000)</f>
        <v>1.125339542103221E-2</v>
      </c>
      <c r="AC85" s="75">
        <f>(Input!AD152*0.1/0.2577*1000)</f>
        <v>0.45091191307722156</v>
      </c>
      <c r="AD85" s="75">
        <f>(Input!AE152*0.1/0.2577*1000)</f>
        <v>3.8804811796662784E-4</v>
      </c>
      <c r="AE85" s="75">
        <f>(Input!AF152*0.1/0.2577*1000)</f>
        <v>1.1641443538998838E-3</v>
      </c>
      <c r="AF85" s="75">
        <f>(Input!AG152*0.1/0.2577*1000)</f>
        <v>1.9014357780364768E-2</v>
      </c>
      <c r="AG85" s="75">
        <f>(Input!AH152*0.1/0.2577*1000)</f>
        <v>-1.3193636010865348E-2</v>
      </c>
      <c r="AH85" s="75">
        <f>(Input!AI152*0.1/0.2577*1000)</f>
        <v>3.2596041909196745E-2</v>
      </c>
      <c r="AI85" s="64">
        <v>0.94457000000000002</v>
      </c>
      <c r="AJ85" s="64">
        <v>1.15256</v>
      </c>
      <c r="AK85" s="75">
        <f>(Input!AL152*0.1/0.2577*1000)</f>
        <v>8.1490104772991862E-3</v>
      </c>
      <c r="AL85" s="75">
        <f>(Input!AM152*0.1/0.2577*1000)</f>
        <v>7.7609623593325567E-4</v>
      </c>
      <c r="AM85" s="75">
        <f>(Input!AN152*0.1/0.2577*1000)</f>
        <v>3.6864571206829649E-2</v>
      </c>
      <c r="AN85" s="75">
        <f>(Input!AO152*0.1/0.2577*1000)</f>
        <v>11.199068684516883</v>
      </c>
      <c r="AO85" s="75">
        <f>(Input!AQ152*0.1/0.2577*1000)</f>
        <v>0.13193636010865351</v>
      </c>
      <c r="AP85" s="75">
        <f>(Input!AR152*0.1/0.2577*1000)</f>
        <v>0.25844004656577424</v>
      </c>
      <c r="AQ85" s="75">
        <f>(Input!AS152*0.1/0.2577*1000)</f>
        <v>3.4148234381063257E-2</v>
      </c>
      <c r="AR85" s="75">
        <f>(Input!AT152*0.1/0.2577*1000)</f>
        <v>0.13348855258052</v>
      </c>
      <c r="AS85" s="75">
        <f>(Input!AU152*0.1/0.2577*1000)</f>
        <v>2.9491656965463721E-2</v>
      </c>
      <c r="AT85" s="75">
        <f>(Input!AV152*0.1/0.2577*1000)</f>
        <v>5.8207217694994191E-3</v>
      </c>
      <c r="AU85" s="75">
        <f>(Input!AW152*0.1/0.2577*1000)</f>
        <v>2.9103608847497089E-2</v>
      </c>
      <c r="AV85" s="75">
        <f>(Input!AX152*0.1/0.2577*1000)</f>
        <v>4.2685292976329071E-3</v>
      </c>
      <c r="AW85" s="75">
        <f>(Input!AY152*0.1/0.2577*1000)</f>
        <v>2.6387272021730697E-2</v>
      </c>
      <c r="AX85" s="75">
        <f>(Input!AZ152*0.1/0.2577*1000)</f>
        <v>5.4326736515327911E-3</v>
      </c>
      <c r="AY85" s="75">
        <f>(Input!BA152*0.1/0.2577*1000)</f>
        <v>1.3969732246798601E-2</v>
      </c>
      <c r="AZ85" s="75">
        <f>(Input!BB152*0.1/0.2577*1000)</f>
        <v>1.9402405898331398E-3</v>
      </c>
      <c r="BA85" s="75">
        <f>(Input!BC152*0.1/0.2577*1000)</f>
        <v>1.1641443538998838E-2</v>
      </c>
      <c r="BB85" s="75">
        <f>(Input!BD152*0.1/0.2577*1000)</f>
        <v>1.5521924718665113E-3</v>
      </c>
      <c r="BC85" s="75">
        <f>(Input!BE152*0.1/0.2577*1000)</f>
        <v>3.8804811796662784E-4</v>
      </c>
      <c r="BD85" s="75">
        <f>(Input!BF152*0.1/0.2577*1000)</f>
        <v>3.9192859914629424E-2</v>
      </c>
      <c r="BE85" s="75">
        <f>(Input!BG152*0.1/0.2577*1000)</f>
        <v>4.5401629802095465E-2</v>
      </c>
      <c r="BF85" s="75">
        <f>(Input!BH152*0.1/0.2577*1000)</f>
        <v>4.6177726038028714E-2</v>
      </c>
      <c r="BG85" s="75">
        <f>(Input!BI152*0.1/0.2577*1000)</f>
        <v>0</v>
      </c>
      <c r="BH85" s="75">
        <f>(Input!BJ152*0.1/0.2577*1000)</f>
        <v>0</v>
      </c>
      <c r="BI85" s="75">
        <f>(Input!BK152*0.1/0.2577*1000)</f>
        <v>7.6833527357392337E-2</v>
      </c>
      <c r="BJ85" s="75">
        <f>(Input!BL152*0.1/0.2577*1000)</f>
        <v>3.4924330616996502E-3</v>
      </c>
      <c r="BK85" s="75">
        <f>(Input!BM152*0.1/0.2577*1000)</f>
        <v>0.13232440822662014</v>
      </c>
      <c r="BL85" s="75">
        <f>(Input!BN152*0.1/0.2577*1000)</f>
        <v>0.35119518820333728</v>
      </c>
      <c r="BM85" s="64">
        <v>0.90503</v>
      </c>
      <c r="BN85" s="64">
        <v>1.0831599999999999</v>
      </c>
      <c r="BO85" s="75">
        <f>(Input!BQ152*0.1/0.2577*1000)</f>
        <v>3.4924330616996506E-2</v>
      </c>
      <c r="BP85" s="75">
        <f>(Input!BR152*0.1/0.2577*1000)</f>
        <v>5.8207217694994191E-3</v>
      </c>
    </row>
    <row r="86" spans="1:68" x14ac:dyDescent="0.3">
      <c r="A86" s="52" t="s">
        <v>84</v>
      </c>
      <c r="B86" s="75">
        <f>(Input!B153*0.1/0.2501*1000)</f>
        <v>92.12315073970413</v>
      </c>
      <c r="C86" s="75">
        <f>(Input!C153*0.1/0.2501*1000)</f>
        <v>1563.3746501399442</v>
      </c>
      <c r="D86" s="75">
        <f>(Input!D153*0.1/0.2501*1000)</f>
        <v>357.33706517393051</v>
      </c>
      <c r="E86" s="75">
        <f>(Input!E153*0.1/0.2501*1000)</f>
        <v>1759.2962814874054</v>
      </c>
      <c r="F86" s="75">
        <f>(Input!F153*0.1/0.2501*1000)</f>
        <v>18756.497401039585</v>
      </c>
      <c r="G86" s="75">
        <f>(Input!G153*0.1/0.2501*1000)</f>
        <v>13350.659736105561</v>
      </c>
      <c r="H86" s="64">
        <v>1.09084</v>
      </c>
      <c r="I86" s="64">
        <v>1.1324799999999999</v>
      </c>
      <c r="J86" s="75">
        <f>(Input!J153*0.1/0.2501*1000)</f>
        <v>89.324270291883266</v>
      </c>
      <c r="K86" s="75">
        <f>(Input!L153*0.1/0.2501*1000)</f>
        <v>16.505397840863658</v>
      </c>
      <c r="L86" s="75">
        <f>(Input!M153*0.1/0.2501*1000)</f>
        <v>1.1783286685325871</v>
      </c>
      <c r="M86" s="75">
        <f>(Input!N153*0.1/0.2501*1000)</f>
        <v>53.978408636545389</v>
      </c>
      <c r="N86" s="75">
        <f>(Input!O153*0.1/0.2501*1000)</f>
        <v>461.81527389044385</v>
      </c>
      <c r="O86" s="75">
        <f>(Input!P153*0.1/0.2501*1000)</f>
        <v>0.42263094762095166</v>
      </c>
      <c r="P86" s="75">
        <f>(Input!Q153*0.1/0.2501*1000)</f>
        <v>2.6717313074770095</v>
      </c>
      <c r="Q86" s="75">
        <f>(Input!R153*0.1/0.2501*1000)</f>
        <v>11.719312275089964</v>
      </c>
      <c r="R86" s="75">
        <f>(Input!S153*0.1/0.2501*1000)</f>
        <v>5.3258696521391453</v>
      </c>
      <c r="S86" s="75">
        <f>(Input!T153*0.1/0.2501*1000)</f>
        <v>0.66613354658136747</v>
      </c>
      <c r="T86" s="64">
        <v>0.96779999999999999</v>
      </c>
      <c r="U86" s="64">
        <v>0.96894999999999998</v>
      </c>
      <c r="V86" s="75">
        <f>(Input!W153*0.1/0.2501*1000)</f>
        <v>9.6361455417832892E-2</v>
      </c>
      <c r="W86" s="75">
        <f>(Input!X153*0.1/0.2501*1000)</f>
        <v>12.818872451019596</v>
      </c>
      <c r="X86" s="75">
        <f>(Input!Y153*0.1/0.2501*1000)</f>
        <v>8.8804478208716535</v>
      </c>
      <c r="Y86" s="75">
        <f>(Input!Z153*0.1/0.2501*1000)</f>
        <v>86.565373850459835</v>
      </c>
      <c r="Z86" s="64">
        <v>1.03386</v>
      </c>
      <c r="AA86" s="64">
        <v>1.1537900000000001</v>
      </c>
      <c r="AB86" s="75">
        <f>(Input!AC153*0.1/0.2501*1000)</f>
        <v>3.758496601359456E-2</v>
      </c>
      <c r="AC86" s="75">
        <f>(Input!AD153*0.1/0.2501*1000)</f>
        <v>0.23950419832067171</v>
      </c>
      <c r="AD86" s="75">
        <f>(Input!AE153*0.1/0.2501*1000)</f>
        <v>3.9984006397441024E-4</v>
      </c>
      <c r="AE86" s="75">
        <f>(Input!AF153*0.1/0.2501*1000)</f>
        <v>1.5993602558976409E-3</v>
      </c>
      <c r="AF86" s="75">
        <f>(Input!AG153*0.1/0.2501*1000)</f>
        <v>2.0391843262694925E-2</v>
      </c>
      <c r="AG86" s="75">
        <f>(Input!AH153*0.1/0.2501*1000)</f>
        <v>2.6389444222311081E-2</v>
      </c>
      <c r="AH86" s="75">
        <f>(Input!AI153*0.1/0.2501*1000)</f>
        <v>6.7173130747700927E-2</v>
      </c>
      <c r="AI86" s="64">
        <v>0.93508999999999998</v>
      </c>
      <c r="AJ86" s="64">
        <v>1.14795</v>
      </c>
      <c r="AK86" s="75">
        <f>(Input!AL153*0.1/0.2501*1000)</f>
        <v>1.7992802878848461E-2</v>
      </c>
      <c r="AL86" s="75">
        <f>(Input!AM153*0.1/0.2501*1000)</f>
        <v>3.9984006397441024E-4</v>
      </c>
      <c r="AM86" s="75">
        <f>(Input!AN153*0.1/0.2501*1000)</f>
        <v>8.836465413834467E-2</v>
      </c>
      <c r="AN86" s="75">
        <f>(Input!AO153*0.1/0.2501*1000)</f>
        <v>16.501399440223913</v>
      </c>
      <c r="AO86" s="75">
        <f>(Input!AQ153*0.1/0.2501*1000)</f>
        <v>0.33346661335465816</v>
      </c>
      <c r="AP86" s="75">
        <f>(Input!AR153*0.1/0.2501*1000)</f>
        <v>0.68092762894842074</v>
      </c>
      <c r="AQ86" s="75">
        <f>(Input!AS153*0.1/0.2501*1000)</f>
        <v>8.596561375449821E-2</v>
      </c>
      <c r="AR86" s="75">
        <f>(Input!AT153*0.1/0.2501*1000)</f>
        <v>0.32626949220311879</v>
      </c>
      <c r="AS86" s="75">
        <f>(Input!AU153*0.1/0.2501*1000)</f>
        <v>6.3974410235905652E-2</v>
      </c>
      <c r="AT86" s="75">
        <f>(Input!AV153*0.1/0.2501*1000)</f>
        <v>1.3594562175129948E-2</v>
      </c>
      <c r="AU86" s="75">
        <f>(Input!AW153*0.1/0.2501*1000)</f>
        <v>5.6377449020391837E-2</v>
      </c>
      <c r="AV86" s="75">
        <f>(Input!AX153*0.1/0.2501*1000)</f>
        <v>7.5969612155137953E-3</v>
      </c>
      <c r="AW86" s="75">
        <f>(Input!AY153*0.1/0.2501*1000)</f>
        <v>3.7984806077568982E-2</v>
      </c>
      <c r="AX86" s="75">
        <f>(Input!AZ153*0.1/0.2501*1000)</f>
        <v>7.1971211515393834E-3</v>
      </c>
      <c r="AY86" s="75">
        <f>(Input!BA153*0.1/0.2501*1000)</f>
        <v>1.9192323070771695E-2</v>
      </c>
      <c r="AZ86" s="75">
        <f>(Input!BB153*0.1/0.2501*1000)</f>
        <v>2.3990403838464618E-3</v>
      </c>
      <c r="BA86" s="75">
        <f>(Input!BC153*0.1/0.2501*1000)</f>
        <v>1.5193922431027591E-2</v>
      </c>
      <c r="BB86" s="75">
        <f>(Input!BD153*0.1/0.2501*1000)</f>
        <v>1.9992003198720516E-3</v>
      </c>
      <c r="BC86" s="75">
        <f>(Input!BE153*0.1/0.2501*1000)</f>
        <v>7.9968012794882047E-4</v>
      </c>
      <c r="BD86" s="75">
        <f>(Input!BF153*0.1/0.2501*1000)</f>
        <v>3.4786085565773693E-2</v>
      </c>
      <c r="BE86" s="75">
        <f>(Input!BG153*0.1/0.2501*1000)</f>
        <v>4.838064774090365E-2</v>
      </c>
      <c r="BF86" s="75">
        <f>(Input!BH153*0.1/0.2501*1000)</f>
        <v>4.9180327868852465E-2</v>
      </c>
      <c r="BG86" s="75">
        <f>(Input!BI153*0.1/0.2501*1000)</f>
        <v>0</v>
      </c>
      <c r="BH86" s="75">
        <f>(Input!BJ153*0.1/0.2501*1000)</f>
        <v>0</v>
      </c>
      <c r="BI86" s="75">
        <f>(Input!BK153*0.1/0.2501*1000)</f>
        <v>4.3982407037185131E-2</v>
      </c>
      <c r="BJ86" s="75">
        <f>(Input!BL153*0.1/0.2501*1000)</f>
        <v>6.3974410235905638E-3</v>
      </c>
      <c r="BK86" s="75">
        <f>(Input!BM153*0.1/0.2501*1000)</f>
        <v>0.7173130747700921</v>
      </c>
      <c r="BL86" s="75">
        <f>(Input!BN153*0.1/0.2501*1000)</f>
        <v>0.36116353458616562</v>
      </c>
      <c r="BM86" s="64">
        <v>0.90327000000000002</v>
      </c>
      <c r="BN86" s="64">
        <v>1.08762</v>
      </c>
      <c r="BO86" s="75">
        <f>(Input!BQ153*0.1/0.2501*1000)</f>
        <v>0.10635745701719314</v>
      </c>
      <c r="BP86" s="75">
        <f>(Input!BR153*0.1/0.2501*1000)</f>
        <v>1.3994402239104359E-2</v>
      </c>
    </row>
    <row r="87" spans="1:68" x14ac:dyDescent="0.3">
      <c r="A87" s="52" t="s">
        <v>85</v>
      </c>
      <c r="B87" s="75">
        <f>(Input!B154*0.1/0.2536*1000)</f>
        <v>122.94952681388014</v>
      </c>
      <c r="C87" s="75">
        <f>(Input!C154*0.1/0.2536*1000)</f>
        <v>2445.5835962145115</v>
      </c>
      <c r="D87" s="75">
        <f>(Input!D154*0.1/0.2536*1000)</f>
        <v>425.86750788643542</v>
      </c>
      <c r="E87" s="75">
        <f>(Input!E154*0.1/0.2536*1000)</f>
        <v>1357.6498422712937</v>
      </c>
      <c r="F87" s="75">
        <f>(Input!F154*0.1/0.2536*1000)</f>
        <v>15524.447949526813</v>
      </c>
      <c r="G87" s="75">
        <f>(Input!G154*0.1/0.2536*1000)</f>
        <v>21340.69400630915</v>
      </c>
      <c r="H87" s="64">
        <v>1.0841499999999999</v>
      </c>
      <c r="I87" s="64">
        <v>1.11843</v>
      </c>
      <c r="J87" s="75">
        <f>(Input!J154*0.1/0.2536*1000)</f>
        <v>133.35962145110412</v>
      </c>
      <c r="K87" s="75">
        <f>(Input!L154*0.1/0.2536*1000)</f>
        <v>19.822555205047323</v>
      </c>
      <c r="L87" s="75">
        <f>(Input!M154*0.1/0.2536*1000)</f>
        <v>1.3544952681388016</v>
      </c>
      <c r="M87" s="75">
        <f>(Input!N154*0.1/0.2536*1000)</f>
        <v>69.479495268138805</v>
      </c>
      <c r="N87" s="75">
        <f>(Input!O154*0.1/0.2536*1000)</f>
        <v>549.29022082018935</v>
      </c>
      <c r="O87" s="75">
        <f>(Input!P154*0.1/0.2536*1000)</f>
        <v>0.42389589905362779</v>
      </c>
      <c r="P87" s="75">
        <f>(Input!Q154*0.1/0.2536*1000)</f>
        <v>3.4956624605678237</v>
      </c>
      <c r="Q87" s="75">
        <f>(Input!R154*0.1/0.2536*1000)</f>
        <v>20.508675078864357</v>
      </c>
      <c r="R87" s="75">
        <f>(Input!S154*0.1/0.2536*1000)</f>
        <v>7.9337539432176669</v>
      </c>
      <c r="S87" s="75">
        <f>(Input!T154*0.1/0.2536*1000)</f>
        <v>0.8221608832807572</v>
      </c>
      <c r="T87" s="64">
        <v>0.97250000000000003</v>
      </c>
      <c r="U87" s="64">
        <v>0.95999000000000001</v>
      </c>
      <c r="V87" s="75">
        <f>(Input!W154*0.1/0.2536*1000)</f>
        <v>0.18059936908517352</v>
      </c>
      <c r="W87" s="75">
        <f>(Input!X154*0.1/0.2536*1000)</f>
        <v>5.1537854889589907</v>
      </c>
      <c r="X87" s="75">
        <f>(Input!Y154*0.1/0.2536*1000)</f>
        <v>5.287854889589906</v>
      </c>
      <c r="Y87" s="75">
        <f>(Input!Z154*0.1/0.2536*1000)</f>
        <v>94.913249211356472</v>
      </c>
      <c r="Z87" s="64">
        <v>1.0341100000000001</v>
      </c>
      <c r="AA87" s="64">
        <v>1.14438</v>
      </c>
      <c r="AB87" s="75">
        <f>(Input!AC154*0.1/0.2536*1000)</f>
        <v>4.5741324921135654E-2</v>
      </c>
      <c r="AC87" s="75">
        <f>(Input!AD154*0.1/0.2536*1000)</f>
        <v>0.23817034700315456</v>
      </c>
      <c r="AD87" s="75">
        <f>(Input!AE154*0.1/0.2536*1000)</f>
        <v>3.9432176656151418E-4</v>
      </c>
      <c r="AE87" s="75">
        <f>(Input!AF154*0.1/0.2536*1000)</f>
        <v>1.5772870662460567E-3</v>
      </c>
      <c r="AF87" s="75">
        <f>(Input!AG154*0.1/0.2536*1000)</f>
        <v>2.2870662460567827E-2</v>
      </c>
      <c r="AG87" s="75">
        <f>(Input!AH154*0.1/0.2536*1000)</f>
        <v>0.11238170347003155</v>
      </c>
      <c r="AH87" s="75">
        <f>(Input!AI154*0.1/0.2536*1000)</f>
        <v>2.8391167192429019E-2</v>
      </c>
      <c r="AI87" s="64">
        <v>0.93705000000000005</v>
      </c>
      <c r="AJ87" s="64">
        <v>1.1312599999999999</v>
      </c>
      <c r="AK87" s="75">
        <f>(Input!AL154*0.1/0.2536*1000)</f>
        <v>1.93217665615142E-2</v>
      </c>
      <c r="AL87" s="75">
        <f>(Input!AM154*0.1/0.2536*1000)</f>
        <v>7.8864353312302837E-4</v>
      </c>
      <c r="AM87" s="75">
        <f>(Input!AN154*0.1/0.2536*1000)</f>
        <v>8.9905362776025247E-2</v>
      </c>
      <c r="AN87" s="75">
        <f>(Input!AO154*0.1/0.2536*1000)</f>
        <v>20.847791798107256</v>
      </c>
      <c r="AO87" s="75">
        <f>(Input!AQ154*0.1/0.2536*1000)</f>
        <v>0.40260252365930604</v>
      </c>
      <c r="AP87" s="75">
        <f>(Input!AR154*0.1/0.2536*1000)</f>
        <v>0.81151419558359639</v>
      </c>
      <c r="AQ87" s="75">
        <f>(Input!AS154*0.1/0.2536*1000)</f>
        <v>0.10291798107255522</v>
      </c>
      <c r="AR87" s="75">
        <f>(Input!AT154*0.1/0.2536*1000)</f>
        <v>0.38091482649842273</v>
      </c>
      <c r="AS87" s="75">
        <f>(Input!AU154*0.1/0.2536*1000)</f>
        <v>7.6892744479495276E-2</v>
      </c>
      <c r="AT87" s="75">
        <f>(Input!AV154*0.1/0.2536*1000)</f>
        <v>1.6955835962145109E-2</v>
      </c>
      <c r="AU87" s="75">
        <f>(Input!AW154*0.1/0.2536*1000)</f>
        <v>6.7429022082018938E-2</v>
      </c>
      <c r="AV87" s="75">
        <f>(Input!AX154*0.1/0.2536*1000)</f>
        <v>9.4637223974763426E-3</v>
      </c>
      <c r="AW87" s="75">
        <f>(Input!AY154*0.1/0.2536*1000)</f>
        <v>4.850157728706625E-2</v>
      </c>
      <c r="AX87" s="75">
        <f>(Input!AZ154*0.1/0.2536*1000)</f>
        <v>9.0694006309148274E-3</v>
      </c>
      <c r="AY87" s="75">
        <f>(Input!BA154*0.1/0.2536*1000)</f>
        <v>2.4053627760252366E-2</v>
      </c>
      <c r="AZ87" s="75">
        <f>(Input!BB154*0.1/0.2536*1000)</f>
        <v>3.1545741324921135E-3</v>
      </c>
      <c r="BA87" s="75">
        <f>(Input!BC154*0.1/0.2536*1000)</f>
        <v>1.93217665615142E-2</v>
      </c>
      <c r="BB87" s="75">
        <f>(Input!BD154*0.1/0.2536*1000)</f>
        <v>2.7602523659306E-3</v>
      </c>
      <c r="BC87" s="75">
        <f>(Input!BE154*0.1/0.2536*1000)</f>
        <v>7.8864353312302837E-4</v>
      </c>
      <c r="BD87" s="75">
        <f>(Input!BF154*0.1/0.2536*1000)</f>
        <v>4.140378548895899E-2</v>
      </c>
      <c r="BE87" s="75">
        <f>(Input!BG154*0.1/0.2536*1000)</f>
        <v>9.0694006309148284E-2</v>
      </c>
      <c r="BF87" s="75">
        <f>(Input!BH154*0.1/0.2536*1000)</f>
        <v>9.5425867507886453E-2</v>
      </c>
      <c r="BG87" s="75">
        <f>(Input!BI154*0.1/0.2536*1000)</f>
        <v>0</v>
      </c>
      <c r="BH87" s="75">
        <f>(Input!BJ154*0.1/0.2536*1000)</f>
        <v>0</v>
      </c>
      <c r="BI87" s="75">
        <f>(Input!BK154*0.1/0.2536*1000)</f>
        <v>2.5236593059936908E-2</v>
      </c>
      <c r="BJ87" s="75">
        <f>(Input!BL154*0.1/0.2536*1000)</f>
        <v>9.4637223974763426E-3</v>
      </c>
      <c r="BK87" s="75">
        <f>(Input!BM154*0.1/0.2536*1000)</f>
        <v>2.3462145110410098</v>
      </c>
      <c r="BL87" s="75">
        <f>(Input!BN154*0.1/0.2536*1000)</f>
        <v>0.35664826498422714</v>
      </c>
      <c r="BM87" s="64">
        <v>0.90446000000000004</v>
      </c>
      <c r="BN87" s="64">
        <v>1.0724199999999999</v>
      </c>
      <c r="BO87" s="75">
        <f>(Input!BQ154*0.1/0.2536*1000)</f>
        <v>0.12894321766561515</v>
      </c>
      <c r="BP87" s="75">
        <f>(Input!BR154*0.1/0.2536*1000)</f>
        <v>1.9716088328075712E-2</v>
      </c>
    </row>
    <row r="88" spans="1:68" x14ac:dyDescent="0.3">
      <c r="A88" s="52" t="s">
        <v>86</v>
      </c>
      <c r="B88" s="75">
        <f>(Input!B155*0.1/0.2516*1000)</f>
        <v>83.78378378378379</v>
      </c>
      <c r="C88" s="75">
        <f>(Input!C155*0.1/0.2516*1000)</f>
        <v>1715.8187599364071</v>
      </c>
      <c r="D88" s="75">
        <f>(Input!D155*0.1/0.2516*1000)</f>
        <v>171.89984101748809</v>
      </c>
      <c r="E88" s="75">
        <f>(Input!E155*0.1/0.2516*1000)</f>
        <v>1577.1065182829891</v>
      </c>
      <c r="F88" s="75">
        <f>(Input!F155*0.1/0.2516*1000)</f>
        <v>24288.553259141499</v>
      </c>
      <c r="G88" s="75">
        <f>(Input!G155*0.1/0.2516*1000)</f>
        <v>18080.286168521463</v>
      </c>
      <c r="H88" s="64">
        <v>1.09548</v>
      </c>
      <c r="I88" s="64">
        <v>1.1517599999999999</v>
      </c>
      <c r="J88" s="75">
        <f>(Input!J155*0.1/0.2516*1000)</f>
        <v>102.70270270270269</v>
      </c>
      <c r="K88" s="75">
        <f>(Input!L155*0.1/0.2516*1000)</f>
        <v>9.5786963434022283</v>
      </c>
      <c r="L88" s="75">
        <f>(Input!M155*0.1/0.2516*1000)</f>
        <v>0.97496025437201905</v>
      </c>
      <c r="M88" s="75">
        <f>(Input!N155*0.1/0.2516*1000)</f>
        <v>45.548489666136724</v>
      </c>
      <c r="N88" s="75">
        <f>(Input!O155*0.1/0.2516*1000)</f>
        <v>263.83147853736091</v>
      </c>
      <c r="O88" s="75">
        <f>(Input!P155*0.1/0.2516*1000)</f>
        <v>0.15222575516693165</v>
      </c>
      <c r="P88" s="75">
        <f>(Input!Q155*0.1/0.2516*1000)</f>
        <v>1.508744038155803</v>
      </c>
      <c r="Q88" s="75">
        <f>(Input!R155*0.1/0.2516*1000)</f>
        <v>9.7376788553259157</v>
      </c>
      <c r="R88" s="75">
        <f>(Input!S155*0.1/0.2516*1000)</f>
        <v>7.7186009538950735</v>
      </c>
      <c r="S88" s="75">
        <f>(Input!T155*0.1/0.2516*1000)</f>
        <v>0.72297297297297303</v>
      </c>
      <c r="T88" s="64">
        <v>0.97814000000000001</v>
      </c>
      <c r="U88" s="64">
        <v>0.97313000000000005</v>
      </c>
      <c r="V88" s="75">
        <f>(Input!W155*0.1/0.2516*1000)</f>
        <v>2.1462639109697933E-2</v>
      </c>
      <c r="W88" s="75">
        <f>(Input!X155*0.1/0.2516*1000)</f>
        <v>2.6263910969793325</v>
      </c>
      <c r="X88" s="75">
        <f>(Input!Y155*0.1/0.2516*1000)</f>
        <v>4.6343402225755179</v>
      </c>
      <c r="Y88" s="75">
        <f>(Input!Z155*0.1/0.2516*1000)</f>
        <v>87.281399046104937</v>
      </c>
      <c r="Z88" s="64">
        <v>1.03803</v>
      </c>
      <c r="AA88" s="64">
        <v>1.1660299999999999</v>
      </c>
      <c r="AB88" s="75">
        <f>(Input!AC155*0.1/0.2516*1000)</f>
        <v>1.6693163751987282E-2</v>
      </c>
      <c r="AC88" s="75">
        <f>(Input!AD155*0.1/0.2516*1000)</f>
        <v>0.22257551669316378</v>
      </c>
      <c r="AD88" s="75">
        <f>(Input!AE155*0.1/0.2516*1000)</f>
        <v>0</v>
      </c>
      <c r="AE88" s="75">
        <f>(Input!AF155*0.1/0.2516*1000)</f>
        <v>1.589825119236884E-3</v>
      </c>
      <c r="AF88" s="75">
        <f>(Input!AG155*0.1/0.2516*1000)</f>
        <v>2.0667726550079493E-2</v>
      </c>
      <c r="AG88" s="75">
        <f>(Input!AH155*0.1/0.2516*1000)</f>
        <v>1.1923688394276631E-3</v>
      </c>
      <c r="AH88" s="75">
        <f>(Input!AI155*0.1/0.2516*1000)</f>
        <v>3.5771065182829888E-2</v>
      </c>
      <c r="AI88" s="64">
        <v>0.93645</v>
      </c>
      <c r="AJ88" s="64">
        <v>1.1478699999999999</v>
      </c>
      <c r="AK88" s="75">
        <f>(Input!AL155*0.1/0.2516*1000)</f>
        <v>9.9364069952305265E-3</v>
      </c>
      <c r="AL88" s="75">
        <f>(Input!AM155*0.1/0.2516*1000)</f>
        <v>-3.9745627980922101E-4</v>
      </c>
      <c r="AM88" s="75">
        <f>(Input!AN155*0.1/0.2516*1000)</f>
        <v>3.4181240063593007E-2</v>
      </c>
      <c r="AN88" s="75">
        <f>(Input!AO155*0.1/0.2516*1000)</f>
        <v>18.775834658187602</v>
      </c>
      <c r="AO88" s="75">
        <f>(Input!AQ155*0.1/0.2516*1000)</f>
        <v>0.12281399046104929</v>
      </c>
      <c r="AP88" s="75">
        <f>(Input!AR155*0.1/0.2516*1000)</f>
        <v>0.24642289348171703</v>
      </c>
      <c r="AQ88" s="75">
        <f>(Input!AS155*0.1/0.2516*1000)</f>
        <v>2.9809220985691574E-2</v>
      </c>
      <c r="AR88" s="75">
        <f>(Input!AT155*0.1/0.2516*1000)</f>
        <v>0.11009538950715422</v>
      </c>
      <c r="AS88" s="75">
        <f>(Input!AU155*0.1/0.2516*1000)</f>
        <v>2.2257551669316381E-2</v>
      </c>
      <c r="AT88" s="75">
        <f>(Input!AV155*0.1/0.2516*1000)</f>
        <v>7.1542130365659764E-3</v>
      </c>
      <c r="AU88" s="75">
        <f>(Input!AW155*0.1/0.2516*1000)</f>
        <v>1.9872813990461053E-2</v>
      </c>
      <c r="AV88" s="75">
        <f>(Input!AX155*0.1/0.2516*1000)</f>
        <v>2.7821939586645476E-3</v>
      </c>
      <c r="AW88" s="75">
        <f>(Input!AY155*0.1/0.2516*1000)</f>
        <v>1.3513513513513514E-2</v>
      </c>
      <c r="AX88" s="75">
        <f>(Input!AZ155*0.1/0.2516*1000)</f>
        <v>2.3847376788553262E-3</v>
      </c>
      <c r="AY88" s="75">
        <f>(Input!BA155*0.1/0.2516*1000)</f>
        <v>7.1542130365659764E-3</v>
      </c>
      <c r="AZ88" s="75">
        <f>(Input!BB155*0.1/0.2516*1000)</f>
        <v>7.9491255961844202E-4</v>
      </c>
      <c r="BA88" s="75">
        <f>(Input!BC155*0.1/0.2516*1000)</f>
        <v>5.5643879173290951E-3</v>
      </c>
      <c r="BB88" s="75">
        <f>(Input!BD155*0.1/0.2516*1000)</f>
        <v>7.9491255961844202E-4</v>
      </c>
      <c r="BC88" s="75">
        <f>(Input!BE155*0.1/0.2516*1000)</f>
        <v>3.9745627980922101E-4</v>
      </c>
      <c r="BD88" s="75">
        <f>(Input!BF155*0.1/0.2516*1000)</f>
        <v>2.6629570747217807E-2</v>
      </c>
      <c r="BE88" s="75">
        <f>(Input!BG155*0.1/0.2516*1000)</f>
        <v>4.0540540540540543E-2</v>
      </c>
      <c r="BF88" s="75">
        <f>(Input!BH155*0.1/0.2516*1000)</f>
        <v>4.0540540540540543E-2</v>
      </c>
      <c r="BG88" s="75">
        <f>(Input!BI155*0.1/0.2516*1000)</f>
        <v>0</v>
      </c>
      <c r="BH88" s="75">
        <f>(Input!BJ155*0.1/0.2516*1000)</f>
        <v>0</v>
      </c>
      <c r="BI88" s="75">
        <f>(Input!BK155*0.1/0.2516*1000)</f>
        <v>4.5310015898251198E-2</v>
      </c>
      <c r="BJ88" s="75">
        <f>(Input!BL155*0.1/0.2516*1000)</f>
        <v>3.9745627980922104E-3</v>
      </c>
      <c r="BK88" s="75">
        <f>(Input!BM155*0.1/0.2516*1000)</f>
        <v>1.0107313195548491</v>
      </c>
      <c r="BL88" s="75">
        <f>(Input!BN155*0.1/0.2516*1000)</f>
        <v>0.35692368839427668</v>
      </c>
      <c r="BM88" s="64">
        <v>0.89802000000000004</v>
      </c>
      <c r="BN88" s="64">
        <v>1.0763499999999999</v>
      </c>
      <c r="BO88" s="75">
        <f>(Input!BQ155*0.1/0.2516*1000)</f>
        <v>3.3783783783783793E-2</v>
      </c>
      <c r="BP88" s="75">
        <f>(Input!BR155*0.1/0.2516*1000)</f>
        <v>5.5643879173290951E-3</v>
      </c>
    </row>
    <row r="89" spans="1:68" x14ac:dyDescent="0.3">
      <c r="A89" s="52" t="s">
        <v>183</v>
      </c>
      <c r="B89" s="75">
        <f>(Input!B157*0.1/0.255*1000)</f>
        <v>11.619607843137256</v>
      </c>
      <c r="C89" s="75">
        <f>(Input!C157*0.1/0.255*1000)</f>
        <v>4450.9803921568628</v>
      </c>
      <c r="D89" s="75">
        <f>(Input!D157*0.1/0.255*1000)</f>
        <v>175.21568627450981</v>
      </c>
      <c r="E89" s="75">
        <f>(Input!E157*0.1/0.255*1000)</f>
        <v>1240.3921568627452</v>
      </c>
      <c r="F89" s="75">
        <f>(Input!F157*0.1/0.255*1000)</f>
        <v>24513.725490196081</v>
      </c>
      <c r="G89" s="75">
        <f>(Input!G157*0.1/0.255*1000)</f>
        <v>15650.98039215686</v>
      </c>
      <c r="H89" s="64">
        <v>1.1125799999999999</v>
      </c>
      <c r="I89" s="64">
        <v>1.1633500000000001</v>
      </c>
      <c r="J89" s="75">
        <f>(Input!J157*0.1/0.255*1000)</f>
        <v>86.784313725490208</v>
      </c>
      <c r="K89" s="75">
        <f>(Input!L157*0.1/0.255*1000)</f>
        <v>7.9058823529411759</v>
      </c>
      <c r="L89" s="75">
        <f>(Input!M157*0.1/0.255*1000)</f>
        <v>1.2039215686274509</v>
      </c>
      <c r="M89" s="75">
        <f>(Input!N157*0.1/0.255*1000)</f>
        <v>99.294117647058812</v>
      </c>
      <c r="N89" s="75">
        <f>(Input!O157*0.1/0.255*1000)</f>
        <v>245.96078431372553</v>
      </c>
      <c r="O89" s="75">
        <f>(Input!P157*0.1/0.255*1000)</f>
        <v>6.4705882352941183E-2</v>
      </c>
      <c r="P89" s="75">
        <f>(Input!Q157*0.1/0.255*1000)</f>
        <v>0.56078431372549009</v>
      </c>
      <c r="Q89" s="75">
        <f>(Input!R157*0.1/0.255*1000)</f>
        <v>3.4454901960784317</v>
      </c>
      <c r="R89" s="75">
        <f>(Input!S157*0.1/0.255*1000)</f>
        <v>14.584313725490196</v>
      </c>
      <c r="S89" s="75">
        <f>(Input!T157*0.1/0.255*1000)</f>
        <v>3.5396078431372544</v>
      </c>
      <c r="T89" s="64">
        <v>1.0089300000000001</v>
      </c>
      <c r="U89" s="64">
        <v>0.99578</v>
      </c>
      <c r="V89" s="75">
        <f>(Input!W157*0.1/0.255*1000)</f>
        <v>0.26509803921568625</v>
      </c>
      <c r="W89" s="75">
        <f>(Input!X157*0.1/0.255*1000)</f>
        <v>3.558039215686275</v>
      </c>
      <c r="X89" s="75">
        <f>(Input!Y157*0.1/0.255*1000)</f>
        <v>16.380392156862747</v>
      </c>
      <c r="Y89" s="75">
        <f>(Input!Z157*0.1/0.255*1000)</f>
        <v>54.313725490196084</v>
      </c>
      <c r="Z89" s="64">
        <v>1.10754</v>
      </c>
      <c r="AA89" s="64">
        <v>1.22299</v>
      </c>
      <c r="AB89" s="75">
        <f>(Input!AC157*0.1/0.255*1000)</f>
        <v>1.7647058823529412E-2</v>
      </c>
      <c r="AC89" s="74">
        <f>(Input!AD157*0.1/0.255*1000)</f>
        <v>3.8039215686274511E-2</v>
      </c>
      <c r="AD89" s="75">
        <f>(Input!AE157*0.1/0.255*1000)</f>
        <v>0</v>
      </c>
      <c r="AE89" s="75">
        <f>(Input!AF157*0.1/0.255*1000)</f>
        <v>1.1764705882352942E-3</v>
      </c>
      <c r="AF89" s="75">
        <f>(Input!AG157*0.1/0.255*1000)</f>
        <v>1.4117647058823526E-2</v>
      </c>
      <c r="AG89" s="75">
        <f>(Input!AH157*0.1/0.255*1000)</f>
        <v>-2.9019607843137254E-2</v>
      </c>
      <c r="AH89" s="74">
        <f>(Input!AI157*0.1/0.255*1000)</f>
        <v>4.3137254901960791E-2</v>
      </c>
      <c r="AI89" s="64">
        <v>0.95852999999999999</v>
      </c>
      <c r="AJ89" s="64">
        <v>1.15055</v>
      </c>
      <c r="AK89" s="75">
        <f>(Input!AL157*0.1/0.255*1000)</f>
        <v>1.7254901960784313E-2</v>
      </c>
      <c r="AL89" s="75">
        <f>(Input!AM157*0.1/0.255*1000)</f>
        <v>7.8431372549019605E-4</v>
      </c>
      <c r="AM89" s="75">
        <f>(Input!AN157*0.1/0.255*1000)</f>
        <v>5.4901960784313732E-2</v>
      </c>
      <c r="AN89" s="75">
        <f>(Input!AO157*0.1/0.255*1000)</f>
        <v>96.392156862745125</v>
      </c>
      <c r="AO89" s="75">
        <f>(Input!AQ157*0.1/0.255*1000)</f>
        <v>7.7098039215686285</v>
      </c>
      <c r="AP89" s="75">
        <f>(Input!AR157*0.1/0.255*1000)</f>
        <v>8.3960784313725494</v>
      </c>
      <c r="AQ89" s="75">
        <f>(Input!AS157*0.1/0.255*1000)</f>
        <v>1.5737254901960787</v>
      </c>
      <c r="AR89" s="75">
        <f>(Input!AT157*0.1/0.255*1000)</f>
        <v>5.9647058823529422</v>
      </c>
      <c r="AS89" s="75">
        <f>(Input!AU157*0.1/0.255*1000)</f>
        <v>0.98549019607843158</v>
      </c>
      <c r="AT89" s="75">
        <f>(Input!AV157*0.1/0.255*1000)</f>
        <v>0.17686274509803926</v>
      </c>
      <c r="AU89" s="75">
        <f>(Input!AW157*0.1/0.255*1000)</f>
        <v>0.9</v>
      </c>
      <c r="AV89" s="75">
        <f>(Input!AX157*0.1/0.255*1000)</f>
        <v>0.1035294117647059</v>
      </c>
      <c r="AW89" s="75">
        <f>(Input!AY157*0.1/0.255*1000)</f>
        <v>0.46470588235294119</v>
      </c>
      <c r="AX89" s="75">
        <f>(Input!AZ157*0.1/0.255*1000)</f>
        <v>8.4313725490196084E-2</v>
      </c>
      <c r="AY89" s="75">
        <f>(Input!BA157*0.1/0.255*1000)</f>
        <v>0.20509803921568628</v>
      </c>
      <c r="AZ89" s="75">
        <f>(Input!BB157*0.1/0.255*1000)</f>
        <v>2.2352941176470589E-2</v>
      </c>
      <c r="BA89" s="75">
        <f>(Input!BC157*0.1/0.255*1000)</f>
        <v>0.11411764705882352</v>
      </c>
      <c r="BB89" s="75">
        <f>(Input!BD157*0.1/0.255*1000)</f>
        <v>1.5686274509803925E-2</v>
      </c>
      <c r="BC89" s="75">
        <f>(Input!BE157*0.1/0.255*1000)</f>
        <v>3.9215686274509802E-4</v>
      </c>
      <c r="BD89" s="75">
        <f>(Input!BF157*0.1/0.255*1000)</f>
        <v>5.4901960784313726E-3</v>
      </c>
      <c r="BE89" s="75">
        <f>(Input!BG157*0.1/0.255*1000)</f>
        <v>3.9215686274509802E-4</v>
      </c>
      <c r="BF89" s="75">
        <f>(Input!BH157*0.1/0.255*1000)</f>
        <v>0</v>
      </c>
      <c r="BG89" s="75">
        <f>(Input!BI157*0.1/0.255*1000)</f>
        <v>0</v>
      </c>
      <c r="BH89" s="75">
        <f>(Input!BJ157*0.1/0.255*1000)</f>
        <v>0</v>
      </c>
      <c r="BI89" s="75">
        <f>(Input!BK157*0.1/0.255*1000)</f>
        <v>2.7058823529411774E-2</v>
      </c>
      <c r="BJ89" s="75">
        <f>(Input!BL157*0.1/0.255*1000)</f>
        <v>1.7647058823529412E-2</v>
      </c>
      <c r="BK89" s="75">
        <f>(Input!BM157*0.1/0.255*1000)</f>
        <v>0.74862745098039218</v>
      </c>
      <c r="BL89" s="75">
        <f>(Input!BN157*0.1/0.255*1000)</f>
        <v>0.3572549019607843</v>
      </c>
      <c r="BM89" s="64">
        <v>0.91100000000000003</v>
      </c>
      <c r="BN89" s="64">
        <v>1.07806</v>
      </c>
      <c r="BO89" s="75">
        <f>(Input!BQ157*0.1/0.255*1000)</f>
        <v>3.3725490196078421E-2</v>
      </c>
      <c r="BP89" s="75">
        <f>(Input!BR157*0.1/0.255*1000)</f>
        <v>7.4509803921568628E-3</v>
      </c>
    </row>
    <row r="91" spans="1:68" s="69" customFormat="1" x14ac:dyDescent="0.3">
      <c r="B91" s="70"/>
      <c r="C91" s="70" t="s">
        <v>181</v>
      </c>
      <c r="D91" s="70" t="s">
        <v>180</v>
      </c>
      <c r="E91" s="70" t="s">
        <v>181</v>
      </c>
      <c r="F91" s="70" t="s">
        <v>181</v>
      </c>
      <c r="G91" s="70" t="s">
        <v>181</v>
      </c>
      <c r="H91" s="67"/>
      <c r="I91" s="67"/>
      <c r="J91" s="70"/>
      <c r="K91" s="70" t="s">
        <v>180</v>
      </c>
      <c r="L91" s="70" t="s">
        <v>170</v>
      </c>
      <c r="M91" s="70" t="s">
        <v>180</v>
      </c>
      <c r="N91" s="70" t="s">
        <v>180</v>
      </c>
      <c r="P91" s="70" t="s">
        <v>180</v>
      </c>
      <c r="Q91" s="70" t="s">
        <v>180</v>
      </c>
      <c r="R91" s="70" t="s">
        <v>180</v>
      </c>
      <c r="S91" s="67"/>
      <c r="T91" s="67"/>
      <c r="V91" s="70" t="s">
        <v>180</v>
      </c>
      <c r="W91" s="70" t="s">
        <v>180</v>
      </c>
      <c r="X91" s="70" t="s">
        <v>180</v>
      </c>
      <c r="Y91" s="70" t="s">
        <v>180</v>
      </c>
      <c r="Z91" s="67"/>
      <c r="AA91" s="70"/>
      <c r="AC91" s="70" t="s">
        <v>180</v>
      </c>
      <c r="AD91" s="70"/>
      <c r="AE91" s="70"/>
      <c r="AF91" s="70"/>
      <c r="AH91" s="70" t="s">
        <v>180</v>
      </c>
      <c r="AI91" s="67"/>
      <c r="AJ91" s="70"/>
      <c r="AK91" s="70" t="s">
        <v>170</v>
      </c>
      <c r="AL91" s="70"/>
      <c r="AM91" s="70"/>
      <c r="AO91" s="70" t="s">
        <v>180</v>
      </c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 t="s">
        <v>170</v>
      </c>
      <c r="BK91" s="67"/>
      <c r="BL91" s="70" t="s">
        <v>180</v>
      </c>
      <c r="BN91" s="70" t="s">
        <v>170</v>
      </c>
    </row>
    <row r="92" spans="1:68" s="65" customFormat="1" x14ac:dyDescent="0.3">
      <c r="A92" s="65" t="s">
        <v>182</v>
      </c>
      <c r="C92" s="65">
        <v>0.432</v>
      </c>
      <c r="D92" s="65">
        <v>249</v>
      </c>
      <c r="E92" s="65">
        <v>0.13700000000000001</v>
      </c>
      <c r="F92" s="65">
        <v>2.4300000000000002</v>
      </c>
      <c r="G92" s="65">
        <v>1.56</v>
      </c>
      <c r="K92" s="65">
        <v>0.37</v>
      </c>
      <c r="M92" s="65">
        <v>98</v>
      </c>
      <c r="N92" s="65">
        <v>218</v>
      </c>
      <c r="P92" s="65">
        <v>0.69</v>
      </c>
      <c r="Q92" s="65">
        <v>3.7</v>
      </c>
      <c r="R92" s="65">
        <v>17.899999999999999</v>
      </c>
      <c r="V92" s="65">
        <v>0.06</v>
      </c>
      <c r="W92" s="65">
        <v>0.12</v>
      </c>
      <c r="X92" s="65">
        <v>19.7</v>
      </c>
      <c r="Y92" s="65">
        <v>53</v>
      </c>
      <c r="AC92" s="65">
        <v>0.06</v>
      </c>
      <c r="AH92" s="65">
        <v>2.5999999999999999E-2</v>
      </c>
      <c r="AO92" s="65">
        <v>12.4</v>
      </c>
      <c r="BL92" s="65">
        <v>0.87</v>
      </c>
    </row>
    <row r="93" spans="1:68" s="65" customFormat="1" x14ac:dyDescent="0.3"/>
    <row r="94" spans="1:68" s="51" customFormat="1" x14ac:dyDescent="0.3">
      <c r="B94" s="51" t="s">
        <v>111</v>
      </c>
      <c r="C94" s="51" t="s">
        <v>111</v>
      </c>
      <c r="D94" s="51" t="s">
        <v>111</v>
      </c>
      <c r="E94" s="51" t="s">
        <v>111</v>
      </c>
      <c r="F94" s="51" t="s">
        <v>111</v>
      </c>
      <c r="G94" s="51" t="s">
        <v>111</v>
      </c>
      <c r="H94" s="63" t="s">
        <v>171</v>
      </c>
      <c r="I94" s="63" t="s">
        <v>171</v>
      </c>
      <c r="J94" s="51" t="s">
        <v>111</v>
      </c>
      <c r="K94" s="51" t="s">
        <v>111</v>
      </c>
      <c r="L94" s="51" t="s">
        <v>111</v>
      </c>
      <c r="M94" s="51" t="s">
        <v>111</v>
      </c>
      <c r="N94" s="51" t="s">
        <v>111</v>
      </c>
      <c r="O94" s="51" t="s">
        <v>111</v>
      </c>
      <c r="P94" s="51" t="s">
        <v>111</v>
      </c>
      <c r="Q94" s="51" t="s">
        <v>111</v>
      </c>
      <c r="R94" s="51" t="s">
        <v>111</v>
      </c>
      <c r="S94" s="51" t="s">
        <v>111</v>
      </c>
      <c r="T94" s="63" t="s">
        <v>171</v>
      </c>
      <c r="U94" s="63" t="s">
        <v>171</v>
      </c>
      <c r="V94" s="51" t="s">
        <v>111</v>
      </c>
      <c r="W94" s="51" t="s">
        <v>111</v>
      </c>
      <c r="X94" s="51" t="s">
        <v>111</v>
      </c>
      <c r="Y94" s="51" t="s">
        <v>111</v>
      </c>
      <c r="Z94" s="63" t="s">
        <v>171</v>
      </c>
      <c r="AA94" s="63" t="s">
        <v>171</v>
      </c>
      <c r="AB94" s="51" t="s">
        <v>111</v>
      </c>
      <c r="AC94" s="51" t="s">
        <v>111</v>
      </c>
      <c r="AD94" s="51" t="s">
        <v>111</v>
      </c>
      <c r="AE94" s="51" t="s">
        <v>111</v>
      </c>
      <c r="AF94" s="51" t="s">
        <v>111</v>
      </c>
      <c r="AG94" s="51" t="s">
        <v>111</v>
      </c>
      <c r="AH94" s="51" t="s">
        <v>111</v>
      </c>
      <c r="AI94" s="63" t="s">
        <v>171</v>
      </c>
      <c r="AJ94" s="63" t="s">
        <v>171</v>
      </c>
      <c r="AK94" s="51" t="s">
        <v>111</v>
      </c>
      <c r="AL94" s="51" t="s">
        <v>111</v>
      </c>
      <c r="AM94" s="51" t="s">
        <v>111</v>
      </c>
      <c r="AN94" s="51" t="s">
        <v>111</v>
      </c>
      <c r="AO94" s="51" t="s">
        <v>111</v>
      </c>
      <c r="AP94" s="51" t="s">
        <v>111</v>
      </c>
      <c r="AQ94" s="51" t="s">
        <v>111</v>
      </c>
      <c r="AR94" s="51" t="s">
        <v>111</v>
      </c>
      <c r="AS94" s="51" t="s">
        <v>111</v>
      </c>
      <c r="AT94" s="51" t="s">
        <v>111</v>
      </c>
      <c r="AU94" s="51" t="s">
        <v>111</v>
      </c>
      <c r="AV94" s="51" t="s">
        <v>111</v>
      </c>
      <c r="AW94" s="51" t="s">
        <v>111</v>
      </c>
      <c r="AX94" s="51" t="s">
        <v>111</v>
      </c>
      <c r="AY94" s="51" t="s">
        <v>111</v>
      </c>
      <c r="AZ94" s="51" t="s">
        <v>111</v>
      </c>
      <c r="BA94" s="51" t="s">
        <v>111</v>
      </c>
      <c r="BB94" s="51" t="s">
        <v>111</v>
      </c>
      <c r="BC94" s="51" t="s">
        <v>111</v>
      </c>
      <c r="BD94" s="51" t="s">
        <v>111</v>
      </c>
      <c r="BE94" s="51" t="s">
        <v>111</v>
      </c>
      <c r="BF94" s="51" t="s">
        <v>111</v>
      </c>
      <c r="BG94" s="51" t="s">
        <v>111</v>
      </c>
      <c r="BH94" s="51" t="s">
        <v>111</v>
      </c>
      <c r="BI94" s="51" t="s">
        <v>111</v>
      </c>
      <c r="BJ94" s="51" t="s">
        <v>111</v>
      </c>
      <c r="BK94" s="51" t="s">
        <v>111</v>
      </c>
      <c r="BL94" s="51" t="s">
        <v>111</v>
      </c>
      <c r="BM94" s="63" t="s">
        <v>171</v>
      </c>
      <c r="BN94" s="63" t="s">
        <v>171</v>
      </c>
      <c r="BO94" s="51" t="s">
        <v>111</v>
      </c>
      <c r="BP94" s="51" t="s">
        <v>111</v>
      </c>
    </row>
    <row r="95" spans="1:68" s="61" customFormat="1" ht="15.95" customHeight="1" x14ac:dyDescent="0.25">
      <c r="A95" s="61" t="s">
        <v>88</v>
      </c>
      <c r="B95" s="61">
        <v>-17.91</v>
      </c>
      <c r="C95" s="61">
        <v>1.73</v>
      </c>
      <c r="D95" s="61">
        <v>-2.2450000000000001</v>
      </c>
      <c r="E95" s="61">
        <v>18.53</v>
      </c>
      <c r="F95" s="61">
        <v>-6.0940000000000003</v>
      </c>
      <c r="G95" s="61">
        <v>-0.27800000000000002</v>
      </c>
      <c r="H95" s="59">
        <v>1.0580400000000001</v>
      </c>
      <c r="I95" s="59">
        <v>1.05888</v>
      </c>
      <c r="J95" s="61">
        <v>0.10199999999999999</v>
      </c>
      <c r="K95" s="61">
        <v>0.32100000000000001</v>
      </c>
      <c r="L95" s="61">
        <v>0.161</v>
      </c>
      <c r="M95" s="61">
        <v>8.4000000000000005E-2</v>
      </c>
      <c r="N95" s="61">
        <v>187.1</v>
      </c>
      <c r="O95" s="61">
        <v>-2.4E-2</v>
      </c>
      <c r="P95" s="61">
        <v>0.06</v>
      </c>
      <c r="Q95" s="61">
        <v>0.255</v>
      </c>
      <c r="R95" s="61">
        <v>-1.5429999999999999</v>
      </c>
      <c r="S95" s="61">
        <v>-2E-3</v>
      </c>
      <c r="T95" s="59">
        <v>0.99541000000000002</v>
      </c>
      <c r="U95" s="59">
        <v>0.93454999999999999</v>
      </c>
      <c r="V95" s="61">
        <v>8.9999999999999993E-3</v>
      </c>
      <c r="W95" s="61">
        <v>-7.2999999999999995E-2</v>
      </c>
      <c r="X95" s="61">
        <v>0</v>
      </c>
      <c r="Y95" s="61">
        <v>-1.4999999999999999E-2</v>
      </c>
      <c r="Z95" s="59">
        <v>1.0190600000000001</v>
      </c>
      <c r="AA95" s="59">
        <v>1.0874600000000001</v>
      </c>
      <c r="AB95" s="61">
        <v>-1E-3</v>
      </c>
      <c r="AC95" s="61">
        <v>-8.0000000000000002E-3</v>
      </c>
      <c r="AD95" s="61">
        <v>0</v>
      </c>
      <c r="AE95" s="61">
        <v>0</v>
      </c>
      <c r="AF95" s="61">
        <v>1E-3</v>
      </c>
      <c r="AG95" s="61">
        <v>-4.2000000000000003E-2</v>
      </c>
      <c r="AH95" s="61">
        <v>2E-3</v>
      </c>
      <c r="AI95" s="59">
        <v>0.92588999999999999</v>
      </c>
      <c r="AJ95" s="59">
        <v>1.09198</v>
      </c>
      <c r="AK95" s="61">
        <v>1.6E-2</v>
      </c>
      <c r="AL95" s="61">
        <v>4.0000000000000001E-3</v>
      </c>
      <c r="AM95" s="61">
        <v>0</v>
      </c>
      <c r="AN95" s="61">
        <v>1E-3</v>
      </c>
      <c r="AO95" s="61">
        <v>-4.0000000000000001E-3</v>
      </c>
      <c r="AP95" s="61">
        <v>8.9999999999999993E-3</v>
      </c>
      <c r="AQ95" s="61">
        <v>-1.0999999999999999E-2</v>
      </c>
      <c r="AR95" s="61">
        <v>0</v>
      </c>
      <c r="AS95" s="61">
        <v>-1E-3</v>
      </c>
      <c r="AT95" s="61">
        <v>0</v>
      </c>
      <c r="AU95" s="61">
        <v>0</v>
      </c>
      <c r="AV95" s="61">
        <v>0</v>
      </c>
      <c r="AW95" s="61">
        <v>0</v>
      </c>
      <c r="AX95" s="61">
        <v>0</v>
      </c>
      <c r="AY95" s="61">
        <v>0</v>
      </c>
      <c r="AZ95" s="61">
        <v>0</v>
      </c>
      <c r="BA95" s="61">
        <v>0</v>
      </c>
      <c r="BB95" s="61">
        <v>0</v>
      </c>
      <c r="BC95" s="61">
        <v>0</v>
      </c>
      <c r="BD95" s="61">
        <v>0</v>
      </c>
      <c r="BE95" s="61">
        <v>1E-3</v>
      </c>
      <c r="BF95" s="61">
        <v>0</v>
      </c>
      <c r="BG95" s="61">
        <v>0</v>
      </c>
      <c r="BH95" s="61">
        <v>0</v>
      </c>
      <c r="BI95" s="61">
        <v>0</v>
      </c>
      <c r="BJ95" s="61">
        <v>0.42</v>
      </c>
      <c r="BK95" s="61">
        <v>0</v>
      </c>
      <c r="BL95" s="61">
        <v>4.7E-2</v>
      </c>
      <c r="BM95" s="59">
        <v>0.91796</v>
      </c>
      <c r="BN95" s="59">
        <v>1.0616099999999999</v>
      </c>
      <c r="BO95" s="61">
        <v>2E-3</v>
      </c>
      <c r="BP95" s="61">
        <v>0</v>
      </c>
    </row>
    <row r="96" spans="1:68" s="71" customFormat="1" ht="15.95" customHeight="1" x14ac:dyDescent="0.3">
      <c r="A96" s="71" t="s">
        <v>90</v>
      </c>
      <c r="B96" s="71">
        <v>174.5</v>
      </c>
      <c r="C96" s="71">
        <v>375.1</v>
      </c>
      <c r="D96" s="71">
        <v>378.9</v>
      </c>
      <c r="E96" s="71">
        <v>148.80000000000001</v>
      </c>
      <c r="F96" s="71">
        <v>394.5</v>
      </c>
      <c r="G96" s="71">
        <v>221.6</v>
      </c>
      <c r="H96" s="72">
        <v>1.07972</v>
      </c>
      <c r="I96" s="72">
        <v>1.0694399999999999</v>
      </c>
      <c r="J96" s="71">
        <v>223.3</v>
      </c>
      <c r="K96" s="71">
        <v>152.30000000000001</v>
      </c>
      <c r="L96" s="71">
        <v>3.5329999999999999</v>
      </c>
      <c r="M96" s="71">
        <v>30.13</v>
      </c>
      <c r="N96" s="71">
        <v>411.4</v>
      </c>
      <c r="O96" s="71">
        <v>3.0619999999999998</v>
      </c>
      <c r="P96" s="71">
        <v>3.3180000000000001</v>
      </c>
      <c r="Q96" s="71">
        <v>3.367</v>
      </c>
      <c r="R96" s="71">
        <v>1.304</v>
      </c>
      <c r="S96" s="71">
        <v>1.089</v>
      </c>
      <c r="T96" s="72">
        <v>1.0456700000000001</v>
      </c>
      <c r="U96" s="72">
        <v>0.9667</v>
      </c>
      <c r="V96" s="71">
        <v>1.581</v>
      </c>
      <c r="W96" s="71">
        <v>1.7450000000000001</v>
      </c>
      <c r="X96" s="71">
        <v>7.7089999999999996</v>
      </c>
      <c r="Y96" s="71">
        <v>3.1280000000000001</v>
      </c>
      <c r="Z96" s="72">
        <v>1.03807</v>
      </c>
      <c r="AA96" s="72">
        <v>1.0874900000000001</v>
      </c>
      <c r="AB96" s="71">
        <v>0.97899999999999998</v>
      </c>
      <c r="AC96" s="71">
        <v>3.0880000000000001</v>
      </c>
      <c r="AD96" s="71">
        <v>0.23400000000000001</v>
      </c>
      <c r="AE96" s="71">
        <v>0.23499999999999999</v>
      </c>
      <c r="AF96" s="71">
        <v>0.17899999999999999</v>
      </c>
      <c r="AG96" s="71">
        <v>2.7629999999999999</v>
      </c>
      <c r="AH96" s="71">
        <v>3.077</v>
      </c>
      <c r="AI96" s="72">
        <v>0.94640999999999997</v>
      </c>
      <c r="AJ96" s="72">
        <v>1.0906</v>
      </c>
      <c r="AK96" s="71">
        <v>0.219</v>
      </c>
      <c r="AL96" s="71">
        <v>0.224</v>
      </c>
      <c r="AM96" s="71">
        <v>0.24399999999999999</v>
      </c>
      <c r="AN96" s="71">
        <v>1.3779999999999999</v>
      </c>
      <c r="AO96" s="71">
        <v>13.91</v>
      </c>
      <c r="AP96" s="71">
        <v>0.39700000000000002</v>
      </c>
      <c r="AQ96" s="71">
        <v>0.378</v>
      </c>
      <c r="AR96" s="71">
        <v>0.39600000000000002</v>
      </c>
      <c r="AS96" s="71">
        <v>0.38700000000000001</v>
      </c>
      <c r="AT96" s="71">
        <v>0.39</v>
      </c>
      <c r="AU96" s="71">
        <v>0.39300000000000002</v>
      </c>
      <c r="AV96" s="71">
        <v>0.39</v>
      </c>
      <c r="AW96" s="71">
        <v>0.39200000000000002</v>
      </c>
      <c r="AX96" s="71">
        <v>0.38800000000000001</v>
      </c>
      <c r="AY96" s="71">
        <v>0.39600000000000002</v>
      </c>
      <c r="AZ96" s="71">
        <v>0.38900000000000001</v>
      </c>
      <c r="BA96" s="71">
        <v>0.39500000000000002</v>
      </c>
      <c r="BB96" s="71">
        <v>0.39300000000000002</v>
      </c>
      <c r="BC96" s="71">
        <v>0.39400000000000002</v>
      </c>
      <c r="BD96" s="71">
        <v>0.214</v>
      </c>
      <c r="BE96" s="71">
        <v>1.3919999999999999</v>
      </c>
      <c r="BF96" s="71">
        <v>1.4690000000000001</v>
      </c>
      <c r="BG96" s="71">
        <v>1.5049999999999999</v>
      </c>
      <c r="BH96" s="71">
        <v>0.191</v>
      </c>
      <c r="BI96" s="71">
        <v>0.19500000000000001</v>
      </c>
      <c r="BJ96" s="71">
        <v>0.313</v>
      </c>
      <c r="BK96" s="71">
        <v>9.0259999999999998</v>
      </c>
      <c r="BL96" s="71">
        <v>1.4730000000000001</v>
      </c>
      <c r="BM96" s="72">
        <v>0.94359999999999999</v>
      </c>
      <c r="BN96" s="72">
        <v>1.07731</v>
      </c>
      <c r="BO96" s="71">
        <v>0.39500000000000002</v>
      </c>
      <c r="BP96" s="71">
        <v>1.7569999999999999</v>
      </c>
    </row>
    <row r="97" spans="1:68" s="71" customFormat="1" ht="15.95" customHeight="1" x14ac:dyDescent="0.3">
      <c r="A97" s="71" t="s">
        <v>69</v>
      </c>
      <c r="B97" s="71">
        <v>-14.02</v>
      </c>
      <c r="C97" s="71">
        <v>-4.2000000000000003E-2</v>
      </c>
      <c r="D97" s="71">
        <v>-0.44500000000000001</v>
      </c>
      <c r="E97" s="71">
        <v>-9.2010000000000005</v>
      </c>
      <c r="F97" s="71">
        <v>1.474</v>
      </c>
      <c r="G97" s="71">
        <v>-2.5249999999999999</v>
      </c>
      <c r="H97" s="72">
        <v>1.05986</v>
      </c>
      <c r="I97" s="72">
        <v>1.0505</v>
      </c>
      <c r="J97" s="71">
        <v>-0.08</v>
      </c>
      <c r="K97" s="71">
        <v>1.9E-2</v>
      </c>
      <c r="L97" s="71">
        <v>-3.0000000000000001E-3</v>
      </c>
      <c r="M97" s="71">
        <v>-5.1999999999999998E-2</v>
      </c>
      <c r="N97" s="71">
        <v>-1.4999999999999999E-2</v>
      </c>
      <c r="O97" s="71">
        <v>-6.0000000000000001E-3</v>
      </c>
      <c r="P97" s="71">
        <v>-2E-3</v>
      </c>
      <c r="Q97" s="71">
        <v>-2.1000000000000001E-2</v>
      </c>
      <c r="R97" s="71">
        <v>-4.4850000000000003</v>
      </c>
      <c r="S97" s="71">
        <v>-1E-3</v>
      </c>
      <c r="T97" s="72">
        <v>1.0268699999999999</v>
      </c>
      <c r="U97" s="72">
        <v>0.95133999999999996</v>
      </c>
      <c r="V97" s="71">
        <v>4.7E-2</v>
      </c>
      <c r="W97" s="71">
        <v>-2.7E-2</v>
      </c>
      <c r="X97" s="71">
        <v>3.0000000000000001E-3</v>
      </c>
      <c r="Y97" s="71">
        <v>-1.2999999999999999E-2</v>
      </c>
      <c r="Z97" s="72">
        <v>1.02399</v>
      </c>
      <c r="AA97" s="72">
        <v>1.0753200000000001</v>
      </c>
      <c r="AB97" s="71">
        <v>3.0000000000000001E-3</v>
      </c>
      <c r="AC97" s="71">
        <v>-2E-3</v>
      </c>
      <c r="AD97" s="71">
        <v>0</v>
      </c>
      <c r="AE97" s="71">
        <v>0</v>
      </c>
      <c r="AF97" s="71">
        <v>0</v>
      </c>
      <c r="AG97" s="71">
        <v>1.07</v>
      </c>
      <c r="AH97" s="71">
        <v>0</v>
      </c>
      <c r="AI97" s="72">
        <v>0.93350999999999995</v>
      </c>
      <c r="AJ97" s="72">
        <v>1.0819099999999999</v>
      </c>
      <c r="AK97" s="71">
        <v>-8.0000000000000002E-3</v>
      </c>
      <c r="AL97" s="71">
        <v>0</v>
      </c>
      <c r="AM97" s="71">
        <v>0</v>
      </c>
      <c r="AN97" s="71">
        <v>0</v>
      </c>
      <c r="AO97" s="71">
        <v>-1E-3</v>
      </c>
      <c r="AP97" s="71">
        <v>0</v>
      </c>
      <c r="AQ97" s="71">
        <v>-1.2999999999999999E-2</v>
      </c>
      <c r="AR97" s="71">
        <v>0</v>
      </c>
      <c r="AS97" s="71">
        <v>0</v>
      </c>
      <c r="AT97" s="71">
        <v>0</v>
      </c>
      <c r="AU97" s="71">
        <v>0</v>
      </c>
      <c r="AV97" s="71">
        <v>0</v>
      </c>
      <c r="AW97" s="71">
        <v>0</v>
      </c>
      <c r="AX97" s="71">
        <v>0</v>
      </c>
      <c r="AY97" s="71">
        <v>0</v>
      </c>
      <c r="AZ97" s="71">
        <v>0</v>
      </c>
      <c r="BA97" s="71">
        <v>0</v>
      </c>
      <c r="BB97" s="71">
        <v>0</v>
      </c>
      <c r="BC97" s="71">
        <v>0</v>
      </c>
      <c r="BD97" s="71">
        <v>0</v>
      </c>
      <c r="BE97" s="71">
        <v>-3.0000000000000001E-3</v>
      </c>
      <c r="BF97" s="71">
        <v>0</v>
      </c>
      <c r="BG97" s="71">
        <v>0</v>
      </c>
      <c r="BH97" s="71">
        <v>0</v>
      </c>
      <c r="BI97" s="71">
        <v>0</v>
      </c>
      <c r="BJ97" s="71">
        <v>2.4E-2</v>
      </c>
      <c r="BK97" s="71">
        <v>1E-3</v>
      </c>
      <c r="BL97" s="71">
        <v>-1E-3</v>
      </c>
      <c r="BM97" s="72">
        <v>0.93352999999999997</v>
      </c>
      <c r="BN97" s="72">
        <v>1.07236</v>
      </c>
      <c r="BO97" s="71">
        <v>0</v>
      </c>
      <c r="BP97" s="71">
        <v>0</v>
      </c>
    </row>
    <row r="98" spans="1:68" s="65" customFormat="1" x14ac:dyDescent="0.3"/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59"/>
  <sheetViews>
    <sheetView topLeftCell="O1" workbookViewId="0">
      <pane ySplit="1" topLeftCell="A113" activePane="bottomLeft" state="frozen"/>
      <selection pane="bottomLeft" activeCell="A76" sqref="A76:XFD76"/>
    </sheetView>
  </sheetViews>
  <sheetFormatPr defaultRowHeight="15.95" customHeight="1" x14ac:dyDescent="0.25"/>
  <cols>
    <col min="1" max="1" width="17.28515625" style="58" bestFit="1" customWidth="1"/>
    <col min="2" max="2" width="13.140625" style="58" bestFit="1" customWidth="1"/>
    <col min="3" max="4" width="14.28515625" style="58" bestFit="1" customWidth="1"/>
    <col min="5" max="5" width="13.140625" style="58" bestFit="1" customWidth="1"/>
    <col min="6" max="7" width="14.28515625" style="58" bestFit="1" customWidth="1"/>
    <col min="8" max="9" width="9.5703125" style="58" bestFit="1" customWidth="1"/>
    <col min="10" max="12" width="13.140625" style="58" bestFit="1" customWidth="1"/>
    <col min="13" max="13" width="11.85546875" style="58" bestFit="1" customWidth="1"/>
    <col min="14" max="14" width="13.140625" style="58" bestFit="1" customWidth="1"/>
    <col min="15" max="15" width="14.28515625" style="58" bestFit="1" customWidth="1"/>
    <col min="16" max="19" width="11.85546875" style="58" bestFit="1" customWidth="1"/>
    <col min="20" max="20" width="10.7109375" style="58" bestFit="1" customWidth="1"/>
    <col min="21" max="22" width="9.5703125" style="58" bestFit="1" customWidth="1"/>
    <col min="23" max="23" width="11.28515625" style="58" bestFit="1" customWidth="1"/>
    <col min="24" max="24" width="10.7109375" style="58" bestFit="1" customWidth="1"/>
    <col min="25" max="26" width="11.85546875" style="58" bestFit="1" customWidth="1"/>
    <col min="27" max="28" width="9.5703125" style="58" bestFit="1" customWidth="1"/>
    <col min="29" max="29" width="10.7109375" style="58" bestFit="1" customWidth="1"/>
    <col min="30" max="30" width="11.85546875" style="58" bestFit="1" customWidth="1"/>
    <col min="31" max="33" width="9.5703125" style="58" bestFit="1" customWidth="1"/>
    <col min="34" max="35" width="11.85546875" style="58" bestFit="1" customWidth="1"/>
    <col min="36" max="37" width="9.5703125" style="58" bestFit="1" customWidth="1"/>
    <col min="38" max="38" width="10.7109375" style="58" bestFit="1" customWidth="1"/>
    <col min="39" max="40" width="10.28515625" style="58" bestFit="1" customWidth="1"/>
    <col min="41" max="41" width="10.7109375" style="58" bestFit="1" customWidth="1"/>
    <col min="42" max="43" width="11.85546875" style="58" bestFit="1" customWidth="1"/>
    <col min="44" max="57" width="10.7109375" style="58" bestFit="1" customWidth="1"/>
    <col min="58" max="58" width="10.28515625" style="58" bestFit="1" customWidth="1"/>
    <col min="59" max="61" width="10.7109375" style="58" bestFit="1" customWidth="1"/>
    <col min="62" max="63" width="9.5703125" style="58" bestFit="1" customWidth="1"/>
    <col min="64" max="64" width="10.28515625" style="58" bestFit="1" customWidth="1"/>
    <col min="65" max="66" width="11.85546875" style="58" bestFit="1" customWidth="1"/>
    <col min="67" max="68" width="9.5703125" style="58" bestFit="1" customWidth="1"/>
    <col min="69" max="70" width="10.7109375" style="58" bestFit="1" customWidth="1"/>
    <col min="71" max="16384" width="9.140625" style="58"/>
  </cols>
  <sheetData>
    <row r="1" spans="1:70" s="54" customFormat="1" ht="15.95" customHeight="1" thickBot="1" x14ac:dyDescent="0.3">
      <c r="A1" s="54" t="s">
        <v>154</v>
      </c>
      <c r="B1" s="54" t="s">
        <v>0</v>
      </c>
      <c r="C1" s="54" t="s">
        <v>1</v>
      </c>
      <c r="D1" s="54" t="s">
        <v>2</v>
      </c>
      <c r="E1" s="54" t="s">
        <v>3</v>
      </c>
      <c r="F1" s="54" t="s">
        <v>4</v>
      </c>
      <c r="G1" s="54" t="s">
        <v>5</v>
      </c>
      <c r="H1" s="55" t="s">
        <v>6</v>
      </c>
      <c r="I1" s="55" t="s">
        <v>7</v>
      </c>
      <c r="J1" s="54" t="s">
        <v>8</v>
      </c>
      <c r="K1" s="54" t="s">
        <v>9</v>
      </c>
      <c r="L1" s="54" t="s">
        <v>10</v>
      </c>
      <c r="M1" s="54" t="s">
        <v>11</v>
      </c>
      <c r="N1" s="54" t="s">
        <v>12</v>
      </c>
      <c r="O1" s="54" t="s">
        <v>13</v>
      </c>
      <c r="P1" s="54" t="s">
        <v>14</v>
      </c>
      <c r="Q1" s="54" t="s">
        <v>15</v>
      </c>
      <c r="R1" s="54" t="s">
        <v>16</v>
      </c>
      <c r="S1" s="54" t="s">
        <v>17</v>
      </c>
      <c r="T1" s="54" t="s">
        <v>18</v>
      </c>
      <c r="U1" s="55" t="s">
        <v>19</v>
      </c>
      <c r="V1" s="55" t="s">
        <v>20</v>
      </c>
      <c r="W1" s="54" t="s">
        <v>21</v>
      </c>
      <c r="X1" s="54" t="s">
        <v>22</v>
      </c>
      <c r="Y1" s="54" t="s">
        <v>23</v>
      </c>
      <c r="Z1" s="54" t="s">
        <v>24</v>
      </c>
      <c r="AA1" s="55" t="s">
        <v>25</v>
      </c>
      <c r="AB1" s="55" t="s">
        <v>26</v>
      </c>
      <c r="AC1" s="54" t="s">
        <v>27</v>
      </c>
      <c r="AD1" s="54" t="s">
        <v>28</v>
      </c>
      <c r="AE1" s="54" t="s">
        <v>29</v>
      </c>
      <c r="AF1" s="54" t="s">
        <v>30</v>
      </c>
      <c r="AG1" s="54" t="s">
        <v>31</v>
      </c>
      <c r="AH1" s="54" t="s">
        <v>32</v>
      </c>
      <c r="AI1" s="54" t="s">
        <v>33</v>
      </c>
      <c r="AJ1" s="55" t="s">
        <v>34</v>
      </c>
      <c r="AK1" s="55" t="s">
        <v>35</v>
      </c>
      <c r="AL1" s="54" t="s">
        <v>36</v>
      </c>
      <c r="AM1" s="54" t="s">
        <v>37</v>
      </c>
      <c r="AN1" s="54" t="s">
        <v>38</v>
      </c>
      <c r="AO1" s="54" t="s">
        <v>39</v>
      </c>
      <c r="AP1" s="54" t="s">
        <v>40</v>
      </c>
      <c r="AQ1" s="54" t="s">
        <v>41</v>
      </c>
      <c r="AR1" s="54" t="s">
        <v>42</v>
      </c>
      <c r="AS1" s="54" t="s">
        <v>43</v>
      </c>
      <c r="AT1" s="54" t="s">
        <v>44</v>
      </c>
      <c r="AU1" s="54" t="s">
        <v>45</v>
      </c>
      <c r="AV1" s="54" t="s">
        <v>46</v>
      </c>
      <c r="AW1" s="54" t="s">
        <v>47</v>
      </c>
      <c r="AX1" s="54" t="s">
        <v>48</v>
      </c>
      <c r="AY1" s="54" t="s">
        <v>49</v>
      </c>
      <c r="AZ1" s="54" t="s">
        <v>50</v>
      </c>
      <c r="BA1" s="54" t="s">
        <v>51</v>
      </c>
      <c r="BB1" s="54" t="s">
        <v>52</v>
      </c>
      <c r="BC1" s="54" t="s">
        <v>53</v>
      </c>
      <c r="BD1" s="54" t="s">
        <v>54</v>
      </c>
      <c r="BE1" s="54" t="s">
        <v>55</v>
      </c>
      <c r="BF1" s="54" t="s">
        <v>56</v>
      </c>
      <c r="BG1" s="54" t="s">
        <v>57</v>
      </c>
      <c r="BH1" s="54" t="s">
        <v>58</v>
      </c>
      <c r="BI1" s="54" t="s">
        <v>59</v>
      </c>
      <c r="BJ1" s="54" t="s">
        <v>60</v>
      </c>
      <c r="BK1" s="54" t="s">
        <v>61</v>
      </c>
      <c r="BL1" s="54" t="s">
        <v>62</v>
      </c>
      <c r="BM1" s="54" t="s">
        <v>63</v>
      </c>
      <c r="BN1" s="54" t="s">
        <v>64</v>
      </c>
      <c r="BO1" s="55" t="s">
        <v>65</v>
      </c>
      <c r="BP1" s="55" t="s">
        <v>66</v>
      </c>
      <c r="BQ1" s="54" t="s">
        <v>67</v>
      </c>
      <c r="BR1" s="54" t="s">
        <v>68</v>
      </c>
    </row>
    <row r="2" spans="1:70" s="56" customFormat="1" ht="15.95" customHeight="1" x14ac:dyDescent="0.25">
      <c r="B2" s="56" t="s">
        <v>111</v>
      </c>
      <c r="C2" s="56" t="s">
        <v>111</v>
      </c>
      <c r="D2" s="56" t="s">
        <v>111</v>
      </c>
      <c r="E2" s="56" t="s">
        <v>111</v>
      </c>
      <c r="F2" s="56" t="s">
        <v>111</v>
      </c>
      <c r="G2" s="56" t="s">
        <v>111</v>
      </c>
      <c r="H2" s="57" t="s">
        <v>171</v>
      </c>
      <c r="I2" s="57" t="s">
        <v>171</v>
      </c>
      <c r="J2" s="56" t="s">
        <v>111</v>
      </c>
      <c r="K2" s="56" t="s">
        <v>111</v>
      </c>
      <c r="L2" s="56" t="s">
        <v>111</v>
      </c>
      <c r="M2" s="56" t="s">
        <v>111</v>
      </c>
      <c r="N2" s="56" t="s">
        <v>111</v>
      </c>
      <c r="O2" s="56" t="s">
        <v>111</v>
      </c>
      <c r="P2" s="56" t="s">
        <v>111</v>
      </c>
      <c r="Q2" s="56" t="s">
        <v>111</v>
      </c>
      <c r="R2" s="56" t="s">
        <v>111</v>
      </c>
      <c r="S2" s="56" t="s">
        <v>111</v>
      </c>
      <c r="T2" s="56" t="s">
        <v>111</v>
      </c>
      <c r="U2" s="57" t="s">
        <v>171</v>
      </c>
      <c r="V2" s="57" t="s">
        <v>171</v>
      </c>
      <c r="W2" s="56" t="s">
        <v>111</v>
      </c>
      <c r="X2" s="56" t="s">
        <v>111</v>
      </c>
      <c r="Y2" s="56" t="s">
        <v>111</v>
      </c>
      <c r="Z2" s="56" t="s">
        <v>111</v>
      </c>
      <c r="AA2" s="57" t="s">
        <v>171</v>
      </c>
      <c r="AB2" s="57" t="s">
        <v>171</v>
      </c>
      <c r="AC2" s="56" t="s">
        <v>111</v>
      </c>
      <c r="AD2" s="56" t="s">
        <v>111</v>
      </c>
      <c r="AE2" s="56" t="s">
        <v>111</v>
      </c>
      <c r="AF2" s="56" t="s">
        <v>111</v>
      </c>
      <c r="AG2" s="56" t="s">
        <v>111</v>
      </c>
      <c r="AH2" s="56" t="s">
        <v>111</v>
      </c>
      <c r="AI2" s="56" t="s">
        <v>111</v>
      </c>
      <c r="AJ2" s="57" t="s">
        <v>171</v>
      </c>
      <c r="AK2" s="57" t="s">
        <v>171</v>
      </c>
      <c r="AL2" s="56" t="s">
        <v>111</v>
      </c>
      <c r="AM2" s="56" t="s">
        <v>111</v>
      </c>
      <c r="AN2" s="56" t="s">
        <v>111</v>
      </c>
      <c r="AO2" s="56" t="s">
        <v>111</v>
      </c>
      <c r="AP2" s="56" t="s">
        <v>111</v>
      </c>
      <c r="AQ2" s="56" t="s">
        <v>111</v>
      </c>
      <c r="AR2" s="56" t="s">
        <v>111</v>
      </c>
      <c r="AS2" s="56" t="s">
        <v>111</v>
      </c>
      <c r="AT2" s="56" t="s">
        <v>111</v>
      </c>
      <c r="AU2" s="56" t="s">
        <v>111</v>
      </c>
      <c r="AV2" s="56" t="s">
        <v>111</v>
      </c>
      <c r="AW2" s="56" t="s">
        <v>111</v>
      </c>
      <c r="AX2" s="56" t="s">
        <v>111</v>
      </c>
      <c r="AY2" s="56" t="s">
        <v>111</v>
      </c>
      <c r="AZ2" s="56" t="s">
        <v>111</v>
      </c>
      <c r="BA2" s="56" t="s">
        <v>111</v>
      </c>
      <c r="BB2" s="56" t="s">
        <v>111</v>
      </c>
      <c r="BC2" s="56" t="s">
        <v>111</v>
      </c>
      <c r="BD2" s="56" t="s">
        <v>111</v>
      </c>
      <c r="BE2" s="56" t="s">
        <v>111</v>
      </c>
      <c r="BF2" s="56" t="s">
        <v>111</v>
      </c>
      <c r="BG2" s="56" t="s">
        <v>111</v>
      </c>
      <c r="BH2" s="56" t="s">
        <v>111</v>
      </c>
      <c r="BI2" s="56" t="s">
        <v>111</v>
      </c>
      <c r="BJ2" s="56" t="s">
        <v>111</v>
      </c>
      <c r="BK2" s="56" t="s">
        <v>111</v>
      </c>
      <c r="BL2" s="56" t="s">
        <v>111</v>
      </c>
      <c r="BM2" s="56" t="s">
        <v>111</v>
      </c>
      <c r="BN2" s="56" t="s">
        <v>111</v>
      </c>
      <c r="BO2" s="57" t="s">
        <v>171</v>
      </c>
      <c r="BP2" s="57" t="s">
        <v>171</v>
      </c>
      <c r="BQ2" s="56" t="s">
        <v>111</v>
      </c>
      <c r="BR2" s="56" t="s">
        <v>111</v>
      </c>
    </row>
    <row r="3" spans="1:70" ht="15.95" customHeight="1" x14ac:dyDescent="0.25">
      <c r="A3" s="58" t="s">
        <v>69</v>
      </c>
      <c r="B3" s="58">
        <v>1.1499999999999999</v>
      </c>
      <c r="C3" s="58">
        <v>-3.5000000000000003E-2</v>
      </c>
      <c r="D3" s="58">
        <v>0.104</v>
      </c>
      <c r="E3" s="58">
        <v>0.34200000000000003</v>
      </c>
      <c r="F3" s="58">
        <v>2.0590000000000002</v>
      </c>
      <c r="G3" s="58">
        <v>-2.96</v>
      </c>
      <c r="H3" s="59">
        <v>1</v>
      </c>
      <c r="I3" s="59">
        <v>1</v>
      </c>
      <c r="J3" s="58">
        <v>-5.0000000000000001E-3</v>
      </c>
      <c r="K3" s="58">
        <v>7.0000000000000001E-3</v>
      </c>
      <c r="L3" s="58">
        <v>-0.111</v>
      </c>
      <c r="M3" s="58">
        <v>1.7999999999999999E-2</v>
      </c>
      <c r="N3" s="58">
        <v>-2.1999999999999999E-2</v>
      </c>
      <c r="O3" s="58">
        <v>2E-3</v>
      </c>
      <c r="P3" s="58">
        <v>1E-3</v>
      </c>
      <c r="Q3" s="58">
        <v>3.0000000000000001E-3</v>
      </c>
      <c r="R3" s="58">
        <v>2.1999999999999999E-2</v>
      </c>
      <c r="S3" s="58">
        <v>-3.6160000000000001</v>
      </c>
      <c r="T3" s="58">
        <v>1E-3</v>
      </c>
      <c r="U3" s="59">
        <v>1</v>
      </c>
      <c r="V3" s="59">
        <v>1</v>
      </c>
      <c r="W3" s="58">
        <v>-6.0000000000000001E-3</v>
      </c>
      <c r="X3" s="58">
        <v>-0.218</v>
      </c>
      <c r="Y3" s="58">
        <v>0</v>
      </c>
      <c r="Z3" s="58">
        <v>-1E-3</v>
      </c>
      <c r="AA3" s="59">
        <v>1</v>
      </c>
      <c r="AB3" s="59">
        <v>1</v>
      </c>
      <c r="AC3" s="58">
        <v>0</v>
      </c>
      <c r="AD3" s="58">
        <v>2E-3</v>
      </c>
      <c r="AE3" s="58">
        <v>0</v>
      </c>
      <c r="AF3" s="58">
        <v>0</v>
      </c>
      <c r="AG3" s="58">
        <v>0</v>
      </c>
      <c r="AH3" s="58">
        <v>3.7999999999999999E-2</v>
      </c>
      <c r="AI3" s="58">
        <v>0</v>
      </c>
      <c r="AJ3" s="59">
        <v>1</v>
      </c>
      <c r="AK3" s="59">
        <v>1</v>
      </c>
      <c r="AL3" s="58">
        <v>3.0000000000000001E-3</v>
      </c>
      <c r="AM3" s="58">
        <v>0</v>
      </c>
      <c r="AN3" s="58">
        <v>1E-3</v>
      </c>
      <c r="AO3" s="58">
        <v>0</v>
      </c>
      <c r="AP3" s="58">
        <v>-1E-3</v>
      </c>
      <c r="AQ3" s="58">
        <v>1E-3</v>
      </c>
      <c r="AR3" s="58">
        <v>0</v>
      </c>
      <c r="AS3" s="58">
        <v>2.9000000000000001E-2</v>
      </c>
      <c r="AT3" s="58">
        <v>0</v>
      </c>
      <c r="AU3" s="58">
        <v>0</v>
      </c>
      <c r="AV3" s="58">
        <v>0</v>
      </c>
      <c r="AW3" s="58">
        <v>0</v>
      </c>
      <c r="AX3" s="58">
        <v>0</v>
      </c>
      <c r="AY3" s="58">
        <v>0</v>
      </c>
      <c r="AZ3" s="58">
        <v>0</v>
      </c>
      <c r="BA3" s="58">
        <v>0</v>
      </c>
      <c r="BB3" s="58">
        <v>0</v>
      </c>
      <c r="BC3" s="58">
        <v>0</v>
      </c>
      <c r="BD3" s="58">
        <v>0</v>
      </c>
      <c r="BE3" s="58">
        <v>0</v>
      </c>
      <c r="BF3" s="58">
        <v>0</v>
      </c>
      <c r="BG3" s="58">
        <v>0</v>
      </c>
      <c r="BH3" s="58">
        <v>0</v>
      </c>
      <c r="BI3" s="58">
        <v>0</v>
      </c>
      <c r="BJ3" s="58">
        <v>0</v>
      </c>
      <c r="BK3" s="58">
        <v>0</v>
      </c>
      <c r="BL3" s="58">
        <v>1E-3</v>
      </c>
      <c r="BM3" s="58">
        <v>0</v>
      </c>
      <c r="BN3" s="58">
        <v>1E-3</v>
      </c>
      <c r="BO3" s="59">
        <v>1</v>
      </c>
      <c r="BP3" s="59">
        <v>1</v>
      </c>
      <c r="BQ3" s="58">
        <v>0</v>
      </c>
      <c r="BR3" s="58">
        <v>0</v>
      </c>
    </row>
    <row r="4" spans="1:70" ht="15.95" customHeight="1" x14ac:dyDescent="0.25">
      <c r="A4" s="58" t="s">
        <v>69</v>
      </c>
      <c r="B4" s="58">
        <v>0</v>
      </c>
      <c r="C4" s="58">
        <v>0</v>
      </c>
      <c r="D4" s="58">
        <v>0</v>
      </c>
      <c r="E4" s="58">
        <v>0</v>
      </c>
      <c r="F4" s="58">
        <v>0</v>
      </c>
      <c r="G4" s="58">
        <v>0</v>
      </c>
      <c r="H4" s="59">
        <v>1</v>
      </c>
      <c r="I4" s="59">
        <v>1</v>
      </c>
      <c r="J4" s="58">
        <v>0</v>
      </c>
      <c r="K4" s="58">
        <v>0</v>
      </c>
      <c r="L4" s="58">
        <v>0</v>
      </c>
      <c r="M4" s="58">
        <v>0</v>
      </c>
      <c r="N4" s="58">
        <v>0</v>
      </c>
      <c r="O4" s="58">
        <v>0</v>
      </c>
      <c r="P4" s="58">
        <v>0</v>
      </c>
      <c r="Q4" s="58">
        <v>0</v>
      </c>
      <c r="R4" s="58">
        <v>0</v>
      </c>
      <c r="S4" s="58">
        <v>-3.1789999999999998</v>
      </c>
      <c r="T4" s="58">
        <v>0</v>
      </c>
      <c r="U4" s="59">
        <v>1</v>
      </c>
      <c r="V4" s="59">
        <v>1</v>
      </c>
      <c r="W4" s="58">
        <v>0</v>
      </c>
      <c r="X4" s="58">
        <v>0</v>
      </c>
      <c r="Y4" s="58">
        <v>0</v>
      </c>
      <c r="Z4" s="58">
        <v>0</v>
      </c>
      <c r="AA4" s="59">
        <v>1</v>
      </c>
      <c r="AB4" s="59">
        <v>1</v>
      </c>
      <c r="AC4" s="58">
        <v>0</v>
      </c>
      <c r="AD4" s="58">
        <v>0</v>
      </c>
      <c r="AE4" s="58">
        <v>0</v>
      </c>
      <c r="AF4" s="58">
        <v>0</v>
      </c>
      <c r="AG4" s="58">
        <v>0</v>
      </c>
      <c r="AH4" s="58">
        <v>0</v>
      </c>
      <c r="AI4" s="58">
        <v>0</v>
      </c>
      <c r="AJ4" s="59">
        <v>1</v>
      </c>
      <c r="AK4" s="59">
        <v>1</v>
      </c>
      <c r="AL4" s="58">
        <v>0</v>
      </c>
      <c r="AM4" s="58">
        <v>0</v>
      </c>
      <c r="AN4" s="58">
        <v>0</v>
      </c>
      <c r="AO4" s="58">
        <v>0</v>
      </c>
      <c r="AP4" s="58">
        <v>0</v>
      </c>
      <c r="AQ4" s="58">
        <v>0</v>
      </c>
      <c r="AR4" s="58">
        <v>0</v>
      </c>
      <c r="AS4" s="58">
        <v>0</v>
      </c>
      <c r="AT4" s="58">
        <v>0</v>
      </c>
      <c r="AU4" s="58">
        <v>0</v>
      </c>
      <c r="AV4" s="58">
        <v>0</v>
      </c>
      <c r="AW4" s="58">
        <v>0</v>
      </c>
      <c r="AX4" s="58">
        <v>0</v>
      </c>
      <c r="AY4" s="58">
        <v>0</v>
      </c>
      <c r="AZ4" s="58">
        <v>0</v>
      </c>
      <c r="BA4" s="58">
        <v>0</v>
      </c>
      <c r="BB4" s="58">
        <v>0</v>
      </c>
      <c r="BC4" s="58">
        <v>0</v>
      </c>
      <c r="BD4" s="58">
        <v>0</v>
      </c>
      <c r="BE4" s="58">
        <v>0</v>
      </c>
      <c r="BF4" s="58">
        <v>0</v>
      </c>
      <c r="BG4" s="58">
        <v>0</v>
      </c>
      <c r="BH4" s="58">
        <v>0</v>
      </c>
      <c r="BI4" s="58">
        <v>0</v>
      </c>
      <c r="BJ4" s="58">
        <v>0</v>
      </c>
      <c r="BK4" s="58">
        <v>0</v>
      </c>
      <c r="BL4" s="58">
        <v>0</v>
      </c>
      <c r="BM4" s="58">
        <v>0</v>
      </c>
      <c r="BN4" s="58">
        <v>0</v>
      </c>
      <c r="BO4" s="59">
        <v>1</v>
      </c>
      <c r="BP4" s="59">
        <v>1</v>
      </c>
      <c r="BQ4" s="58">
        <v>0</v>
      </c>
      <c r="BR4" s="58">
        <v>0</v>
      </c>
    </row>
    <row r="5" spans="1:70" ht="15.95" customHeight="1" x14ac:dyDescent="0.25">
      <c r="A5" s="58" t="s">
        <v>155</v>
      </c>
      <c r="B5" s="58">
        <v>18.440000000000001</v>
      </c>
      <c r="C5" s="58">
        <v>14.79</v>
      </c>
      <c r="D5" s="58">
        <v>22.3</v>
      </c>
      <c r="E5" s="58">
        <v>12.8</v>
      </c>
      <c r="F5" s="58">
        <v>11.29</v>
      </c>
      <c r="G5" s="58">
        <v>7.077</v>
      </c>
      <c r="H5" s="59">
        <v>0.98026000000000002</v>
      </c>
      <c r="I5" s="59">
        <v>1.00238</v>
      </c>
      <c r="J5" s="58">
        <v>8.2850000000000001</v>
      </c>
      <c r="K5" s="58">
        <v>6.7969999999999997</v>
      </c>
      <c r="L5" s="58">
        <v>7.2690000000000001</v>
      </c>
      <c r="M5" s="58">
        <v>0.24199999999999999</v>
      </c>
      <c r="N5" s="58">
        <v>1.359</v>
      </c>
      <c r="O5" s="58">
        <v>18.32</v>
      </c>
      <c r="P5" s="58">
        <v>0.109</v>
      </c>
      <c r="Q5" s="58">
        <v>0.14199999999999999</v>
      </c>
      <c r="R5" s="58">
        <v>4.8000000000000001E-2</v>
      </c>
      <c r="S5" s="58">
        <v>1.4E-2</v>
      </c>
      <c r="T5" s="58">
        <v>4.3999999999999997E-2</v>
      </c>
      <c r="U5" s="59">
        <v>0.97628999999999999</v>
      </c>
      <c r="V5" s="59">
        <v>0.99409999999999998</v>
      </c>
      <c r="W5" s="58">
        <v>5.3999999999999999E-2</v>
      </c>
      <c r="X5" s="58">
        <v>7.6999999999999999E-2</v>
      </c>
      <c r="Y5" s="58">
        <v>0.34499999999999997</v>
      </c>
      <c r="Z5" s="58">
        <v>0.14799999999999999</v>
      </c>
      <c r="AA5" s="59">
        <v>0.99221999999999999</v>
      </c>
      <c r="AB5" s="59">
        <v>0.99970000000000003</v>
      </c>
      <c r="AC5" s="58">
        <v>4.7E-2</v>
      </c>
      <c r="AD5" s="58">
        <v>0.13700000000000001</v>
      </c>
      <c r="AE5" s="58">
        <v>1.0999999999999999E-2</v>
      </c>
      <c r="AF5" s="58">
        <v>1.0999999999999999E-2</v>
      </c>
      <c r="AG5" s="58">
        <v>8.0000000000000002E-3</v>
      </c>
      <c r="AH5" s="58">
        <v>0.50700000000000001</v>
      </c>
      <c r="AI5" s="58">
        <v>0.13300000000000001</v>
      </c>
      <c r="AJ5" s="59">
        <v>0.98653000000000002</v>
      </c>
      <c r="AK5" s="59">
        <v>1.00525</v>
      </c>
      <c r="AL5" s="58">
        <v>1.2999999999999999E-2</v>
      </c>
      <c r="AM5" s="58">
        <v>1.0999999999999999E-2</v>
      </c>
      <c r="AN5" s="58">
        <v>1.2999999999999999E-2</v>
      </c>
      <c r="AO5" s="58">
        <v>6.3E-2</v>
      </c>
      <c r="AP5" s="58">
        <v>0.61799999999999999</v>
      </c>
      <c r="AQ5" s="58">
        <v>0.63300000000000001</v>
      </c>
      <c r="AR5" s="58">
        <v>0.02</v>
      </c>
      <c r="AS5" s="58">
        <v>1.4E-2</v>
      </c>
      <c r="AT5" s="58">
        <v>1.7999999999999999E-2</v>
      </c>
      <c r="AU5" s="58">
        <v>1.9E-2</v>
      </c>
      <c r="AV5" s="58">
        <v>1.7000000000000001E-2</v>
      </c>
      <c r="AW5" s="58">
        <v>1.7000000000000001E-2</v>
      </c>
      <c r="AX5" s="58">
        <v>1.9E-2</v>
      </c>
      <c r="AY5" s="58">
        <v>1.7000000000000001E-2</v>
      </c>
      <c r="AZ5" s="58">
        <v>1.7000000000000001E-2</v>
      </c>
      <c r="BA5" s="58">
        <v>1.7999999999999999E-2</v>
      </c>
      <c r="BB5" s="58">
        <v>1.7000000000000001E-2</v>
      </c>
      <c r="BC5" s="58">
        <v>1.7999999999999999E-2</v>
      </c>
      <c r="BD5" s="58">
        <v>1.7999999999999999E-2</v>
      </c>
      <c r="BE5" s="58">
        <v>1.7999999999999999E-2</v>
      </c>
      <c r="BF5" s="58">
        <v>0.01</v>
      </c>
      <c r="BG5" s="58">
        <v>6.4000000000000001E-2</v>
      </c>
      <c r="BH5" s="58">
        <v>6.6000000000000003E-2</v>
      </c>
      <c r="BI5" s="58">
        <v>6.7000000000000004E-2</v>
      </c>
      <c r="BJ5" s="58">
        <v>8.0000000000000002E-3</v>
      </c>
      <c r="BK5" s="58">
        <v>0.01</v>
      </c>
      <c r="BL5" s="58">
        <v>6.0000000000000001E-3</v>
      </c>
      <c r="BM5" s="58">
        <v>0.40200000000000002</v>
      </c>
      <c r="BN5" s="58">
        <v>6.9000000000000006E-2</v>
      </c>
      <c r="BO5" s="59">
        <v>0.98517999999999994</v>
      </c>
      <c r="BP5" s="59">
        <v>0.99424999999999997</v>
      </c>
      <c r="BQ5" s="58">
        <v>0.02</v>
      </c>
      <c r="BR5" s="58">
        <v>0.08</v>
      </c>
    </row>
    <row r="6" spans="1:70" ht="15.95" customHeight="1" x14ac:dyDescent="0.25">
      <c r="A6" s="58" t="s">
        <v>156</v>
      </c>
      <c r="B6" s="58">
        <v>45.84</v>
      </c>
      <c r="C6" s="58">
        <v>73.03</v>
      </c>
      <c r="D6" s="58">
        <v>78.67</v>
      </c>
      <c r="E6" s="58">
        <v>39.76</v>
      </c>
      <c r="F6" s="58">
        <v>81.55</v>
      </c>
      <c r="G6" s="58">
        <v>39.159999999999997</v>
      </c>
      <c r="H6" s="59">
        <v>1.00298</v>
      </c>
      <c r="I6" s="59">
        <v>0.99351</v>
      </c>
      <c r="J6" s="58">
        <v>41.34</v>
      </c>
      <c r="K6" s="58">
        <v>38.520000000000003</v>
      </c>
      <c r="L6" s="58">
        <v>34.799999999999997</v>
      </c>
      <c r="M6" s="58">
        <v>0.84</v>
      </c>
      <c r="N6" s="58">
        <v>6.68</v>
      </c>
      <c r="O6" s="58">
        <v>85.76</v>
      </c>
      <c r="P6" s="58">
        <v>0.64700000000000002</v>
      </c>
      <c r="Q6" s="58">
        <v>0.71299999999999997</v>
      </c>
      <c r="R6" s="58">
        <v>0.64400000000000002</v>
      </c>
      <c r="S6" s="58">
        <v>0.30099999999999999</v>
      </c>
      <c r="T6" s="58">
        <v>0.22700000000000001</v>
      </c>
      <c r="U6" s="59">
        <v>1.01248</v>
      </c>
      <c r="V6" s="59">
        <v>0.99141999999999997</v>
      </c>
      <c r="W6" s="58">
        <v>0.41699999999999998</v>
      </c>
      <c r="X6" s="58">
        <v>0.46400000000000002</v>
      </c>
      <c r="Y6" s="58">
        <v>1.702</v>
      </c>
      <c r="Z6" s="58">
        <v>0.69</v>
      </c>
      <c r="AA6" s="59">
        <v>1.00593</v>
      </c>
      <c r="AB6" s="59">
        <v>0.98856999999999995</v>
      </c>
      <c r="AC6" s="58">
        <v>0.22900000000000001</v>
      </c>
      <c r="AD6" s="58">
        <v>0.70199999999999996</v>
      </c>
      <c r="AE6" s="58">
        <v>5.1999999999999998E-2</v>
      </c>
      <c r="AF6" s="58">
        <v>5.3999999999999999E-2</v>
      </c>
      <c r="AG6" s="58">
        <v>0.04</v>
      </c>
      <c r="AH6" s="58">
        <v>1.7050000000000001</v>
      </c>
      <c r="AI6" s="58">
        <v>0.69499999999999995</v>
      </c>
      <c r="AJ6" s="59">
        <v>1.00973</v>
      </c>
      <c r="AK6" s="59">
        <v>0.99687000000000003</v>
      </c>
      <c r="AL6" s="58">
        <v>5.1999999999999998E-2</v>
      </c>
      <c r="AM6" s="58">
        <v>5.6000000000000001E-2</v>
      </c>
      <c r="AN6" s="58">
        <v>5.5E-2</v>
      </c>
      <c r="AO6" s="58">
        <v>0.312</v>
      </c>
      <c r="AP6" s="58">
        <v>3.1139999999999999</v>
      </c>
      <c r="AQ6" s="58">
        <v>3.13</v>
      </c>
      <c r="AR6" s="58">
        <v>9.1999999999999998E-2</v>
      </c>
      <c r="AS6" s="58">
        <v>8.1000000000000003E-2</v>
      </c>
      <c r="AT6" s="58">
        <v>0.09</v>
      </c>
      <c r="AU6" s="58">
        <v>8.6999999999999994E-2</v>
      </c>
      <c r="AV6" s="58">
        <v>8.8999999999999996E-2</v>
      </c>
      <c r="AW6" s="58">
        <v>8.7999999999999995E-2</v>
      </c>
      <c r="AX6" s="58">
        <v>8.5999999999999993E-2</v>
      </c>
      <c r="AY6" s="58">
        <v>8.7999999999999995E-2</v>
      </c>
      <c r="AZ6" s="58">
        <v>8.8999999999999996E-2</v>
      </c>
      <c r="BA6" s="58">
        <v>8.8999999999999996E-2</v>
      </c>
      <c r="BB6" s="58">
        <v>0.09</v>
      </c>
      <c r="BC6" s="58">
        <v>8.8999999999999996E-2</v>
      </c>
      <c r="BD6" s="58">
        <v>8.6999999999999994E-2</v>
      </c>
      <c r="BE6" s="58">
        <v>8.7999999999999995E-2</v>
      </c>
      <c r="BF6" s="58">
        <v>4.7E-2</v>
      </c>
      <c r="BG6" s="58">
        <v>0.311</v>
      </c>
      <c r="BH6" s="58">
        <v>0.33500000000000002</v>
      </c>
      <c r="BI6" s="58">
        <v>0.33100000000000002</v>
      </c>
      <c r="BJ6" s="58">
        <v>4.2000000000000003E-2</v>
      </c>
      <c r="BK6" s="58">
        <v>4.4999999999999998E-2</v>
      </c>
      <c r="BL6" s="58">
        <v>1.0999999999999999E-2</v>
      </c>
      <c r="BM6" s="58">
        <v>2.0070000000000001</v>
      </c>
      <c r="BN6" s="58">
        <v>0.33500000000000002</v>
      </c>
      <c r="BO6" s="59">
        <v>0.99560000000000004</v>
      </c>
      <c r="BP6" s="59">
        <v>0.98902999999999996</v>
      </c>
      <c r="BQ6" s="58">
        <v>8.8999999999999996E-2</v>
      </c>
      <c r="BR6" s="58">
        <v>0.39900000000000002</v>
      </c>
    </row>
    <row r="7" spans="1:70" ht="15.95" customHeight="1" x14ac:dyDescent="0.25">
      <c r="A7" s="58" t="s">
        <v>157</v>
      </c>
      <c r="B7" s="58">
        <v>95.47</v>
      </c>
      <c r="C7" s="58">
        <v>145</v>
      </c>
      <c r="D7" s="58">
        <v>163</v>
      </c>
      <c r="E7" s="58">
        <v>72.64</v>
      </c>
      <c r="F7" s="58">
        <v>160.19999999999999</v>
      </c>
      <c r="G7" s="58">
        <v>93.09</v>
      </c>
      <c r="H7" s="59">
        <v>1.0284199999999999</v>
      </c>
      <c r="I7" s="59">
        <v>1.00003</v>
      </c>
      <c r="J7" s="58">
        <v>81.650000000000006</v>
      </c>
      <c r="K7" s="58">
        <v>71.48</v>
      </c>
      <c r="L7" s="58">
        <v>68.12</v>
      </c>
      <c r="M7" s="58">
        <v>1.577</v>
      </c>
      <c r="N7" s="58">
        <v>13.22</v>
      </c>
      <c r="O7" s="58">
        <v>169.7</v>
      </c>
      <c r="P7" s="58">
        <v>1.3220000000000001</v>
      </c>
      <c r="Q7" s="58">
        <v>1.5029999999999999</v>
      </c>
      <c r="R7" s="58">
        <v>1.3919999999999999</v>
      </c>
      <c r="S7" s="58">
        <v>1.5449999999999999</v>
      </c>
      <c r="T7" s="58">
        <v>0.44600000000000001</v>
      </c>
      <c r="U7" s="59">
        <v>1.02058</v>
      </c>
      <c r="V7" s="59">
        <v>0.99248999999999998</v>
      </c>
      <c r="W7" s="58">
        <v>0.68</v>
      </c>
      <c r="X7" s="58">
        <v>0.73099999999999998</v>
      </c>
      <c r="Y7" s="58">
        <v>3.3769999999999998</v>
      </c>
      <c r="Z7" s="58">
        <v>1.3720000000000001</v>
      </c>
      <c r="AA7" s="59">
        <v>1.0321800000000001</v>
      </c>
      <c r="AB7" s="59">
        <v>1.0018</v>
      </c>
      <c r="AC7" s="58">
        <v>0.45600000000000002</v>
      </c>
      <c r="AD7" s="58">
        <v>1.41</v>
      </c>
      <c r="AE7" s="58">
        <v>0.109</v>
      </c>
      <c r="AF7" s="58">
        <v>0.105</v>
      </c>
      <c r="AG7" s="58">
        <v>7.8E-2</v>
      </c>
      <c r="AH7" s="58">
        <v>4.4059999999999997</v>
      </c>
      <c r="AI7" s="58">
        <v>1.3460000000000001</v>
      </c>
      <c r="AJ7" s="59">
        <v>1.02867</v>
      </c>
      <c r="AK7" s="59">
        <v>1.00448</v>
      </c>
      <c r="AL7" s="58">
        <v>0.104</v>
      </c>
      <c r="AM7" s="58">
        <v>0.107</v>
      </c>
      <c r="AN7" s="58">
        <v>0.108</v>
      </c>
      <c r="AO7" s="58">
        <v>0.61899999999999999</v>
      </c>
      <c r="AP7" s="58">
        <v>6.1779999999999999</v>
      </c>
      <c r="AQ7" s="58">
        <v>6.2240000000000002</v>
      </c>
      <c r="AR7" s="58">
        <v>0.184</v>
      </c>
      <c r="AS7" s="58">
        <v>0.17100000000000001</v>
      </c>
      <c r="AT7" s="58">
        <v>0.17799999999999999</v>
      </c>
      <c r="AU7" s="58">
        <v>0.17599999999999999</v>
      </c>
      <c r="AV7" s="58">
        <v>0.16700000000000001</v>
      </c>
      <c r="AW7" s="58">
        <v>0.17699999999999999</v>
      </c>
      <c r="AX7" s="58">
        <v>0.16900000000000001</v>
      </c>
      <c r="AY7" s="58">
        <v>0.17399999999999999</v>
      </c>
      <c r="AZ7" s="58">
        <v>0.17299999999999999</v>
      </c>
      <c r="BA7" s="58">
        <v>0.17399999999999999</v>
      </c>
      <c r="BB7" s="58">
        <v>0.17199999999999999</v>
      </c>
      <c r="BC7" s="58">
        <v>0.17399999999999999</v>
      </c>
      <c r="BD7" s="58">
        <v>0.17499999999999999</v>
      </c>
      <c r="BE7" s="58">
        <v>0.17499999999999999</v>
      </c>
      <c r="BF7" s="58">
        <v>9.2999999999999999E-2</v>
      </c>
      <c r="BG7" s="58">
        <v>0.61799999999999999</v>
      </c>
      <c r="BH7" s="58">
        <v>0.64800000000000002</v>
      </c>
      <c r="BI7" s="58">
        <v>0.65800000000000003</v>
      </c>
      <c r="BJ7" s="58">
        <v>8.2000000000000003E-2</v>
      </c>
      <c r="BK7" s="58">
        <v>9.0999999999999998E-2</v>
      </c>
      <c r="BL7" s="58">
        <v>0.03</v>
      </c>
      <c r="BM7" s="58">
        <v>3.976</v>
      </c>
      <c r="BN7" s="58">
        <v>0.67</v>
      </c>
      <c r="BO7" s="59">
        <v>1.0027999999999999</v>
      </c>
      <c r="BP7" s="59">
        <v>0.99617</v>
      </c>
      <c r="BQ7" s="58">
        <v>0.17699999999999999</v>
      </c>
      <c r="BR7" s="58">
        <v>0.79100000000000004</v>
      </c>
    </row>
    <row r="8" spans="1:70" ht="15.95" customHeight="1" x14ac:dyDescent="0.25">
      <c r="A8" s="58" t="s">
        <v>151</v>
      </c>
      <c r="B8" s="58">
        <v>380.1</v>
      </c>
      <c r="C8" s="58">
        <v>769.4</v>
      </c>
      <c r="D8" s="58">
        <v>757.9</v>
      </c>
      <c r="E8" s="58">
        <v>339.3</v>
      </c>
      <c r="F8" s="58">
        <v>736.5</v>
      </c>
      <c r="G8" s="58">
        <v>457.5</v>
      </c>
      <c r="H8" s="59">
        <v>1.05447</v>
      </c>
      <c r="I8" s="59">
        <v>1.0070600000000001</v>
      </c>
      <c r="J8" s="58">
        <v>447.2</v>
      </c>
      <c r="K8" s="58">
        <v>360.6</v>
      </c>
      <c r="L8" s="58">
        <v>331.1</v>
      </c>
      <c r="M8" s="58">
        <v>7.3730000000000002</v>
      </c>
      <c r="N8" s="58">
        <v>64.209999999999994</v>
      </c>
      <c r="O8" s="58">
        <v>851.1</v>
      </c>
      <c r="P8" s="58">
        <v>6.5750000000000002</v>
      </c>
      <c r="Q8" s="58">
        <v>7.0679999999999996</v>
      </c>
      <c r="R8" s="58">
        <v>6.944</v>
      </c>
      <c r="S8" s="58">
        <v>9.859</v>
      </c>
      <c r="T8" s="58">
        <v>2.2240000000000002</v>
      </c>
      <c r="U8" s="59">
        <v>1.0457799999999999</v>
      </c>
      <c r="V8" s="59">
        <v>0.98828000000000005</v>
      </c>
      <c r="W8" s="58">
        <v>3.22</v>
      </c>
      <c r="X8" s="58">
        <v>3.3450000000000002</v>
      </c>
      <c r="Y8" s="58">
        <v>16.41</v>
      </c>
      <c r="Z8" s="58">
        <v>6.71</v>
      </c>
      <c r="AA8" s="59">
        <v>1.0676000000000001</v>
      </c>
      <c r="AB8" s="59">
        <v>1.0121800000000001</v>
      </c>
      <c r="AC8" s="58">
        <v>2.2090000000000001</v>
      </c>
      <c r="AD8" s="58">
        <v>6.9370000000000003</v>
      </c>
      <c r="AE8" s="58">
        <v>0.51100000000000001</v>
      </c>
      <c r="AF8" s="58">
        <v>0.51600000000000001</v>
      </c>
      <c r="AG8" s="58">
        <v>0.41299999999999998</v>
      </c>
      <c r="AH8" s="58">
        <v>18.73</v>
      </c>
      <c r="AI8" s="58">
        <v>6.7089999999999996</v>
      </c>
      <c r="AJ8" s="59">
        <v>1.04695</v>
      </c>
      <c r="AK8" s="59">
        <v>0.99675000000000002</v>
      </c>
      <c r="AL8" s="58">
        <v>0.503</v>
      </c>
      <c r="AM8" s="58">
        <v>0.49199999999999999</v>
      </c>
      <c r="AN8" s="58">
        <v>0.53500000000000003</v>
      </c>
      <c r="AO8" s="58">
        <v>3.08</v>
      </c>
      <c r="AP8" s="58">
        <v>30.31</v>
      </c>
      <c r="AQ8" s="58">
        <v>30.34</v>
      </c>
      <c r="AR8" s="58">
        <v>0.88700000000000001</v>
      </c>
      <c r="AS8" s="58">
        <v>0.872</v>
      </c>
      <c r="AT8" s="58">
        <v>0.872</v>
      </c>
      <c r="AU8" s="58">
        <v>0.875</v>
      </c>
      <c r="AV8" s="58">
        <v>0.874</v>
      </c>
      <c r="AW8" s="58">
        <v>0.85799999999999998</v>
      </c>
      <c r="AX8" s="58">
        <v>0.85399999999999998</v>
      </c>
      <c r="AY8" s="58">
        <v>0.86599999999999999</v>
      </c>
      <c r="AZ8" s="58">
        <v>0.85099999999999998</v>
      </c>
      <c r="BA8" s="58">
        <v>0.86799999999999999</v>
      </c>
      <c r="BB8" s="58">
        <v>0.85399999999999998</v>
      </c>
      <c r="BC8" s="58">
        <v>0.86899999999999999</v>
      </c>
      <c r="BD8" s="58">
        <v>0.86</v>
      </c>
      <c r="BE8" s="58">
        <v>0.86499999999999999</v>
      </c>
      <c r="BF8" s="58">
        <v>0.47799999999999998</v>
      </c>
      <c r="BG8" s="58">
        <v>3.0779999999999998</v>
      </c>
      <c r="BH8" s="58">
        <v>3.2719999999999998</v>
      </c>
      <c r="BI8" s="58">
        <v>3.2909999999999999</v>
      </c>
      <c r="BJ8" s="58">
        <v>0.41399999999999998</v>
      </c>
      <c r="BK8" s="58">
        <v>0.46200000000000002</v>
      </c>
      <c r="BL8" s="58">
        <v>0.48599999999999999</v>
      </c>
      <c r="BM8" s="58">
        <v>19.52</v>
      </c>
      <c r="BN8" s="58">
        <v>3.2509999999999999</v>
      </c>
      <c r="BO8" s="59">
        <v>1.01678</v>
      </c>
      <c r="BP8" s="59">
        <v>0.98682000000000003</v>
      </c>
      <c r="BQ8" s="58">
        <v>0.86799999999999999</v>
      </c>
      <c r="BR8" s="58">
        <v>3.9060000000000001</v>
      </c>
    </row>
    <row r="9" spans="1:70" ht="15.95" customHeight="1" x14ac:dyDescent="0.25">
      <c r="A9" s="58" t="s">
        <v>152</v>
      </c>
      <c r="B9" s="58">
        <v>749</v>
      </c>
      <c r="C9" s="58">
        <v>1548</v>
      </c>
      <c r="D9" s="58">
        <v>1507</v>
      </c>
      <c r="E9" s="58">
        <v>682.4</v>
      </c>
      <c r="F9" s="58">
        <v>1493</v>
      </c>
      <c r="G9" s="58">
        <v>881.2</v>
      </c>
      <c r="H9" s="59">
        <v>1.0884799999999999</v>
      </c>
      <c r="I9" s="59">
        <v>1.0165599999999999</v>
      </c>
      <c r="J9" s="58">
        <v>907.2</v>
      </c>
      <c r="K9" s="58">
        <v>725.4</v>
      </c>
      <c r="L9" s="58">
        <v>671.4</v>
      </c>
      <c r="M9" s="58">
        <v>14.86</v>
      </c>
      <c r="N9" s="58">
        <v>140.69999999999999</v>
      </c>
      <c r="O9" s="58">
        <v>1656</v>
      </c>
      <c r="P9" s="58">
        <v>13.38</v>
      </c>
      <c r="Q9" s="58">
        <v>14.32</v>
      </c>
      <c r="R9" s="58">
        <v>14.07</v>
      </c>
      <c r="S9" s="58">
        <v>13.69</v>
      </c>
      <c r="T9" s="58">
        <v>4.49</v>
      </c>
      <c r="U9" s="59">
        <v>1.07524</v>
      </c>
      <c r="V9" s="59">
        <v>1.0000100000000001</v>
      </c>
      <c r="W9" s="58">
        <v>6.46</v>
      </c>
      <c r="X9" s="58">
        <v>6.702</v>
      </c>
      <c r="Y9" s="58">
        <v>33.340000000000003</v>
      </c>
      <c r="Z9" s="58">
        <v>13.64</v>
      </c>
      <c r="AA9" s="59">
        <v>1.0868800000000001</v>
      </c>
      <c r="AB9" s="59">
        <v>1.01698</v>
      </c>
      <c r="AC9" s="58">
        <v>4.5590000000000002</v>
      </c>
      <c r="AD9" s="58">
        <v>14.18</v>
      </c>
      <c r="AE9" s="58">
        <v>1.0549999999999999</v>
      </c>
      <c r="AF9" s="58">
        <v>1.0629999999999999</v>
      </c>
      <c r="AG9" s="58">
        <v>0.84499999999999997</v>
      </c>
      <c r="AH9" s="58">
        <v>46.17</v>
      </c>
      <c r="AI9" s="58">
        <v>13.66</v>
      </c>
      <c r="AJ9" s="59">
        <v>1.06595</v>
      </c>
      <c r="AK9" s="59">
        <v>0.99863999999999997</v>
      </c>
      <c r="AL9" s="58">
        <v>1.0029999999999999</v>
      </c>
      <c r="AM9" s="58">
        <v>1.0069999999999999</v>
      </c>
      <c r="AN9" s="58">
        <v>1.0329999999999999</v>
      </c>
      <c r="AO9" s="58">
        <v>6.2220000000000004</v>
      </c>
      <c r="AP9" s="58">
        <v>61.63</v>
      </c>
      <c r="AQ9" s="58">
        <v>61.28</v>
      </c>
      <c r="AR9" s="58">
        <v>1.796</v>
      </c>
      <c r="AS9" s="58">
        <v>1.778</v>
      </c>
      <c r="AT9" s="58">
        <v>1.79</v>
      </c>
      <c r="AU9" s="58">
        <v>1.7809999999999999</v>
      </c>
      <c r="AV9" s="58">
        <v>1.778</v>
      </c>
      <c r="AW9" s="58">
        <v>1.7629999999999999</v>
      </c>
      <c r="AX9" s="58">
        <v>1.752</v>
      </c>
      <c r="AY9" s="58">
        <v>1.768</v>
      </c>
      <c r="AZ9" s="58">
        <v>1.754</v>
      </c>
      <c r="BA9" s="58">
        <v>1.7749999999999999</v>
      </c>
      <c r="BB9" s="58">
        <v>1.7509999999999999</v>
      </c>
      <c r="BC9" s="58">
        <v>1.7689999999999999</v>
      </c>
      <c r="BD9" s="58">
        <v>1.7549999999999999</v>
      </c>
      <c r="BE9" s="58">
        <v>1.784</v>
      </c>
      <c r="BF9" s="58">
        <v>0.97899999999999998</v>
      </c>
      <c r="BG9" s="58">
        <v>6.4029999999999996</v>
      </c>
      <c r="BH9" s="58">
        <v>6.6509999999999998</v>
      </c>
      <c r="BI9" s="58">
        <v>6.6970000000000001</v>
      </c>
      <c r="BJ9" s="58">
        <v>0.81499999999999995</v>
      </c>
      <c r="BK9" s="58">
        <v>0.91100000000000003</v>
      </c>
      <c r="BL9" s="58">
        <v>0.874</v>
      </c>
      <c r="BM9" s="58">
        <v>39.47</v>
      </c>
      <c r="BN9" s="58">
        <v>6.6790000000000003</v>
      </c>
      <c r="BO9" s="59">
        <v>1.0284599999999999</v>
      </c>
      <c r="BP9" s="59">
        <v>0.98087000000000002</v>
      </c>
      <c r="BQ9" s="58">
        <v>1.7709999999999999</v>
      </c>
      <c r="BR9" s="58">
        <v>7.952</v>
      </c>
    </row>
    <row r="10" spans="1:70" ht="15.95" customHeight="1" x14ac:dyDescent="0.25">
      <c r="A10" s="58" t="s">
        <v>153</v>
      </c>
      <c r="B10" s="58">
        <v>6428</v>
      </c>
      <c r="C10" s="58">
        <v>13630</v>
      </c>
      <c r="D10" s="58">
        <v>13180</v>
      </c>
      <c r="E10" s="58">
        <v>6463</v>
      </c>
      <c r="F10" s="58">
        <v>13250</v>
      </c>
      <c r="G10" s="58">
        <v>8155</v>
      </c>
      <c r="H10" s="59">
        <v>1.2299</v>
      </c>
      <c r="I10" s="59">
        <v>1.1201300000000001</v>
      </c>
      <c r="J10" s="58">
        <v>8153</v>
      </c>
      <c r="K10" s="58">
        <v>6477</v>
      </c>
      <c r="L10" s="58">
        <v>6484</v>
      </c>
      <c r="M10" s="58">
        <v>132</v>
      </c>
      <c r="N10" s="58">
        <v>1285</v>
      </c>
      <c r="O10" s="58">
        <v>14270</v>
      </c>
      <c r="P10" s="58">
        <v>131.19999999999999</v>
      </c>
      <c r="Q10" s="58">
        <v>131.69999999999999</v>
      </c>
      <c r="R10" s="58">
        <v>131.9</v>
      </c>
      <c r="S10" s="58">
        <v>132.5</v>
      </c>
      <c r="T10" s="58">
        <v>42.66</v>
      </c>
      <c r="U10" s="59">
        <v>1.1010599999999999</v>
      </c>
      <c r="V10" s="59">
        <v>1.0179800000000001</v>
      </c>
      <c r="W10" s="58">
        <v>63.09</v>
      </c>
      <c r="X10" s="58">
        <v>63.06</v>
      </c>
      <c r="Y10" s="58">
        <v>322</v>
      </c>
      <c r="Z10" s="58">
        <v>129.30000000000001</v>
      </c>
      <c r="AA10" s="59">
        <v>1.2475099999999999</v>
      </c>
      <c r="AB10" s="59">
        <v>1.1266700000000001</v>
      </c>
      <c r="AC10" s="58">
        <v>41.66</v>
      </c>
      <c r="AD10" s="58">
        <v>129.9</v>
      </c>
      <c r="AE10" s="58">
        <v>9.9039999999999999</v>
      </c>
      <c r="AF10" s="58">
        <v>9.9030000000000005</v>
      </c>
      <c r="AG10" s="58">
        <v>9.93</v>
      </c>
      <c r="AH10" s="58">
        <v>407.8</v>
      </c>
      <c r="AI10" s="58">
        <v>131.6</v>
      </c>
      <c r="AJ10" s="59">
        <v>1.09144</v>
      </c>
      <c r="AK10" s="59">
        <v>0.99773999999999996</v>
      </c>
      <c r="AL10" s="58">
        <v>9.9090000000000007</v>
      </c>
      <c r="AM10" s="58">
        <v>9.91</v>
      </c>
      <c r="AN10" s="58">
        <v>9.9049999999999994</v>
      </c>
      <c r="AO10" s="58">
        <v>63.41</v>
      </c>
      <c r="AP10" s="58">
        <v>649.1</v>
      </c>
      <c r="AQ10" s="58">
        <v>649.1</v>
      </c>
      <c r="AR10" s="58">
        <v>17.68</v>
      </c>
      <c r="AS10" s="58">
        <v>17.68</v>
      </c>
      <c r="AT10" s="58">
        <v>17.68</v>
      </c>
      <c r="AU10" s="58">
        <v>17.68</v>
      </c>
      <c r="AV10" s="58">
        <v>17.68</v>
      </c>
      <c r="AW10" s="58">
        <v>17.690000000000001</v>
      </c>
      <c r="AX10" s="58">
        <v>17.690000000000001</v>
      </c>
      <c r="AY10" s="58">
        <v>17.690000000000001</v>
      </c>
      <c r="AZ10" s="58">
        <v>17.690000000000001</v>
      </c>
      <c r="BA10" s="58">
        <v>17.690000000000001</v>
      </c>
      <c r="BB10" s="58">
        <v>17.690000000000001</v>
      </c>
      <c r="BC10" s="58">
        <v>17.690000000000001</v>
      </c>
      <c r="BD10" s="58">
        <v>17.690000000000001</v>
      </c>
      <c r="BE10" s="58">
        <v>17.68</v>
      </c>
      <c r="BF10" s="58">
        <v>9.9130000000000003</v>
      </c>
      <c r="BG10" s="58">
        <v>65.02</v>
      </c>
      <c r="BH10" s="58">
        <v>66.45</v>
      </c>
      <c r="BI10" s="58">
        <v>66.45</v>
      </c>
      <c r="BJ10" s="58">
        <v>9.9329999999999998</v>
      </c>
      <c r="BK10" s="58">
        <v>9.9209999999999994</v>
      </c>
      <c r="BL10" s="58">
        <v>9.9239999999999995</v>
      </c>
      <c r="BM10" s="58">
        <v>421.9</v>
      </c>
      <c r="BN10" s="58">
        <v>65.34</v>
      </c>
      <c r="BO10" s="59">
        <v>1.0230699999999999</v>
      </c>
      <c r="BP10" s="59">
        <v>0.98233999999999999</v>
      </c>
      <c r="BQ10" s="58">
        <v>17.690000000000001</v>
      </c>
      <c r="BR10" s="58">
        <v>83.6</v>
      </c>
    </row>
    <row r="11" spans="1:70" ht="15.95" customHeight="1" x14ac:dyDescent="0.25">
      <c r="A11" s="58" t="s">
        <v>70</v>
      </c>
      <c r="B11" s="58">
        <v>0.38800000000000001</v>
      </c>
      <c r="C11" s="58">
        <v>6.0000000000000001E-3</v>
      </c>
      <c r="D11" s="58">
        <v>-7.1999999999999995E-2</v>
      </c>
      <c r="E11" s="58">
        <v>-3.581</v>
      </c>
      <c r="F11" s="58">
        <v>-4.0990000000000002</v>
      </c>
      <c r="G11" s="58">
        <v>-1.542</v>
      </c>
      <c r="H11" s="59">
        <v>1.09579</v>
      </c>
      <c r="I11" s="59">
        <v>1.03287</v>
      </c>
      <c r="J11" s="58">
        <v>0.02</v>
      </c>
      <c r="K11" s="58">
        <v>0.25900000000000001</v>
      </c>
      <c r="L11" s="58">
        <v>-0.03</v>
      </c>
      <c r="M11" s="58">
        <v>-0.01</v>
      </c>
      <c r="N11" s="58">
        <v>-0.05</v>
      </c>
      <c r="O11" s="58">
        <v>0.17799999999999999</v>
      </c>
      <c r="P11" s="58">
        <v>-1E-3</v>
      </c>
      <c r="Q11" s="58">
        <v>-1E-3</v>
      </c>
      <c r="R11" s="58">
        <v>-2E-3</v>
      </c>
      <c r="S11" s="58">
        <v>-4.4169999999999998</v>
      </c>
      <c r="T11" s="58">
        <v>0</v>
      </c>
      <c r="U11" s="59">
        <v>1.1077900000000001</v>
      </c>
      <c r="V11" s="59">
        <v>1.01139</v>
      </c>
      <c r="W11" s="58">
        <v>1.0999999999999999E-2</v>
      </c>
      <c r="X11" s="58">
        <v>-8.2000000000000003E-2</v>
      </c>
      <c r="Y11" s="58">
        <v>1.9E-2</v>
      </c>
      <c r="Z11" s="58">
        <v>-1.2E-2</v>
      </c>
      <c r="AA11" s="59">
        <v>1.1150899999999999</v>
      </c>
      <c r="AB11" s="59">
        <v>1.0272300000000001</v>
      </c>
      <c r="AC11" s="58">
        <v>1E-3</v>
      </c>
      <c r="AD11" s="58">
        <v>0.47699999999999998</v>
      </c>
      <c r="AE11" s="58">
        <v>0</v>
      </c>
      <c r="AF11" s="58">
        <v>0</v>
      </c>
      <c r="AG11" s="58">
        <v>1E-3</v>
      </c>
      <c r="AH11" s="58">
        <v>5.0229999999999997</v>
      </c>
      <c r="AI11" s="58">
        <v>1E-3</v>
      </c>
      <c r="AJ11" s="59">
        <v>1.07751</v>
      </c>
      <c r="AK11" s="59">
        <v>1.0266200000000001</v>
      </c>
      <c r="AL11" s="58">
        <v>-4.0000000000000001E-3</v>
      </c>
      <c r="AM11" s="58">
        <v>0</v>
      </c>
      <c r="AN11" s="58">
        <v>1E-3</v>
      </c>
      <c r="AO11" s="58">
        <v>3.0000000000000001E-3</v>
      </c>
      <c r="AP11" s="58">
        <v>4.0000000000000001E-3</v>
      </c>
      <c r="AQ11" s="58">
        <v>4.0000000000000001E-3</v>
      </c>
      <c r="AR11" s="58">
        <v>0</v>
      </c>
      <c r="AS11" s="58">
        <v>-1.2999999999999999E-2</v>
      </c>
      <c r="AT11" s="58">
        <v>0</v>
      </c>
      <c r="AU11" s="58">
        <v>0</v>
      </c>
      <c r="AV11" s="58">
        <v>0</v>
      </c>
      <c r="AW11" s="58">
        <v>0</v>
      </c>
      <c r="AX11" s="58">
        <v>0</v>
      </c>
      <c r="AY11" s="58">
        <v>0</v>
      </c>
      <c r="AZ11" s="58">
        <v>0</v>
      </c>
      <c r="BA11" s="58">
        <v>0</v>
      </c>
      <c r="BB11" s="58">
        <v>0</v>
      </c>
      <c r="BC11" s="58">
        <v>0</v>
      </c>
      <c r="BD11" s="58">
        <v>0</v>
      </c>
      <c r="BE11" s="58">
        <v>0</v>
      </c>
      <c r="BF11" s="58">
        <v>0</v>
      </c>
      <c r="BG11" s="58">
        <v>7.4999999999999997E-2</v>
      </c>
      <c r="BH11" s="58">
        <v>1E-3</v>
      </c>
      <c r="BI11" s="58">
        <v>1E-3</v>
      </c>
      <c r="BJ11" s="58">
        <v>1E-3</v>
      </c>
      <c r="BK11" s="58">
        <v>1E-3</v>
      </c>
      <c r="BL11" s="58">
        <v>1.4999999999999999E-2</v>
      </c>
      <c r="BM11" s="58">
        <v>6.0000000000000001E-3</v>
      </c>
      <c r="BN11" s="58">
        <v>2E-3</v>
      </c>
      <c r="BO11" s="59">
        <v>1.03793</v>
      </c>
      <c r="BP11" s="59">
        <v>1.0175000000000001</v>
      </c>
      <c r="BQ11" s="58">
        <v>0</v>
      </c>
      <c r="BR11" s="58">
        <v>2E-3</v>
      </c>
    </row>
    <row r="12" spans="1:70" ht="15.95" customHeight="1" x14ac:dyDescent="0.25">
      <c r="A12" s="58" t="s">
        <v>71</v>
      </c>
      <c r="B12" s="58">
        <v>373.3</v>
      </c>
      <c r="C12" s="58">
        <v>756.6</v>
      </c>
      <c r="D12" s="58">
        <v>755.4</v>
      </c>
      <c r="E12" s="58">
        <v>324.2</v>
      </c>
      <c r="F12" s="58">
        <v>735.4</v>
      </c>
      <c r="G12" s="58">
        <v>439.2</v>
      </c>
      <c r="H12" s="59">
        <v>1.1596599999999999</v>
      </c>
      <c r="I12" s="59">
        <v>1.0988899999999999</v>
      </c>
      <c r="J12" s="58">
        <v>448</v>
      </c>
      <c r="K12" s="58">
        <v>357.2</v>
      </c>
      <c r="L12" s="58">
        <v>317.10000000000002</v>
      </c>
      <c r="M12" s="58">
        <v>7.0039999999999996</v>
      </c>
      <c r="N12" s="58">
        <v>61.3</v>
      </c>
      <c r="O12" s="58">
        <v>855.8</v>
      </c>
      <c r="P12" s="58">
        <v>6.4189999999999996</v>
      </c>
      <c r="Q12" s="58">
        <v>6.9690000000000003</v>
      </c>
      <c r="R12" s="58">
        <v>6.8550000000000004</v>
      </c>
      <c r="S12" s="58">
        <v>9.4909999999999997</v>
      </c>
      <c r="T12" s="58">
        <v>2.1930000000000001</v>
      </c>
      <c r="U12" s="59">
        <v>1.1736599999999999</v>
      </c>
      <c r="V12" s="59">
        <v>1.03545</v>
      </c>
      <c r="W12" s="58">
        <v>3.0219999999999998</v>
      </c>
      <c r="X12" s="58">
        <v>3.133</v>
      </c>
      <c r="Y12" s="58">
        <v>15.75</v>
      </c>
      <c r="Z12" s="58">
        <v>6.3659999999999997</v>
      </c>
      <c r="AA12" s="59">
        <v>1.1882999999999999</v>
      </c>
      <c r="AB12" s="59">
        <v>1.1008500000000001</v>
      </c>
      <c r="AC12" s="58">
        <v>2.129</v>
      </c>
      <c r="AD12" s="58">
        <v>6.63</v>
      </c>
      <c r="AE12" s="58">
        <v>0.49299999999999999</v>
      </c>
      <c r="AF12" s="58">
        <v>0.505</v>
      </c>
      <c r="AG12" s="58">
        <v>0.39800000000000002</v>
      </c>
      <c r="AH12" s="58">
        <v>18.010000000000002</v>
      </c>
      <c r="AI12" s="58">
        <v>6.41</v>
      </c>
      <c r="AJ12" s="59">
        <v>1.11551</v>
      </c>
      <c r="AK12" s="59">
        <v>1.08199</v>
      </c>
      <c r="AL12" s="58">
        <v>0.46700000000000003</v>
      </c>
      <c r="AM12" s="58">
        <v>0.46300000000000002</v>
      </c>
      <c r="AN12" s="58">
        <v>0.47499999999999998</v>
      </c>
      <c r="AO12" s="58">
        <v>2.8879999999999999</v>
      </c>
      <c r="AP12" s="58">
        <v>28.37</v>
      </c>
      <c r="AQ12" s="58">
        <v>28.46</v>
      </c>
      <c r="AR12" s="58">
        <v>0.83699999999999997</v>
      </c>
      <c r="AS12" s="58">
        <v>0.81299999999999994</v>
      </c>
      <c r="AT12" s="58">
        <v>0.81699999999999995</v>
      </c>
      <c r="AU12" s="58">
        <v>0.81499999999999995</v>
      </c>
      <c r="AV12" s="58">
        <v>0.81399999999999995</v>
      </c>
      <c r="AW12" s="58">
        <v>0.80700000000000005</v>
      </c>
      <c r="AX12" s="58">
        <v>0.81299999999999994</v>
      </c>
      <c r="AY12" s="58">
        <v>0.81499999999999995</v>
      </c>
      <c r="AZ12" s="58">
        <v>0.80700000000000005</v>
      </c>
      <c r="BA12" s="58">
        <v>0.81499999999999995</v>
      </c>
      <c r="BB12" s="58">
        <v>0.8</v>
      </c>
      <c r="BC12" s="58">
        <v>0.80900000000000005</v>
      </c>
      <c r="BD12" s="58">
        <v>0.80400000000000005</v>
      </c>
      <c r="BE12" s="58">
        <v>0.80700000000000005</v>
      </c>
      <c r="BF12" s="58">
        <v>0.44400000000000001</v>
      </c>
      <c r="BG12" s="58">
        <v>2.883</v>
      </c>
      <c r="BH12" s="58">
        <v>3.044</v>
      </c>
      <c r="BI12" s="58">
        <v>3.1440000000000001</v>
      </c>
      <c r="BJ12" s="58">
        <v>0.38700000000000001</v>
      </c>
      <c r="BK12" s="58">
        <v>0.43</v>
      </c>
      <c r="BL12" s="58">
        <v>0.47</v>
      </c>
      <c r="BM12" s="58">
        <v>18.71</v>
      </c>
      <c r="BN12" s="58">
        <v>3.032</v>
      </c>
      <c r="BO12" s="59">
        <v>1.0449600000000001</v>
      </c>
      <c r="BP12" s="59">
        <v>1.06159</v>
      </c>
      <c r="BQ12" s="58">
        <v>0.82799999999999996</v>
      </c>
      <c r="BR12" s="58">
        <v>3.5819999999999999</v>
      </c>
    </row>
    <row r="13" spans="1:70" ht="15.95" customHeight="1" x14ac:dyDescent="0.25">
      <c r="A13" s="58" t="s">
        <v>72</v>
      </c>
      <c r="B13" s="58">
        <v>328.5</v>
      </c>
      <c r="C13" s="58">
        <v>5799</v>
      </c>
      <c r="D13" s="58">
        <v>339.1</v>
      </c>
      <c r="E13" s="58">
        <v>2748</v>
      </c>
      <c r="F13" s="58">
        <v>42720</v>
      </c>
      <c r="G13" s="58">
        <v>54260</v>
      </c>
      <c r="H13" s="59">
        <v>1.2986899999999999</v>
      </c>
      <c r="I13" s="59">
        <v>1.1355999999999999</v>
      </c>
      <c r="J13" s="58">
        <v>290.7</v>
      </c>
      <c r="K13" s="58">
        <v>13.09</v>
      </c>
      <c r="L13" s="58">
        <v>25.65</v>
      </c>
      <c r="M13" s="58">
        <v>3.1680000000000001</v>
      </c>
      <c r="N13" s="58">
        <v>102.2</v>
      </c>
      <c r="O13" s="58">
        <v>399</v>
      </c>
      <c r="P13" s="58">
        <v>0.28000000000000003</v>
      </c>
      <c r="Q13" s="58">
        <v>3.4380000000000002</v>
      </c>
      <c r="R13" s="58">
        <v>47.33</v>
      </c>
      <c r="S13" s="58">
        <v>52.75</v>
      </c>
      <c r="T13" s="58">
        <v>1.056</v>
      </c>
      <c r="U13" s="59">
        <v>1.1798900000000001</v>
      </c>
      <c r="V13" s="59">
        <v>1.01115</v>
      </c>
      <c r="W13" s="58">
        <v>0.184</v>
      </c>
      <c r="X13" s="58">
        <v>10.65</v>
      </c>
      <c r="Y13" s="58">
        <v>24.61</v>
      </c>
      <c r="Z13" s="58">
        <v>223.6</v>
      </c>
      <c r="AA13" s="59">
        <v>1.2782800000000001</v>
      </c>
      <c r="AB13" s="59">
        <v>1.1553</v>
      </c>
      <c r="AC13" s="58">
        <v>5.7000000000000002E-2</v>
      </c>
      <c r="AD13" s="58">
        <v>1.121</v>
      </c>
      <c r="AE13" s="58">
        <v>1E-3</v>
      </c>
      <c r="AF13" s="58">
        <v>4.0000000000000001E-3</v>
      </c>
      <c r="AG13" s="58">
        <v>6.3E-2</v>
      </c>
      <c r="AH13" s="58">
        <v>0.85699999999999998</v>
      </c>
      <c r="AI13" s="58">
        <v>0.28000000000000003</v>
      </c>
      <c r="AJ13" s="59">
        <v>1.1836</v>
      </c>
      <c r="AK13" s="59">
        <v>1.12391</v>
      </c>
      <c r="AL13" s="58">
        <v>4.7430000000000003</v>
      </c>
      <c r="AM13" s="58">
        <v>4.2000000000000003E-2</v>
      </c>
      <c r="AN13" s="58">
        <v>1E-3</v>
      </c>
      <c r="AO13" s="58">
        <v>0.38400000000000001</v>
      </c>
      <c r="AP13" s="58">
        <v>27.27</v>
      </c>
      <c r="AQ13" s="58">
        <v>27.34</v>
      </c>
      <c r="AR13" s="58">
        <v>0.35699999999999998</v>
      </c>
      <c r="AS13" s="58">
        <v>0.67300000000000004</v>
      </c>
      <c r="AT13" s="58">
        <v>8.2000000000000003E-2</v>
      </c>
      <c r="AU13" s="58">
        <v>0.30099999999999999</v>
      </c>
      <c r="AV13" s="58">
        <v>5.6000000000000001E-2</v>
      </c>
      <c r="AW13" s="58">
        <v>1.4E-2</v>
      </c>
      <c r="AX13" s="58">
        <v>5.0999999999999997E-2</v>
      </c>
      <c r="AY13" s="58">
        <v>7.0000000000000001E-3</v>
      </c>
      <c r="AZ13" s="58">
        <v>3.6999999999999998E-2</v>
      </c>
      <c r="BA13" s="58">
        <v>7.0000000000000001E-3</v>
      </c>
      <c r="BB13" s="58">
        <v>0.02</v>
      </c>
      <c r="BC13" s="58">
        <v>3.0000000000000001E-3</v>
      </c>
      <c r="BD13" s="58">
        <v>1.7999999999999999E-2</v>
      </c>
      <c r="BE13" s="58">
        <v>3.0000000000000001E-3</v>
      </c>
      <c r="BF13" s="58">
        <v>1E-3</v>
      </c>
      <c r="BG13" s="58">
        <v>0.16200000000000001</v>
      </c>
      <c r="BH13" s="58">
        <v>0.38300000000000001</v>
      </c>
      <c r="BI13" s="58">
        <v>0.39200000000000002</v>
      </c>
      <c r="BJ13" s="58">
        <v>1E-3</v>
      </c>
      <c r="BK13" s="58">
        <v>1E-3</v>
      </c>
      <c r="BL13" s="58">
        <v>0.189</v>
      </c>
      <c r="BM13" s="58">
        <v>5.0000000000000001E-3</v>
      </c>
      <c r="BN13" s="58">
        <v>1.873</v>
      </c>
      <c r="BO13" s="59">
        <v>1.03579</v>
      </c>
      <c r="BP13" s="59">
        <v>1.04765</v>
      </c>
      <c r="BQ13" s="58">
        <v>0.107</v>
      </c>
      <c r="BR13" s="58">
        <v>2.1000000000000001E-2</v>
      </c>
    </row>
    <row r="14" spans="1:70" ht="15.95" customHeight="1" x14ac:dyDescent="0.25">
      <c r="A14" s="58" t="s">
        <v>73</v>
      </c>
      <c r="B14" s="58">
        <v>203.5</v>
      </c>
      <c r="C14" s="58">
        <v>4960</v>
      </c>
      <c r="D14" s="58">
        <v>323.8</v>
      </c>
      <c r="E14" s="58">
        <v>3401</v>
      </c>
      <c r="F14" s="58">
        <v>55950</v>
      </c>
      <c r="G14" s="58">
        <v>41300</v>
      </c>
      <c r="H14" s="59">
        <v>1.2097899999999999</v>
      </c>
      <c r="I14" s="59">
        <v>1.09263</v>
      </c>
      <c r="J14" s="58">
        <v>224.4</v>
      </c>
      <c r="K14" s="58">
        <v>11.38</v>
      </c>
      <c r="L14" s="58">
        <v>26.78</v>
      </c>
      <c r="M14" s="58">
        <v>3.6059999999999999</v>
      </c>
      <c r="N14" s="58">
        <v>95.35</v>
      </c>
      <c r="O14" s="58">
        <v>382.4</v>
      </c>
      <c r="P14" s="58">
        <v>0.32300000000000001</v>
      </c>
      <c r="Q14" s="58">
        <v>2.383</v>
      </c>
      <c r="R14" s="58">
        <v>23.89</v>
      </c>
      <c r="S14" s="58">
        <v>10.78</v>
      </c>
      <c r="T14" s="58">
        <v>0.751</v>
      </c>
      <c r="U14" s="59">
        <v>1.1189499999999999</v>
      </c>
      <c r="V14" s="59">
        <v>0.98748000000000002</v>
      </c>
      <c r="W14" s="58">
        <v>8.5999999999999993E-2</v>
      </c>
      <c r="X14" s="58">
        <v>12.94</v>
      </c>
      <c r="Y14" s="58">
        <v>23.1</v>
      </c>
      <c r="Z14" s="58">
        <v>111.8</v>
      </c>
      <c r="AA14" s="59">
        <v>1.20112</v>
      </c>
      <c r="AB14" s="59">
        <v>1.1119300000000001</v>
      </c>
      <c r="AC14" s="58">
        <v>5.6000000000000001E-2</v>
      </c>
      <c r="AD14" s="58">
        <v>0.92600000000000005</v>
      </c>
      <c r="AE14" s="58">
        <v>1E-3</v>
      </c>
      <c r="AF14" s="58">
        <v>3.0000000000000001E-3</v>
      </c>
      <c r="AG14" s="58">
        <v>3.2000000000000001E-2</v>
      </c>
      <c r="AH14" s="58">
        <v>0.24</v>
      </c>
      <c r="AI14" s="58">
        <v>0.159</v>
      </c>
      <c r="AJ14" s="59">
        <v>1.1215299999999999</v>
      </c>
      <c r="AK14" s="59">
        <v>1.0903400000000001</v>
      </c>
      <c r="AL14" s="58">
        <v>2.5659999999999998</v>
      </c>
      <c r="AM14" s="58">
        <v>4.7E-2</v>
      </c>
      <c r="AN14" s="58">
        <v>3.0000000000000001E-3</v>
      </c>
      <c r="AO14" s="58">
        <v>0.309</v>
      </c>
      <c r="AP14" s="58">
        <v>19.399999999999999</v>
      </c>
      <c r="AQ14" s="58">
        <v>19.45</v>
      </c>
      <c r="AR14" s="58">
        <v>0.28000000000000003</v>
      </c>
      <c r="AS14" s="58">
        <v>0.54100000000000004</v>
      </c>
      <c r="AT14" s="58">
        <v>6.7000000000000004E-2</v>
      </c>
      <c r="AU14" s="58">
        <v>0.246</v>
      </c>
      <c r="AV14" s="58">
        <v>4.7E-2</v>
      </c>
      <c r="AW14" s="58">
        <v>1.2E-2</v>
      </c>
      <c r="AX14" s="58">
        <v>4.2000000000000003E-2</v>
      </c>
      <c r="AY14" s="58">
        <v>6.0000000000000001E-3</v>
      </c>
      <c r="AZ14" s="58">
        <v>3.2000000000000001E-2</v>
      </c>
      <c r="BA14" s="58">
        <v>6.0000000000000001E-3</v>
      </c>
      <c r="BB14" s="58">
        <v>1.7000000000000001E-2</v>
      </c>
      <c r="BC14" s="58">
        <v>2E-3</v>
      </c>
      <c r="BD14" s="58">
        <v>1.6E-2</v>
      </c>
      <c r="BE14" s="58">
        <v>2E-3</v>
      </c>
      <c r="BF14" s="58">
        <v>1E-3</v>
      </c>
      <c r="BG14" s="58">
        <v>0.12</v>
      </c>
      <c r="BH14" s="58">
        <v>0.34300000000000003</v>
      </c>
      <c r="BI14" s="58">
        <v>0.35499999999999998</v>
      </c>
      <c r="BJ14" s="58">
        <v>0</v>
      </c>
      <c r="BK14" s="58">
        <v>0</v>
      </c>
      <c r="BL14" s="58">
        <v>0.2</v>
      </c>
      <c r="BM14" s="58">
        <v>8.0000000000000002E-3</v>
      </c>
      <c r="BN14" s="58">
        <v>1.6279999999999999</v>
      </c>
      <c r="BO14" s="59">
        <v>1.0024999999999999</v>
      </c>
      <c r="BP14" s="59">
        <v>1.03782</v>
      </c>
      <c r="BQ14" s="58">
        <v>6.7000000000000004E-2</v>
      </c>
      <c r="BR14" s="58">
        <v>1.7999999999999999E-2</v>
      </c>
    </row>
    <row r="15" spans="1:70" ht="15.95" customHeight="1" x14ac:dyDescent="0.25">
      <c r="A15" s="58" t="s">
        <v>74</v>
      </c>
      <c r="B15" s="58">
        <v>136.69999999999999</v>
      </c>
      <c r="C15" s="58">
        <v>4049</v>
      </c>
      <c r="D15" s="58">
        <v>337.9</v>
      </c>
      <c r="E15" s="58">
        <v>2815</v>
      </c>
      <c r="F15" s="58">
        <v>56590</v>
      </c>
      <c r="G15" s="58">
        <v>34900</v>
      </c>
      <c r="H15" s="59">
        <v>1.2309699999999999</v>
      </c>
      <c r="I15" s="59">
        <v>1.1269199999999999</v>
      </c>
      <c r="J15" s="58">
        <v>196.4</v>
      </c>
      <c r="K15" s="58">
        <v>11.26</v>
      </c>
      <c r="L15" s="58">
        <v>25.58</v>
      </c>
      <c r="M15" s="58">
        <v>3.1989999999999998</v>
      </c>
      <c r="N15" s="58">
        <v>94.44</v>
      </c>
      <c r="O15" s="58">
        <v>403.6</v>
      </c>
      <c r="P15" s="58">
        <v>0.39300000000000002</v>
      </c>
      <c r="Q15" s="58">
        <v>5.9480000000000004</v>
      </c>
      <c r="R15" s="58">
        <v>32.340000000000003</v>
      </c>
      <c r="S15" s="58">
        <v>9.0790000000000006</v>
      </c>
      <c r="T15" s="58">
        <v>0.26500000000000001</v>
      </c>
      <c r="U15" s="59">
        <v>1.11405</v>
      </c>
      <c r="V15" s="59">
        <v>1.0040500000000001</v>
      </c>
      <c r="W15" s="58">
        <v>0.104</v>
      </c>
      <c r="X15" s="58">
        <v>7.6980000000000004</v>
      </c>
      <c r="Y15" s="58">
        <v>33.770000000000003</v>
      </c>
      <c r="Z15" s="58">
        <v>81.27</v>
      </c>
      <c r="AA15" s="59">
        <v>1.20408</v>
      </c>
      <c r="AB15" s="59">
        <v>1.1451100000000001</v>
      </c>
      <c r="AC15" s="58">
        <v>4.8000000000000001E-2</v>
      </c>
      <c r="AD15" s="58">
        <v>0.4</v>
      </c>
      <c r="AE15" s="58">
        <v>1E-3</v>
      </c>
      <c r="AF15" s="58">
        <v>2E-3</v>
      </c>
      <c r="AG15" s="58">
        <v>2.3E-2</v>
      </c>
      <c r="AH15" s="58">
        <v>0.151</v>
      </c>
      <c r="AI15" s="58">
        <v>8.2000000000000003E-2</v>
      </c>
      <c r="AJ15" s="59">
        <v>1.11981</v>
      </c>
      <c r="AK15" s="59">
        <v>1.12517</v>
      </c>
      <c r="AL15" s="58">
        <v>1.373</v>
      </c>
      <c r="AM15" s="58">
        <v>4.2000000000000003E-2</v>
      </c>
      <c r="AN15" s="58">
        <v>0</v>
      </c>
      <c r="AO15" s="58">
        <v>0.247</v>
      </c>
      <c r="AP15" s="58">
        <v>5.9009999999999998</v>
      </c>
      <c r="AQ15" s="58">
        <v>5.9359999999999999</v>
      </c>
      <c r="AR15" s="58">
        <v>0.28799999999999998</v>
      </c>
      <c r="AS15" s="58">
        <v>0.55300000000000005</v>
      </c>
      <c r="AT15" s="58">
        <v>6.9000000000000006E-2</v>
      </c>
      <c r="AU15" s="58">
        <v>0.255</v>
      </c>
      <c r="AV15" s="58">
        <v>4.9000000000000002E-2</v>
      </c>
      <c r="AW15" s="58">
        <v>0.01</v>
      </c>
      <c r="AX15" s="58">
        <v>4.2999999999999997E-2</v>
      </c>
      <c r="AY15" s="58">
        <v>6.0000000000000001E-3</v>
      </c>
      <c r="AZ15" s="58">
        <v>3.1E-2</v>
      </c>
      <c r="BA15" s="58">
        <v>6.0000000000000001E-3</v>
      </c>
      <c r="BB15" s="58">
        <v>1.7000000000000001E-2</v>
      </c>
      <c r="BC15" s="58">
        <v>2E-3</v>
      </c>
      <c r="BD15" s="58">
        <v>1.4E-2</v>
      </c>
      <c r="BE15" s="58">
        <v>2E-3</v>
      </c>
      <c r="BF15" s="58">
        <v>1E-3</v>
      </c>
      <c r="BG15" s="58">
        <v>9.7000000000000003E-2</v>
      </c>
      <c r="BH15" s="58">
        <v>0.23400000000000001</v>
      </c>
      <c r="BI15" s="58">
        <v>0.24199999999999999</v>
      </c>
      <c r="BJ15" s="58">
        <v>0</v>
      </c>
      <c r="BK15" s="58">
        <v>0</v>
      </c>
      <c r="BL15" s="58">
        <v>0.14199999999999999</v>
      </c>
      <c r="BM15" s="58">
        <v>4.0000000000000001E-3</v>
      </c>
      <c r="BN15" s="58">
        <v>0.68</v>
      </c>
      <c r="BO15" s="59">
        <v>0.99731000000000003</v>
      </c>
      <c r="BP15" s="59">
        <v>1.0577700000000001</v>
      </c>
      <c r="BQ15" s="58">
        <v>8.1000000000000003E-2</v>
      </c>
      <c r="BR15" s="58">
        <v>1.7000000000000001E-2</v>
      </c>
    </row>
    <row r="16" spans="1:70" ht="15.95" customHeight="1" x14ac:dyDescent="0.25">
      <c r="A16" s="58" t="s">
        <v>75</v>
      </c>
      <c r="B16" s="58">
        <v>189.9</v>
      </c>
      <c r="C16" s="58">
        <v>3999</v>
      </c>
      <c r="D16" s="58">
        <v>263.8</v>
      </c>
      <c r="E16" s="58">
        <v>2644</v>
      </c>
      <c r="F16" s="58">
        <v>77770</v>
      </c>
      <c r="G16" s="58">
        <v>26220</v>
      </c>
      <c r="H16" s="59">
        <v>1.25549</v>
      </c>
      <c r="I16" s="59">
        <v>1.16791</v>
      </c>
      <c r="J16" s="58">
        <v>124.3</v>
      </c>
      <c r="K16" s="58">
        <v>10.38</v>
      </c>
      <c r="L16" s="58">
        <v>27.93</v>
      </c>
      <c r="M16" s="58">
        <v>3.9710000000000001</v>
      </c>
      <c r="N16" s="58">
        <v>40.619999999999997</v>
      </c>
      <c r="O16" s="58">
        <v>335</v>
      </c>
      <c r="P16" s="58">
        <v>0.22</v>
      </c>
      <c r="Q16" s="58">
        <v>2.379</v>
      </c>
      <c r="R16" s="58">
        <v>15.31</v>
      </c>
      <c r="S16" s="58">
        <v>8.2100000000000009</v>
      </c>
      <c r="T16" s="58">
        <v>0.86099999999999999</v>
      </c>
      <c r="U16" s="59">
        <v>1.1423399999999999</v>
      </c>
      <c r="V16" s="59">
        <v>1.03291</v>
      </c>
      <c r="W16" s="58">
        <v>0.111</v>
      </c>
      <c r="X16" s="58">
        <v>2.6320000000000001</v>
      </c>
      <c r="Y16" s="58">
        <v>10.18</v>
      </c>
      <c r="Z16" s="58">
        <v>292.2</v>
      </c>
      <c r="AA16" s="59">
        <v>1.2208300000000001</v>
      </c>
      <c r="AB16" s="59">
        <v>1.1735100000000001</v>
      </c>
      <c r="AC16" s="58">
        <v>4.3999999999999997E-2</v>
      </c>
      <c r="AD16" s="58">
        <v>0.82299999999999995</v>
      </c>
      <c r="AE16" s="58">
        <v>2E-3</v>
      </c>
      <c r="AF16" s="58">
        <v>6.0000000000000001E-3</v>
      </c>
      <c r="AG16" s="58">
        <v>7.3999999999999996E-2</v>
      </c>
      <c r="AH16" s="58">
        <v>0.14799999999999999</v>
      </c>
      <c r="AI16" s="58">
        <v>7.8E-2</v>
      </c>
      <c r="AJ16" s="59">
        <v>1.1276299999999999</v>
      </c>
      <c r="AK16" s="59">
        <v>1.14838</v>
      </c>
      <c r="AL16" s="58">
        <v>1.4950000000000001</v>
      </c>
      <c r="AM16" s="58">
        <v>4.7E-2</v>
      </c>
      <c r="AN16" s="58">
        <v>3.0000000000000001E-3</v>
      </c>
      <c r="AO16" s="58">
        <v>7.0000000000000007E-2</v>
      </c>
      <c r="AP16" s="58">
        <v>22.15</v>
      </c>
      <c r="AQ16" s="58">
        <v>22.26</v>
      </c>
      <c r="AR16" s="58">
        <v>0.29199999999999998</v>
      </c>
      <c r="AS16" s="58">
        <v>0.54300000000000004</v>
      </c>
      <c r="AT16" s="58">
        <v>6.5000000000000002E-2</v>
      </c>
      <c r="AU16" s="58">
        <v>0.24</v>
      </c>
      <c r="AV16" s="58">
        <v>4.5999999999999999E-2</v>
      </c>
      <c r="AW16" s="58">
        <v>1.2E-2</v>
      </c>
      <c r="AX16" s="58">
        <v>4.2000000000000003E-2</v>
      </c>
      <c r="AY16" s="58">
        <v>6.0000000000000001E-3</v>
      </c>
      <c r="AZ16" s="58">
        <v>0.03</v>
      </c>
      <c r="BA16" s="58">
        <v>6.0000000000000001E-3</v>
      </c>
      <c r="BB16" s="58">
        <v>1.6E-2</v>
      </c>
      <c r="BC16" s="58">
        <v>2E-3</v>
      </c>
      <c r="BD16" s="58">
        <v>1.2E-2</v>
      </c>
      <c r="BE16" s="58">
        <v>2E-3</v>
      </c>
      <c r="BF16" s="58">
        <v>1E-3</v>
      </c>
      <c r="BG16" s="58">
        <v>0.104</v>
      </c>
      <c r="BH16" s="58">
        <v>9.8000000000000004E-2</v>
      </c>
      <c r="BI16" s="58">
        <v>0.10100000000000001</v>
      </c>
      <c r="BJ16" s="58">
        <v>0</v>
      </c>
      <c r="BK16" s="58">
        <v>0</v>
      </c>
      <c r="BL16" s="58">
        <v>0.11600000000000001</v>
      </c>
      <c r="BM16" s="58">
        <v>3.0000000000000001E-3</v>
      </c>
      <c r="BN16" s="58">
        <v>0.58099999999999996</v>
      </c>
      <c r="BO16" s="59">
        <v>1.00718</v>
      </c>
      <c r="BP16" s="59">
        <v>1.0771299999999999</v>
      </c>
      <c r="BQ16" s="58">
        <v>8.1000000000000003E-2</v>
      </c>
      <c r="BR16" s="58">
        <v>1.6E-2</v>
      </c>
    </row>
    <row r="17" spans="1:70" ht="15.95" customHeight="1" x14ac:dyDescent="0.25">
      <c r="A17" s="58" t="s">
        <v>76</v>
      </c>
      <c r="B17" s="58">
        <v>252.1</v>
      </c>
      <c r="C17" s="58">
        <v>4486</v>
      </c>
      <c r="D17" s="58">
        <v>296.3</v>
      </c>
      <c r="E17" s="58">
        <v>2836</v>
      </c>
      <c r="F17" s="58">
        <v>50930</v>
      </c>
      <c r="G17" s="58">
        <v>45190</v>
      </c>
      <c r="H17" s="59">
        <v>1.29996</v>
      </c>
      <c r="I17" s="59">
        <v>1.2014</v>
      </c>
      <c r="J17" s="58">
        <v>242.6</v>
      </c>
      <c r="K17" s="58">
        <v>11.14</v>
      </c>
      <c r="L17" s="58">
        <v>28.92</v>
      </c>
      <c r="M17" s="58">
        <v>4.016</v>
      </c>
      <c r="N17" s="58">
        <v>70.760000000000005</v>
      </c>
      <c r="O17" s="58">
        <v>352.8</v>
      </c>
      <c r="P17" s="58">
        <v>0.32200000000000001</v>
      </c>
      <c r="Q17" s="58">
        <v>3.5920000000000001</v>
      </c>
      <c r="R17" s="58">
        <v>34.44</v>
      </c>
      <c r="S17" s="58">
        <v>19.75</v>
      </c>
      <c r="T17" s="58">
        <v>1.1950000000000001</v>
      </c>
      <c r="U17" s="59">
        <v>1.1666799999999999</v>
      </c>
      <c r="V17" s="59">
        <v>1.04664</v>
      </c>
      <c r="W17" s="58">
        <v>0.111</v>
      </c>
      <c r="X17" s="58">
        <v>6.9029999999999996</v>
      </c>
      <c r="Y17" s="58">
        <v>19.579999999999998</v>
      </c>
      <c r="Z17" s="58">
        <v>115.4</v>
      </c>
      <c r="AA17" s="59">
        <v>1.26135</v>
      </c>
      <c r="AB17" s="59">
        <v>1.21217</v>
      </c>
      <c r="AC17" s="58">
        <v>3.5999999999999997E-2</v>
      </c>
      <c r="AD17" s="58">
        <v>0.55200000000000005</v>
      </c>
      <c r="AE17" s="58">
        <v>1E-3</v>
      </c>
      <c r="AF17" s="58">
        <v>2E-3</v>
      </c>
      <c r="AG17" s="58">
        <v>3.4000000000000002E-2</v>
      </c>
      <c r="AH17" s="58">
        <v>0.10199999999999999</v>
      </c>
      <c r="AI17" s="58">
        <v>0.11899999999999999</v>
      </c>
      <c r="AJ17" s="59">
        <v>1.1643600000000001</v>
      </c>
      <c r="AK17" s="59">
        <v>1.1833100000000001</v>
      </c>
      <c r="AL17" s="58">
        <v>2.3879999999999999</v>
      </c>
      <c r="AM17" s="58">
        <v>5.2999999999999999E-2</v>
      </c>
      <c r="AN17" s="58">
        <v>2E-3</v>
      </c>
      <c r="AO17" s="58">
        <v>0.16700000000000001</v>
      </c>
      <c r="AP17" s="58">
        <v>30.55</v>
      </c>
      <c r="AQ17" s="58">
        <v>30.66</v>
      </c>
      <c r="AR17" s="58">
        <v>0.254</v>
      </c>
      <c r="AS17" s="58">
        <v>0.48599999999999999</v>
      </c>
      <c r="AT17" s="58">
        <v>5.8999999999999997E-2</v>
      </c>
      <c r="AU17" s="58">
        <v>0.224</v>
      </c>
      <c r="AV17" s="58">
        <v>0.04</v>
      </c>
      <c r="AW17" s="58">
        <v>1.2999999999999999E-2</v>
      </c>
      <c r="AX17" s="58">
        <v>3.6999999999999998E-2</v>
      </c>
      <c r="AY17" s="58">
        <v>5.0000000000000001E-3</v>
      </c>
      <c r="AZ17" s="58">
        <v>2.7E-2</v>
      </c>
      <c r="BA17" s="58">
        <v>5.0000000000000001E-3</v>
      </c>
      <c r="BB17" s="58">
        <v>1.4E-2</v>
      </c>
      <c r="BC17" s="58">
        <v>2E-3</v>
      </c>
      <c r="BD17" s="58">
        <v>1.2999999999999999E-2</v>
      </c>
      <c r="BE17" s="58">
        <v>2E-3</v>
      </c>
      <c r="BF17" s="58">
        <v>0</v>
      </c>
      <c r="BG17" s="58">
        <v>7.0999999999999994E-2</v>
      </c>
      <c r="BH17" s="58">
        <v>0.20200000000000001</v>
      </c>
      <c r="BI17" s="58">
        <v>0.20899999999999999</v>
      </c>
      <c r="BJ17" s="58">
        <v>0</v>
      </c>
      <c r="BK17" s="58">
        <v>0</v>
      </c>
      <c r="BL17" s="58">
        <v>0.182</v>
      </c>
      <c r="BM17" s="58">
        <v>4.0000000000000001E-3</v>
      </c>
      <c r="BN17" s="58">
        <v>1.091</v>
      </c>
      <c r="BO17" s="59">
        <v>1.02857</v>
      </c>
      <c r="BP17" s="59">
        <v>1.09779</v>
      </c>
      <c r="BQ17" s="58">
        <v>0.06</v>
      </c>
      <c r="BR17" s="58">
        <v>1.2E-2</v>
      </c>
    </row>
    <row r="18" spans="1:70" ht="15.95" customHeight="1" x14ac:dyDescent="0.25">
      <c r="A18" s="58" t="s">
        <v>77</v>
      </c>
      <c r="B18" s="58">
        <v>343.7</v>
      </c>
      <c r="C18" s="58">
        <v>2890</v>
      </c>
      <c r="D18" s="58">
        <v>460.7</v>
      </c>
      <c r="E18" s="58">
        <v>2360</v>
      </c>
      <c r="F18" s="58">
        <v>54950</v>
      </c>
      <c r="G18" s="58">
        <v>31780</v>
      </c>
      <c r="H18" s="59">
        <v>1.2691699999999999</v>
      </c>
      <c r="I18" s="59">
        <v>1.1868700000000001</v>
      </c>
      <c r="J18" s="58">
        <v>198.9</v>
      </c>
      <c r="K18" s="58">
        <v>18.170000000000002</v>
      </c>
      <c r="L18" s="58">
        <v>30.02</v>
      </c>
      <c r="M18" s="58">
        <v>3.6680000000000001</v>
      </c>
      <c r="N18" s="58">
        <v>37.17</v>
      </c>
      <c r="O18" s="58">
        <v>581</v>
      </c>
      <c r="P18" s="58">
        <v>0.34799999999999998</v>
      </c>
      <c r="Q18" s="58">
        <v>2.8740000000000001</v>
      </c>
      <c r="R18" s="58">
        <v>42.12</v>
      </c>
      <c r="S18" s="58">
        <v>40.229999999999997</v>
      </c>
      <c r="T18" s="58">
        <v>0.76400000000000001</v>
      </c>
      <c r="U18" s="59">
        <v>1.1457299999999999</v>
      </c>
      <c r="V18" s="59">
        <v>1.0391900000000001</v>
      </c>
      <c r="W18" s="58">
        <v>0.20599999999999999</v>
      </c>
      <c r="X18" s="58">
        <v>4.6829999999999998</v>
      </c>
      <c r="Y18" s="58">
        <v>15.05</v>
      </c>
      <c r="Z18" s="58">
        <v>134.1</v>
      </c>
      <c r="AA18" s="59">
        <v>1.2425900000000001</v>
      </c>
      <c r="AB18" s="59">
        <v>1.1988099999999999</v>
      </c>
      <c r="AC18" s="58">
        <v>0.105</v>
      </c>
      <c r="AD18" s="58">
        <v>0.64400000000000002</v>
      </c>
      <c r="AE18" s="58">
        <v>1E-3</v>
      </c>
      <c r="AF18" s="58">
        <v>3.0000000000000001E-3</v>
      </c>
      <c r="AG18" s="58">
        <v>3.5999999999999997E-2</v>
      </c>
      <c r="AH18" s="58">
        <v>0.32100000000000001</v>
      </c>
      <c r="AI18" s="58">
        <v>0.41899999999999998</v>
      </c>
      <c r="AJ18" s="59">
        <v>1.1368499999999999</v>
      </c>
      <c r="AK18" s="59">
        <v>1.17092</v>
      </c>
      <c r="AL18" s="58">
        <v>1.494</v>
      </c>
      <c r="AM18" s="58">
        <v>0.17100000000000001</v>
      </c>
      <c r="AN18" s="58">
        <v>3.0000000000000001E-3</v>
      </c>
      <c r="AO18" s="58">
        <v>0.10199999999999999</v>
      </c>
      <c r="AP18" s="58">
        <v>18.77</v>
      </c>
      <c r="AQ18" s="58">
        <v>18.84</v>
      </c>
      <c r="AR18" s="58">
        <v>0.376</v>
      </c>
      <c r="AS18" s="58">
        <v>0.73299999999999998</v>
      </c>
      <c r="AT18" s="58">
        <v>8.5999999999999993E-2</v>
      </c>
      <c r="AU18" s="58">
        <v>0.33900000000000002</v>
      </c>
      <c r="AV18" s="58">
        <v>7.0000000000000007E-2</v>
      </c>
      <c r="AW18" s="58">
        <v>1.9E-2</v>
      </c>
      <c r="AX18" s="58">
        <v>8.5999999999999993E-2</v>
      </c>
      <c r="AY18" s="58">
        <v>1.7999999999999999E-2</v>
      </c>
      <c r="AZ18" s="58">
        <v>0.122</v>
      </c>
      <c r="BA18" s="58">
        <v>2.5999999999999999E-2</v>
      </c>
      <c r="BB18" s="58">
        <v>8.5000000000000006E-2</v>
      </c>
      <c r="BC18" s="58">
        <v>1.4E-2</v>
      </c>
      <c r="BD18" s="58">
        <v>9.9000000000000005E-2</v>
      </c>
      <c r="BE18" s="58">
        <v>1.4E-2</v>
      </c>
      <c r="BF18" s="58">
        <v>1.2999999999999999E-2</v>
      </c>
      <c r="BG18" s="58">
        <v>9.9000000000000005E-2</v>
      </c>
      <c r="BH18" s="58">
        <v>0.189</v>
      </c>
      <c r="BI18" s="58">
        <v>0.19600000000000001</v>
      </c>
      <c r="BJ18" s="58">
        <v>0</v>
      </c>
      <c r="BK18" s="58">
        <v>2E-3</v>
      </c>
      <c r="BL18" s="58">
        <v>0.11899999999999999</v>
      </c>
      <c r="BM18" s="58">
        <v>6.0000000000000001E-3</v>
      </c>
      <c r="BN18" s="58">
        <v>3.274</v>
      </c>
      <c r="BO18" s="59">
        <v>1.0173399999999999</v>
      </c>
      <c r="BP18" s="59">
        <v>1.09575</v>
      </c>
      <c r="BQ18" s="58">
        <v>0.158</v>
      </c>
      <c r="BR18" s="58">
        <v>6.0999999999999999E-2</v>
      </c>
    </row>
    <row r="19" spans="1:70" ht="15.95" customHeight="1" x14ac:dyDescent="0.25">
      <c r="A19" s="58" t="s">
        <v>78</v>
      </c>
      <c r="B19" s="58">
        <v>312.89999999999998</v>
      </c>
      <c r="C19" s="58">
        <v>3958</v>
      </c>
      <c r="D19" s="58">
        <v>414.5</v>
      </c>
      <c r="E19" s="58">
        <v>1856</v>
      </c>
      <c r="F19" s="58">
        <v>30150</v>
      </c>
      <c r="G19" s="58">
        <v>65430</v>
      </c>
      <c r="H19" s="59">
        <v>1.2935700000000001</v>
      </c>
      <c r="I19" s="59">
        <v>1.19292</v>
      </c>
      <c r="J19" s="58">
        <v>348.5</v>
      </c>
      <c r="K19" s="58">
        <v>15.63</v>
      </c>
      <c r="L19" s="58">
        <v>32.47</v>
      </c>
      <c r="M19" s="58">
        <v>4.1539999999999999</v>
      </c>
      <c r="N19" s="58">
        <v>131.30000000000001</v>
      </c>
      <c r="O19" s="58">
        <v>500.8</v>
      </c>
      <c r="P19" s="58">
        <v>0.317</v>
      </c>
      <c r="Q19" s="58">
        <v>3.8</v>
      </c>
      <c r="R19" s="58">
        <v>36.479999999999997</v>
      </c>
      <c r="S19" s="58">
        <v>23.27</v>
      </c>
      <c r="T19" s="58">
        <v>1.04</v>
      </c>
      <c r="U19" s="59">
        <v>1.17012</v>
      </c>
      <c r="V19" s="59">
        <v>1.0459000000000001</v>
      </c>
      <c r="W19" s="58">
        <v>0.14699999999999999</v>
      </c>
      <c r="X19" s="58">
        <v>4.5090000000000003</v>
      </c>
      <c r="Y19" s="58">
        <v>16.66</v>
      </c>
      <c r="Z19" s="58">
        <v>254.5</v>
      </c>
      <c r="AA19" s="59">
        <v>1.2512700000000001</v>
      </c>
      <c r="AB19" s="59">
        <v>1.2012400000000001</v>
      </c>
      <c r="AC19" s="58">
        <v>0.05</v>
      </c>
      <c r="AD19" s="58">
        <v>0.49299999999999999</v>
      </c>
      <c r="AE19" s="58">
        <v>1E-3</v>
      </c>
      <c r="AF19" s="58">
        <v>5.0000000000000001E-3</v>
      </c>
      <c r="AG19" s="58">
        <v>6.7000000000000004E-2</v>
      </c>
      <c r="AH19" s="58">
        <v>0.17499999999999999</v>
      </c>
      <c r="AI19" s="58">
        <v>8.4000000000000005E-2</v>
      </c>
      <c r="AJ19" s="59">
        <v>1.1535299999999999</v>
      </c>
      <c r="AK19" s="59">
        <v>1.1778500000000001</v>
      </c>
      <c r="AL19" s="58">
        <v>2.4620000000000002</v>
      </c>
      <c r="AM19" s="58">
        <v>0.129</v>
      </c>
      <c r="AN19" s="58">
        <v>4.0000000000000001E-3</v>
      </c>
      <c r="AO19" s="58">
        <v>0.32900000000000001</v>
      </c>
      <c r="AP19" s="58">
        <v>26.37</v>
      </c>
      <c r="AQ19" s="58">
        <v>26.46</v>
      </c>
      <c r="AR19" s="58">
        <v>0.37</v>
      </c>
      <c r="AS19" s="58">
        <v>0.67600000000000005</v>
      </c>
      <c r="AT19" s="58">
        <v>0.08</v>
      </c>
      <c r="AU19" s="58">
        <v>0.30299999999999999</v>
      </c>
      <c r="AV19" s="58">
        <v>0.06</v>
      </c>
      <c r="AW19" s="58">
        <v>0.02</v>
      </c>
      <c r="AX19" s="58">
        <v>5.2999999999999999E-2</v>
      </c>
      <c r="AY19" s="58">
        <v>1.2E-2</v>
      </c>
      <c r="AZ19" s="58">
        <v>3.5999999999999997E-2</v>
      </c>
      <c r="BA19" s="58">
        <v>7.0000000000000001E-3</v>
      </c>
      <c r="BB19" s="58">
        <v>1.7999999999999999E-2</v>
      </c>
      <c r="BC19" s="58">
        <v>2E-3</v>
      </c>
      <c r="BD19" s="58">
        <v>1.4999999999999999E-2</v>
      </c>
      <c r="BE19" s="58">
        <v>2E-3</v>
      </c>
      <c r="BF19" s="58">
        <v>1E-3</v>
      </c>
      <c r="BG19" s="58">
        <v>8.4000000000000005E-2</v>
      </c>
      <c r="BH19" s="58">
        <v>0.15</v>
      </c>
      <c r="BI19" s="58">
        <v>0.154</v>
      </c>
      <c r="BJ19" s="58">
        <v>0</v>
      </c>
      <c r="BK19" s="58">
        <v>0</v>
      </c>
      <c r="BL19" s="58">
        <v>0.14000000000000001</v>
      </c>
      <c r="BM19" s="58">
        <v>6.0000000000000001E-3</v>
      </c>
      <c r="BN19" s="58">
        <v>0.76100000000000001</v>
      </c>
      <c r="BO19" s="59">
        <v>1.03179</v>
      </c>
      <c r="BP19" s="59">
        <v>1.0999699999999999</v>
      </c>
      <c r="BQ19" s="58">
        <v>8.3000000000000004E-2</v>
      </c>
      <c r="BR19" s="58">
        <v>1.4999999999999999E-2</v>
      </c>
    </row>
    <row r="20" spans="1:70" ht="15.95" customHeight="1" x14ac:dyDescent="0.25">
      <c r="A20" s="58" t="s">
        <v>79</v>
      </c>
      <c r="B20" s="58">
        <v>517.6</v>
      </c>
      <c r="C20" s="58">
        <v>4311</v>
      </c>
      <c r="D20" s="58">
        <v>462.8</v>
      </c>
      <c r="E20" s="58">
        <v>1960</v>
      </c>
      <c r="F20" s="58">
        <v>36880</v>
      </c>
      <c r="G20" s="58">
        <v>62020</v>
      </c>
      <c r="H20" s="59">
        <v>1.2765500000000001</v>
      </c>
      <c r="I20" s="59">
        <v>1.1738500000000001</v>
      </c>
      <c r="J20" s="58">
        <v>339.2</v>
      </c>
      <c r="K20" s="58">
        <v>18.64</v>
      </c>
      <c r="L20" s="58">
        <v>28.87</v>
      </c>
      <c r="M20" s="58">
        <v>3.1659999999999999</v>
      </c>
      <c r="N20" s="58">
        <v>118.3</v>
      </c>
      <c r="O20" s="58">
        <v>600.4</v>
      </c>
      <c r="P20" s="58">
        <v>0.43</v>
      </c>
      <c r="Q20" s="58">
        <v>3.2320000000000002</v>
      </c>
      <c r="R20" s="58">
        <v>38.47</v>
      </c>
      <c r="S20" s="58">
        <v>14.63</v>
      </c>
      <c r="T20" s="58">
        <v>1.3160000000000001</v>
      </c>
      <c r="U20" s="59">
        <v>1.15751</v>
      </c>
      <c r="V20" s="59">
        <v>1.0397099999999999</v>
      </c>
      <c r="W20" s="58">
        <v>0.17699999999999999</v>
      </c>
      <c r="X20" s="58">
        <v>5.5890000000000004</v>
      </c>
      <c r="Y20" s="58">
        <v>8.9109999999999996</v>
      </c>
      <c r="Z20" s="58">
        <v>280.39999999999998</v>
      </c>
      <c r="AA20" s="59">
        <v>1.2389699999999999</v>
      </c>
      <c r="AB20" s="59">
        <v>1.1853100000000001</v>
      </c>
      <c r="AC20" s="58">
        <v>6.6000000000000003E-2</v>
      </c>
      <c r="AD20" s="58">
        <v>0.54800000000000004</v>
      </c>
      <c r="AE20" s="58">
        <v>1E-3</v>
      </c>
      <c r="AF20" s="58">
        <v>5.0000000000000001E-3</v>
      </c>
      <c r="AG20" s="58">
        <v>7.1999999999999995E-2</v>
      </c>
      <c r="AH20" s="58">
        <v>0.29699999999999999</v>
      </c>
      <c r="AI20" s="58">
        <v>0.111</v>
      </c>
      <c r="AJ20" s="59">
        <v>1.1362699999999999</v>
      </c>
      <c r="AK20" s="59">
        <v>1.16211</v>
      </c>
      <c r="AL20" s="58">
        <v>1.181</v>
      </c>
      <c r="AM20" s="58">
        <v>0.18099999999999999</v>
      </c>
      <c r="AN20" s="58">
        <v>1E-3</v>
      </c>
      <c r="AO20" s="58">
        <v>9.4E-2</v>
      </c>
      <c r="AP20" s="58">
        <v>34.26</v>
      </c>
      <c r="AQ20" s="58">
        <v>34.200000000000003</v>
      </c>
      <c r="AR20" s="58">
        <v>0.41699999999999998</v>
      </c>
      <c r="AS20" s="58">
        <v>0.78600000000000003</v>
      </c>
      <c r="AT20" s="58">
        <v>9.1999999999999998E-2</v>
      </c>
      <c r="AU20" s="58">
        <v>0.33900000000000002</v>
      </c>
      <c r="AV20" s="58">
        <v>6.4000000000000001E-2</v>
      </c>
      <c r="AW20" s="58">
        <v>0.02</v>
      </c>
      <c r="AX20" s="58">
        <v>5.7000000000000002E-2</v>
      </c>
      <c r="AY20" s="58">
        <v>1.0999999999999999E-2</v>
      </c>
      <c r="AZ20" s="58">
        <v>4.2999999999999997E-2</v>
      </c>
      <c r="BA20" s="58">
        <v>8.0000000000000002E-3</v>
      </c>
      <c r="BB20" s="58">
        <v>2.1000000000000001E-2</v>
      </c>
      <c r="BC20" s="58">
        <v>3.0000000000000001E-3</v>
      </c>
      <c r="BD20" s="58">
        <v>1.9E-2</v>
      </c>
      <c r="BE20" s="58">
        <v>3.0000000000000001E-3</v>
      </c>
      <c r="BF20" s="58">
        <v>1E-3</v>
      </c>
      <c r="BG20" s="58">
        <v>0.11600000000000001</v>
      </c>
      <c r="BH20" s="58">
        <v>0.19700000000000001</v>
      </c>
      <c r="BI20" s="58">
        <v>0.2</v>
      </c>
      <c r="BJ20" s="58">
        <v>0</v>
      </c>
      <c r="BK20" s="58">
        <v>0</v>
      </c>
      <c r="BL20" s="58">
        <v>0.13200000000000001</v>
      </c>
      <c r="BM20" s="58">
        <v>4.0000000000000001E-3</v>
      </c>
      <c r="BN20" s="58">
        <v>1.075</v>
      </c>
      <c r="BO20" s="59">
        <v>1.02254</v>
      </c>
      <c r="BP20" s="59">
        <v>1.0902799999999999</v>
      </c>
      <c r="BQ20" s="58">
        <v>0.108</v>
      </c>
      <c r="BR20" s="58">
        <v>2.1000000000000001E-2</v>
      </c>
    </row>
    <row r="21" spans="1:70" ht="15.95" customHeight="1" x14ac:dyDescent="0.25">
      <c r="A21" s="58" t="s">
        <v>80</v>
      </c>
      <c r="B21" s="58">
        <v>276.60000000000002</v>
      </c>
      <c r="C21" s="58">
        <v>4758</v>
      </c>
      <c r="D21" s="58">
        <v>335.9</v>
      </c>
      <c r="E21" s="58">
        <v>2586</v>
      </c>
      <c r="F21" s="58">
        <v>36260</v>
      </c>
      <c r="G21" s="58">
        <v>39330</v>
      </c>
      <c r="H21" s="59">
        <v>1.2757499999999999</v>
      </c>
      <c r="I21" s="59">
        <v>1.17178</v>
      </c>
      <c r="J21" s="58">
        <v>218.8</v>
      </c>
      <c r="K21" s="58">
        <v>13.56</v>
      </c>
      <c r="L21" s="58">
        <v>30.5</v>
      </c>
      <c r="M21" s="58">
        <v>4.1399999999999997</v>
      </c>
      <c r="N21" s="58">
        <v>103</v>
      </c>
      <c r="O21" s="58">
        <v>447.4</v>
      </c>
      <c r="P21" s="58">
        <v>0.28899999999999998</v>
      </c>
      <c r="Q21" s="58">
        <v>3.77</v>
      </c>
      <c r="R21" s="58">
        <v>35.9</v>
      </c>
      <c r="S21" s="58">
        <v>20.74</v>
      </c>
      <c r="T21" s="58">
        <v>1.135</v>
      </c>
      <c r="U21" s="59">
        <v>1.1444799999999999</v>
      </c>
      <c r="V21" s="59">
        <v>1.0285899999999999</v>
      </c>
      <c r="W21" s="58">
        <v>0.14000000000000001</v>
      </c>
      <c r="X21" s="58">
        <v>8.8079999999999998</v>
      </c>
      <c r="Y21" s="58">
        <v>11.31</v>
      </c>
      <c r="Z21" s="58">
        <v>149.6</v>
      </c>
      <c r="AA21" s="59">
        <v>1.2361500000000001</v>
      </c>
      <c r="AB21" s="59">
        <v>1.1874100000000001</v>
      </c>
      <c r="AC21" s="58">
        <v>4.1000000000000002E-2</v>
      </c>
      <c r="AD21" s="58">
        <v>0.80900000000000005</v>
      </c>
      <c r="AE21" s="58">
        <v>0</v>
      </c>
      <c r="AF21" s="58">
        <v>3.0000000000000001E-3</v>
      </c>
      <c r="AG21" s="58">
        <v>4.3999999999999997E-2</v>
      </c>
      <c r="AH21" s="58">
        <v>0.16600000000000001</v>
      </c>
      <c r="AI21" s="58">
        <v>6.2E-2</v>
      </c>
      <c r="AJ21" s="59">
        <v>1.1372</v>
      </c>
      <c r="AK21" s="59">
        <v>1.16913</v>
      </c>
      <c r="AL21" s="58">
        <v>1.593</v>
      </c>
      <c r="AM21" s="58">
        <v>9.2999999999999999E-2</v>
      </c>
      <c r="AN21" s="58">
        <v>2E-3</v>
      </c>
      <c r="AO21" s="58">
        <v>0.114</v>
      </c>
      <c r="AP21" s="58">
        <v>28.94</v>
      </c>
      <c r="AQ21" s="58">
        <v>28.95</v>
      </c>
      <c r="AR21" s="58">
        <v>0.313</v>
      </c>
      <c r="AS21" s="58">
        <v>0.621</v>
      </c>
      <c r="AT21" s="58">
        <v>7.2999999999999995E-2</v>
      </c>
      <c r="AU21" s="58">
        <v>0.27600000000000002</v>
      </c>
      <c r="AV21" s="58">
        <v>5.2999999999999999E-2</v>
      </c>
      <c r="AW21" s="58">
        <v>1.4999999999999999E-2</v>
      </c>
      <c r="AX21" s="58">
        <v>4.8000000000000001E-2</v>
      </c>
      <c r="AY21" s="58">
        <v>8.0000000000000002E-3</v>
      </c>
      <c r="AZ21" s="58">
        <v>3.4000000000000002E-2</v>
      </c>
      <c r="BA21" s="58">
        <v>6.0000000000000001E-3</v>
      </c>
      <c r="BB21" s="58">
        <v>1.7000000000000001E-2</v>
      </c>
      <c r="BC21" s="58">
        <v>2E-3</v>
      </c>
      <c r="BD21" s="58">
        <v>1.6E-2</v>
      </c>
      <c r="BE21" s="58">
        <v>2E-3</v>
      </c>
      <c r="BF21" s="58">
        <v>1E-3</v>
      </c>
      <c r="BG21" s="58">
        <v>8.3000000000000004E-2</v>
      </c>
      <c r="BH21" s="58">
        <v>0.27400000000000002</v>
      </c>
      <c r="BI21" s="58">
        <v>0.28399999999999997</v>
      </c>
      <c r="BJ21" s="58">
        <v>0</v>
      </c>
      <c r="BK21" s="58">
        <v>0</v>
      </c>
      <c r="BL21" s="58">
        <v>6.6000000000000003E-2</v>
      </c>
      <c r="BM21" s="58">
        <v>5.0000000000000001E-3</v>
      </c>
      <c r="BN21" s="58">
        <v>2.0609999999999999</v>
      </c>
      <c r="BO21" s="59">
        <v>1.0238100000000001</v>
      </c>
      <c r="BP21" s="59">
        <v>1.09941</v>
      </c>
      <c r="BQ21" s="58">
        <v>6.7000000000000004E-2</v>
      </c>
      <c r="BR21" s="58">
        <v>1.6E-2</v>
      </c>
    </row>
    <row r="22" spans="1:70" ht="15.95" customHeight="1" x14ac:dyDescent="0.25">
      <c r="A22" s="58" t="s">
        <v>81</v>
      </c>
      <c r="B22" s="58">
        <v>153.5</v>
      </c>
      <c r="C22" s="58">
        <v>4015</v>
      </c>
      <c r="D22" s="58">
        <v>331.4</v>
      </c>
      <c r="E22" s="58">
        <v>2094</v>
      </c>
      <c r="F22" s="58">
        <v>53120</v>
      </c>
      <c r="G22" s="58">
        <v>51180</v>
      </c>
      <c r="H22" s="59">
        <v>1.23204</v>
      </c>
      <c r="I22" s="59">
        <v>1.14788</v>
      </c>
      <c r="J22" s="58">
        <v>276</v>
      </c>
      <c r="K22" s="58">
        <v>14.76</v>
      </c>
      <c r="L22" s="58">
        <v>28.46</v>
      </c>
      <c r="M22" s="58">
        <v>3.8959999999999999</v>
      </c>
      <c r="N22" s="58">
        <v>86.92</v>
      </c>
      <c r="O22" s="58">
        <v>996.9</v>
      </c>
      <c r="P22" s="58">
        <v>0.34599999999999997</v>
      </c>
      <c r="Q22" s="58">
        <v>2.92</v>
      </c>
      <c r="R22" s="58">
        <v>22.66</v>
      </c>
      <c r="S22" s="58">
        <v>30.86</v>
      </c>
      <c r="T22" s="58">
        <v>0.76800000000000002</v>
      </c>
      <c r="U22" s="59">
        <v>1.1111200000000001</v>
      </c>
      <c r="V22" s="59">
        <v>1.0131399999999999</v>
      </c>
      <c r="W22" s="58">
        <v>0.249</v>
      </c>
      <c r="X22" s="58">
        <v>12.54</v>
      </c>
      <c r="Y22" s="58">
        <v>31.97</v>
      </c>
      <c r="Z22" s="58">
        <v>153.19999999999999</v>
      </c>
      <c r="AA22" s="59">
        <v>1.1937599999999999</v>
      </c>
      <c r="AB22" s="59">
        <v>1.16378</v>
      </c>
      <c r="AC22" s="58">
        <v>4.3999999999999997E-2</v>
      </c>
      <c r="AD22" s="58">
        <v>0.86399999999999999</v>
      </c>
      <c r="AE22" s="58">
        <v>1E-3</v>
      </c>
      <c r="AF22" s="58">
        <v>3.0000000000000001E-3</v>
      </c>
      <c r="AG22" s="58">
        <v>3.7999999999999999E-2</v>
      </c>
      <c r="AH22" s="58">
        <v>0.69</v>
      </c>
      <c r="AI22" s="58">
        <v>7.0000000000000007E-2</v>
      </c>
      <c r="AJ22" s="59">
        <v>1.0971200000000001</v>
      </c>
      <c r="AK22" s="59">
        <v>1.14276</v>
      </c>
      <c r="AL22" s="58">
        <v>1.254</v>
      </c>
      <c r="AM22" s="58">
        <v>0.13700000000000001</v>
      </c>
      <c r="AN22" s="58">
        <v>3.0000000000000001E-3</v>
      </c>
      <c r="AO22" s="58">
        <v>0.21299999999999999</v>
      </c>
      <c r="AP22" s="58">
        <v>19.600000000000001</v>
      </c>
      <c r="AQ22" s="58">
        <v>19.7</v>
      </c>
      <c r="AR22" s="58">
        <v>0.35799999999999998</v>
      </c>
      <c r="AS22" s="58">
        <v>0.66</v>
      </c>
      <c r="AT22" s="58">
        <v>0.08</v>
      </c>
      <c r="AU22" s="58">
        <v>0.29799999999999999</v>
      </c>
      <c r="AV22" s="58">
        <v>0.06</v>
      </c>
      <c r="AW22" s="58">
        <v>1.4999999999999999E-2</v>
      </c>
      <c r="AX22" s="58">
        <v>5.1999999999999998E-2</v>
      </c>
      <c r="AY22" s="58">
        <v>8.0000000000000002E-3</v>
      </c>
      <c r="AZ22" s="58">
        <v>3.7999999999999999E-2</v>
      </c>
      <c r="BA22" s="58">
        <v>7.0000000000000001E-3</v>
      </c>
      <c r="BB22" s="58">
        <v>0.02</v>
      </c>
      <c r="BC22" s="58">
        <v>3.0000000000000001E-3</v>
      </c>
      <c r="BD22" s="58">
        <v>1.7999999999999999E-2</v>
      </c>
      <c r="BE22" s="58">
        <v>3.0000000000000001E-3</v>
      </c>
      <c r="BF22" s="58">
        <v>1E-3</v>
      </c>
      <c r="BG22" s="58">
        <v>8.7999999999999995E-2</v>
      </c>
      <c r="BH22" s="58">
        <v>0.13400000000000001</v>
      </c>
      <c r="BI22" s="58">
        <v>0.14000000000000001</v>
      </c>
      <c r="BJ22" s="58">
        <v>0</v>
      </c>
      <c r="BK22" s="58">
        <v>1E-3</v>
      </c>
      <c r="BL22" s="58">
        <v>0.39600000000000002</v>
      </c>
      <c r="BM22" s="58">
        <v>1.0999999999999999E-2</v>
      </c>
      <c r="BN22" s="58">
        <v>1.296</v>
      </c>
      <c r="BO22" s="59">
        <v>0.99319999999999997</v>
      </c>
      <c r="BP22" s="59">
        <v>1.0764899999999999</v>
      </c>
      <c r="BQ22" s="58">
        <v>8.5000000000000006E-2</v>
      </c>
      <c r="BR22" s="58">
        <v>1.7999999999999999E-2</v>
      </c>
    </row>
    <row r="23" spans="1:70" ht="15.95" customHeight="1" x14ac:dyDescent="0.25">
      <c r="A23" s="58" t="s">
        <v>82</v>
      </c>
      <c r="B23" s="58">
        <v>685.9</v>
      </c>
      <c r="C23" s="58">
        <v>4472</v>
      </c>
      <c r="D23" s="58">
        <v>320.7</v>
      </c>
      <c r="E23" s="58">
        <v>3977</v>
      </c>
      <c r="F23" s="58">
        <v>49550</v>
      </c>
      <c r="G23" s="58">
        <v>46030</v>
      </c>
      <c r="H23" s="59">
        <v>1.2191399999999999</v>
      </c>
      <c r="I23" s="59">
        <v>1.16032</v>
      </c>
      <c r="J23" s="58">
        <v>248.1</v>
      </c>
      <c r="K23" s="58">
        <v>11.49</v>
      </c>
      <c r="L23" s="58">
        <v>28.04</v>
      </c>
      <c r="M23" s="58">
        <v>3.8820000000000001</v>
      </c>
      <c r="N23" s="58">
        <v>105.1</v>
      </c>
      <c r="O23" s="58">
        <v>706.3</v>
      </c>
      <c r="P23" s="58">
        <v>0.34399999999999997</v>
      </c>
      <c r="Q23" s="58">
        <v>3.4990000000000001</v>
      </c>
      <c r="R23" s="58">
        <v>42.32</v>
      </c>
      <c r="S23" s="58">
        <v>18.88</v>
      </c>
      <c r="T23" s="58">
        <v>1.397</v>
      </c>
      <c r="U23" s="59">
        <v>1.10798</v>
      </c>
      <c r="V23" s="59">
        <v>1.0082</v>
      </c>
      <c r="W23" s="58">
        <v>0.20799999999999999</v>
      </c>
      <c r="X23" s="58">
        <v>19.91</v>
      </c>
      <c r="Y23" s="58">
        <v>13.03</v>
      </c>
      <c r="Z23" s="58">
        <v>225.7</v>
      </c>
      <c r="AA23" s="59">
        <v>1.18781</v>
      </c>
      <c r="AB23" s="59">
        <v>1.17526</v>
      </c>
      <c r="AC23" s="58">
        <v>3.2000000000000001E-2</v>
      </c>
      <c r="AD23" s="58">
        <v>0.98199999999999998</v>
      </c>
      <c r="AE23" s="58">
        <v>1E-3</v>
      </c>
      <c r="AF23" s="58">
        <v>4.0000000000000001E-3</v>
      </c>
      <c r="AG23" s="58">
        <v>6.0999999999999999E-2</v>
      </c>
      <c r="AH23" s="58">
        <v>0.41099999999999998</v>
      </c>
      <c r="AI23" s="58">
        <v>4.9000000000000002E-2</v>
      </c>
      <c r="AJ23" s="59">
        <v>1.0943700000000001</v>
      </c>
      <c r="AK23" s="59">
        <v>1.15509</v>
      </c>
      <c r="AL23" s="58">
        <v>1.958</v>
      </c>
      <c r="AM23" s="58">
        <v>3.3000000000000002E-2</v>
      </c>
      <c r="AN23" s="58">
        <v>1E-3</v>
      </c>
      <c r="AO23" s="58">
        <v>0.11700000000000001</v>
      </c>
      <c r="AP23" s="58">
        <v>35.909999999999997</v>
      </c>
      <c r="AQ23" s="58">
        <v>35.94</v>
      </c>
      <c r="AR23" s="58">
        <v>0.25900000000000001</v>
      </c>
      <c r="AS23" s="58">
        <v>0.496</v>
      </c>
      <c r="AT23" s="58">
        <v>0.06</v>
      </c>
      <c r="AU23" s="58">
        <v>0.22900000000000001</v>
      </c>
      <c r="AV23" s="58">
        <v>4.8000000000000001E-2</v>
      </c>
      <c r="AW23" s="58">
        <v>1.4E-2</v>
      </c>
      <c r="AX23" s="58">
        <v>4.1000000000000002E-2</v>
      </c>
      <c r="AY23" s="58">
        <v>6.0000000000000001E-3</v>
      </c>
      <c r="AZ23" s="58">
        <v>0.03</v>
      </c>
      <c r="BA23" s="58">
        <v>5.0000000000000001E-3</v>
      </c>
      <c r="BB23" s="58">
        <v>1.4E-2</v>
      </c>
      <c r="BC23" s="58">
        <v>2E-3</v>
      </c>
      <c r="BD23" s="58">
        <v>1.2E-2</v>
      </c>
      <c r="BE23" s="58">
        <v>2E-3</v>
      </c>
      <c r="BF23" s="58">
        <v>2E-3</v>
      </c>
      <c r="BG23" s="58">
        <v>0.11600000000000001</v>
      </c>
      <c r="BH23" s="58">
        <v>0.17199999999999999</v>
      </c>
      <c r="BI23" s="58">
        <v>0.17499999999999999</v>
      </c>
      <c r="BJ23" s="58">
        <v>0</v>
      </c>
      <c r="BK23" s="58">
        <v>0</v>
      </c>
      <c r="BL23" s="58">
        <v>0.13100000000000001</v>
      </c>
      <c r="BM23" s="58">
        <v>5.0000000000000001E-3</v>
      </c>
      <c r="BN23" s="58">
        <v>1.1200000000000001</v>
      </c>
      <c r="BO23" s="59">
        <v>0.99036000000000002</v>
      </c>
      <c r="BP23" s="59">
        <v>1.0866199999999999</v>
      </c>
      <c r="BQ23" s="58">
        <v>8.1000000000000003E-2</v>
      </c>
      <c r="BR23" s="58">
        <v>1.4E-2</v>
      </c>
    </row>
    <row r="24" spans="1:70" ht="15.95" customHeight="1" x14ac:dyDescent="0.25">
      <c r="A24" s="58" t="s">
        <v>83</v>
      </c>
      <c r="B24" s="58">
        <v>484.6</v>
      </c>
      <c r="C24" s="58">
        <v>4431</v>
      </c>
      <c r="D24" s="58">
        <v>381</v>
      </c>
      <c r="E24" s="58">
        <v>2932</v>
      </c>
      <c r="F24" s="58">
        <v>54690</v>
      </c>
      <c r="G24" s="58">
        <v>49050</v>
      </c>
      <c r="H24" s="59">
        <v>1.2141599999999999</v>
      </c>
      <c r="I24" s="59">
        <v>1.1486000000000001</v>
      </c>
      <c r="J24" s="58">
        <v>265.5</v>
      </c>
      <c r="K24" s="58">
        <v>13.6</v>
      </c>
      <c r="L24" s="58">
        <v>31.32</v>
      </c>
      <c r="M24" s="58">
        <v>4.0209999999999999</v>
      </c>
      <c r="N24" s="58">
        <v>129.80000000000001</v>
      </c>
      <c r="O24" s="58">
        <v>487.1</v>
      </c>
      <c r="P24" s="58">
        <v>0.54100000000000004</v>
      </c>
      <c r="Q24" s="58">
        <v>3.0830000000000002</v>
      </c>
      <c r="R24" s="58">
        <v>41.31</v>
      </c>
      <c r="S24" s="58">
        <v>10.07</v>
      </c>
      <c r="T24" s="58">
        <v>1.018</v>
      </c>
      <c r="U24" s="59">
        <v>1.09832</v>
      </c>
      <c r="V24" s="59">
        <v>1.00156</v>
      </c>
      <c r="W24" s="58">
        <v>0.17199999999999999</v>
      </c>
      <c r="X24" s="58">
        <v>24.63</v>
      </c>
      <c r="Y24" s="58">
        <v>15.83</v>
      </c>
      <c r="Z24" s="58">
        <v>260.5</v>
      </c>
      <c r="AA24" s="59">
        <v>1.1814800000000001</v>
      </c>
      <c r="AB24" s="59">
        <v>1.1672100000000001</v>
      </c>
      <c r="AC24" s="58">
        <v>3.7999999999999999E-2</v>
      </c>
      <c r="AD24" s="58">
        <v>1.2949999999999999</v>
      </c>
      <c r="AE24" s="58">
        <v>1E-3</v>
      </c>
      <c r="AF24" s="58">
        <v>5.0000000000000001E-3</v>
      </c>
      <c r="AG24" s="58">
        <v>6.4000000000000001E-2</v>
      </c>
      <c r="AH24" s="58">
        <v>8.6999999999999994E-2</v>
      </c>
      <c r="AI24" s="58">
        <v>4.4999999999999998E-2</v>
      </c>
      <c r="AJ24" s="59">
        <v>1.0868100000000001</v>
      </c>
      <c r="AK24" s="59">
        <v>1.1428100000000001</v>
      </c>
      <c r="AL24" s="58">
        <v>1.2410000000000001</v>
      </c>
      <c r="AM24" s="58">
        <v>0.03</v>
      </c>
      <c r="AN24" s="58">
        <v>2E-3</v>
      </c>
      <c r="AO24" s="58">
        <v>0.13500000000000001</v>
      </c>
      <c r="AP24" s="58">
        <v>25.94</v>
      </c>
      <c r="AQ24" s="58">
        <v>25.89</v>
      </c>
      <c r="AR24" s="58">
        <v>0.31</v>
      </c>
      <c r="AS24" s="58">
        <v>0.59799999999999998</v>
      </c>
      <c r="AT24" s="58">
        <v>7.1999999999999995E-2</v>
      </c>
      <c r="AU24" s="58">
        <v>0.27900000000000003</v>
      </c>
      <c r="AV24" s="58">
        <v>5.6000000000000001E-2</v>
      </c>
      <c r="AW24" s="58">
        <v>1.4E-2</v>
      </c>
      <c r="AX24" s="58">
        <v>0.05</v>
      </c>
      <c r="AY24" s="58">
        <v>7.0000000000000001E-3</v>
      </c>
      <c r="AZ24" s="58">
        <v>3.7999999999999999E-2</v>
      </c>
      <c r="BA24" s="58">
        <v>7.0000000000000001E-3</v>
      </c>
      <c r="BB24" s="58">
        <v>1.9E-2</v>
      </c>
      <c r="BC24" s="58">
        <v>2E-3</v>
      </c>
      <c r="BD24" s="58">
        <v>1.4999999999999999E-2</v>
      </c>
      <c r="BE24" s="58">
        <v>2E-3</v>
      </c>
      <c r="BF24" s="58">
        <v>1E-3</v>
      </c>
      <c r="BG24" s="58">
        <v>0.112</v>
      </c>
      <c r="BH24" s="58">
        <v>0.34899999999999998</v>
      </c>
      <c r="BI24" s="58">
        <v>0.36299999999999999</v>
      </c>
      <c r="BJ24" s="58">
        <v>0</v>
      </c>
      <c r="BK24" s="58">
        <v>0</v>
      </c>
      <c r="BL24" s="58">
        <v>0.125</v>
      </c>
      <c r="BM24" s="58">
        <v>5.0000000000000001E-3</v>
      </c>
      <c r="BN24" s="58">
        <v>1.603</v>
      </c>
      <c r="BO24" s="59">
        <v>0.98653999999999997</v>
      </c>
      <c r="BP24" s="59">
        <v>1.0783199999999999</v>
      </c>
      <c r="BQ24" s="58">
        <v>9.4E-2</v>
      </c>
      <c r="BR24" s="58">
        <v>1.7999999999999999E-2</v>
      </c>
    </row>
    <row r="25" spans="1:70" ht="15.95" customHeight="1" x14ac:dyDescent="0.25">
      <c r="A25" s="58" t="s">
        <v>84</v>
      </c>
      <c r="B25" s="58">
        <v>514.5</v>
      </c>
      <c r="C25" s="58">
        <v>4121</v>
      </c>
      <c r="D25" s="58">
        <v>321.10000000000002</v>
      </c>
      <c r="E25" s="58">
        <v>4057</v>
      </c>
      <c r="F25" s="58">
        <v>52260</v>
      </c>
      <c r="G25" s="58">
        <v>47600</v>
      </c>
      <c r="H25" s="59">
        <v>1.21102</v>
      </c>
      <c r="I25" s="59">
        <v>1.1499900000000001</v>
      </c>
      <c r="J25" s="58">
        <v>250.1</v>
      </c>
      <c r="K25" s="58">
        <v>12.41</v>
      </c>
      <c r="L25" s="58">
        <v>24.41</v>
      </c>
      <c r="M25" s="58">
        <v>3.0579999999999998</v>
      </c>
      <c r="N25" s="58">
        <v>139.80000000000001</v>
      </c>
      <c r="O25" s="58">
        <v>398.4</v>
      </c>
      <c r="P25" s="58">
        <v>0.56999999999999995</v>
      </c>
      <c r="Q25" s="58">
        <v>5.2610000000000001</v>
      </c>
      <c r="R25" s="58">
        <v>168.5</v>
      </c>
      <c r="S25" s="58">
        <v>17.48</v>
      </c>
      <c r="T25" s="58">
        <v>1.756</v>
      </c>
      <c r="U25" s="59">
        <v>1.0867500000000001</v>
      </c>
      <c r="V25" s="59">
        <v>1.00095</v>
      </c>
      <c r="W25" s="58">
        <v>0.2</v>
      </c>
      <c r="X25" s="58">
        <v>78.489999999999995</v>
      </c>
      <c r="Y25" s="58">
        <v>16.600000000000001</v>
      </c>
      <c r="Z25" s="58">
        <v>331.4</v>
      </c>
      <c r="AA25" s="59">
        <v>1.1795599999999999</v>
      </c>
      <c r="AB25" s="59">
        <v>1.1678200000000001</v>
      </c>
      <c r="AC25" s="58">
        <v>3.4000000000000002E-2</v>
      </c>
      <c r="AD25" s="58">
        <v>1.0269999999999999</v>
      </c>
      <c r="AE25" s="58">
        <v>2E-3</v>
      </c>
      <c r="AF25" s="58">
        <v>1.4999999999999999E-2</v>
      </c>
      <c r="AG25" s="58">
        <v>0.124</v>
      </c>
      <c r="AH25" s="58">
        <v>0.214</v>
      </c>
      <c r="AI25" s="58">
        <v>0.124</v>
      </c>
      <c r="AJ25" s="59">
        <v>1.0825499999999999</v>
      </c>
      <c r="AK25" s="59">
        <v>1.1438999999999999</v>
      </c>
      <c r="AL25" s="58">
        <v>21.99</v>
      </c>
      <c r="AM25" s="58">
        <v>4.2000000000000003E-2</v>
      </c>
      <c r="AN25" s="58">
        <v>3.0000000000000001E-3</v>
      </c>
      <c r="AO25" s="58">
        <v>9.5000000000000001E-2</v>
      </c>
      <c r="AP25" s="58">
        <v>46.38</v>
      </c>
      <c r="AQ25" s="58">
        <v>46.01</v>
      </c>
      <c r="AR25" s="58">
        <v>0.26900000000000002</v>
      </c>
      <c r="AS25" s="58">
        <v>0.48799999999999999</v>
      </c>
      <c r="AT25" s="58">
        <v>6.2E-2</v>
      </c>
      <c r="AU25" s="58">
        <v>0.23</v>
      </c>
      <c r="AV25" s="58">
        <v>4.4999999999999998E-2</v>
      </c>
      <c r="AW25" s="58">
        <v>1.7999999999999999E-2</v>
      </c>
      <c r="AX25" s="58">
        <v>4.2000000000000003E-2</v>
      </c>
      <c r="AY25" s="58">
        <v>6.0000000000000001E-3</v>
      </c>
      <c r="AZ25" s="58">
        <v>3.1E-2</v>
      </c>
      <c r="BA25" s="58">
        <v>6.0000000000000001E-3</v>
      </c>
      <c r="BB25" s="58">
        <v>1.6E-2</v>
      </c>
      <c r="BC25" s="58">
        <v>2E-3</v>
      </c>
      <c r="BD25" s="58">
        <v>1.2999999999999999E-2</v>
      </c>
      <c r="BE25" s="58">
        <v>2E-3</v>
      </c>
      <c r="BF25" s="58">
        <v>1E-3</v>
      </c>
      <c r="BG25" s="58">
        <v>0.13900000000000001</v>
      </c>
      <c r="BH25" s="58">
        <v>0.28000000000000003</v>
      </c>
      <c r="BI25" s="58">
        <v>0.28899999999999998</v>
      </c>
      <c r="BJ25" s="58">
        <v>0</v>
      </c>
      <c r="BK25" s="58">
        <v>0</v>
      </c>
      <c r="BL25" s="58">
        <v>0.104</v>
      </c>
      <c r="BM25" s="58">
        <v>7.0000000000000001E-3</v>
      </c>
      <c r="BN25" s="58">
        <v>289.8</v>
      </c>
      <c r="BO25" s="59">
        <v>0.98294000000000004</v>
      </c>
      <c r="BP25" s="59">
        <v>1.07768</v>
      </c>
      <c r="BQ25" s="58">
        <v>4.4999999999999998E-2</v>
      </c>
      <c r="BR25" s="58">
        <v>1.4999999999999999E-2</v>
      </c>
    </row>
    <row r="26" spans="1:70" ht="15.95" customHeight="1" x14ac:dyDescent="0.25">
      <c r="A26" s="58" t="s">
        <v>85</v>
      </c>
      <c r="B26" s="58">
        <v>239.2</v>
      </c>
      <c r="C26" s="58">
        <v>3863</v>
      </c>
      <c r="D26" s="58">
        <v>252.7</v>
      </c>
      <c r="E26" s="58">
        <v>3419</v>
      </c>
      <c r="F26" s="58">
        <v>57440</v>
      </c>
      <c r="G26" s="58">
        <v>35220</v>
      </c>
      <c r="H26" s="59">
        <v>1.20306</v>
      </c>
      <c r="I26" s="59">
        <v>1.15151</v>
      </c>
      <c r="J26" s="58">
        <v>190</v>
      </c>
      <c r="K26" s="58">
        <v>9.9450000000000003</v>
      </c>
      <c r="L26" s="58">
        <v>23.22</v>
      </c>
      <c r="M26" s="58">
        <v>3.294</v>
      </c>
      <c r="N26" s="58">
        <v>91.43</v>
      </c>
      <c r="O26" s="58">
        <v>344.4</v>
      </c>
      <c r="P26" s="58">
        <v>0.52100000000000002</v>
      </c>
      <c r="Q26" s="58">
        <v>6.367</v>
      </c>
      <c r="R26" s="58">
        <v>32.81</v>
      </c>
      <c r="S26" s="58">
        <v>6.8730000000000002</v>
      </c>
      <c r="T26" s="58">
        <v>1.0780000000000001</v>
      </c>
      <c r="U26" s="59">
        <v>1.0643199999999999</v>
      </c>
      <c r="V26" s="59">
        <v>1.00064</v>
      </c>
      <c r="W26" s="58">
        <v>0.153</v>
      </c>
      <c r="X26" s="58">
        <v>23.48</v>
      </c>
      <c r="Y26" s="58">
        <v>26.3</v>
      </c>
      <c r="Z26" s="58">
        <v>145.80000000000001</v>
      </c>
      <c r="AA26" s="59">
        <v>1.15812</v>
      </c>
      <c r="AB26" s="59">
        <v>1.16764</v>
      </c>
      <c r="AC26" s="58">
        <v>2.5000000000000001E-2</v>
      </c>
      <c r="AD26" s="58">
        <v>0.46899999999999997</v>
      </c>
      <c r="AE26" s="58">
        <v>1E-3</v>
      </c>
      <c r="AF26" s="58">
        <v>3.0000000000000001E-3</v>
      </c>
      <c r="AG26" s="58">
        <v>4.1000000000000002E-2</v>
      </c>
      <c r="AH26" s="58">
        <v>0.25</v>
      </c>
      <c r="AI26" s="58">
        <v>5.1999999999999998E-2</v>
      </c>
      <c r="AJ26" s="59">
        <v>1.0646199999999999</v>
      </c>
      <c r="AK26" s="59">
        <v>1.1523699999999999</v>
      </c>
      <c r="AL26" s="58">
        <v>0.874</v>
      </c>
      <c r="AM26" s="58">
        <v>3.5999999999999997E-2</v>
      </c>
      <c r="AN26" s="58">
        <v>2E-3</v>
      </c>
      <c r="AO26" s="58">
        <v>0.128</v>
      </c>
      <c r="AP26" s="58">
        <v>27.98</v>
      </c>
      <c r="AQ26" s="58">
        <v>28.02</v>
      </c>
      <c r="AR26" s="58">
        <v>0.217</v>
      </c>
      <c r="AS26" s="58">
        <v>0.38700000000000001</v>
      </c>
      <c r="AT26" s="58">
        <v>0.05</v>
      </c>
      <c r="AU26" s="58">
        <v>0.187</v>
      </c>
      <c r="AV26" s="58">
        <v>3.5999999999999997E-2</v>
      </c>
      <c r="AW26" s="58">
        <v>1.2E-2</v>
      </c>
      <c r="AX26" s="58">
        <v>3.3000000000000002E-2</v>
      </c>
      <c r="AY26" s="58">
        <v>5.0000000000000001E-3</v>
      </c>
      <c r="AZ26" s="58">
        <v>2.5000000000000001E-2</v>
      </c>
      <c r="BA26" s="58">
        <v>5.0000000000000001E-3</v>
      </c>
      <c r="BB26" s="58">
        <v>1.2999999999999999E-2</v>
      </c>
      <c r="BC26" s="58">
        <v>2E-3</v>
      </c>
      <c r="BD26" s="58">
        <v>1.0999999999999999E-2</v>
      </c>
      <c r="BE26" s="58">
        <v>1E-3</v>
      </c>
      <c r="BF26" s="58">
        <v>1E-3</v>
      </c>
      <c r="BG26" s="58">
        <v>7.3999999999999996E-2</v>
      </c>
      <c r="BH26" s="58">
        <v>0.23499999999999999</v>
      </c>
      <c r="BI26" s="58">
        <v>0.24</v>
      </c>
      <c r="BJ26" s="58">
        <v>0</v>
      </c>
      <c r="BK26" s="58">
        <v>0</v>
      </c>
      <c r="BL26" s="58">
        <v>0.127</v>
      </c>
      <c r="BM26" s="58">
        <v>5.0000000000000001E-3</v>
      </c>
      <c r="BN26" s="58">
        <v>2.2170000000000001</v>
      </c>
      <c r="BO26" s="59">
        <v>0.97599000000000002</v>
      </c>
      <c r="BP26" s="59">
        <v>1.0849800000000001</v>
      </c>
      <c r="BQ26" s="58">
        <v>5.7000000000000002E-2</v>
      </c>
      <c r="BR26" s="58">
        <v>1.2E-2</v>
      </c>
    </row>
    <row r="27" spans="1:70" ht="15.95" customHeight="1" x14ac:dyDescent="0.25">
      <c r="A27" s="58" t="s">
        <v>86</v>
      </c>
      <c r="B27" s="58">
        <v>298.3</v>
      </c>
      <c r="C27" s="58">
        <v>4262</v>
      </c>
      <c r="D27" s="58">
        <v>521.6</v>
      </c>
      <c r="E27" s="58">
        <v>2989</v>
      </c>
      <c r="F27" s="58">
        <v>51670</v>
      </c>
      <c r="G27" s="58">
        <v>55830</v>
      </c>
      <c r="H27" s="59">
        <v>1.17126</v>
      </c>
      <c r="I27" s="59">
        <v>1.12259</v>
      </c>
      <c r="J27" s="58">
        <v>301</v>
      </c>
      <c r="K27" s="58">
        <v>17.77</v>
      </c>
      <c r="L27" s="58">
        <v>30.83</v>
      </c>
      <c r="M27" s="58">
        <v>3.694</v>
      </c>
      <c r="N27" s="58">
        <v>124.9</v>
      </c>
      <c r="O27" s="58">
        <v>603.6</v>
      </c>
      <c r="P27" s="58">
        <v>0.371</v>
      </c>
      <c r="Q27" s="58">
        <v>2.141</v>
      </c>
      <c r="R27" s="58">
        <v>22.13</v>
      </c>
      <c r="S27" s="58">
        <v>12.05</v>
      </c>
      <c r="T27" s="58">
        <v>1.6870000000000001</v>
      </c>
      <c r="U27" s="59">
        <v>1.0468999999999999</v>
      </c>
      <c r="V27" s="59">
        <v>0.97055999999999998</v>
      </c>
      <c r="W27" s="58">
        <v>0.126</v>
      </c>
      <c r="X27" s="58">
        <v>19.600000000000001</v>
      </c>
      <c r="Y27" s="58">
        <v>9.077</v>
      </c>
      <c r="Z27" s="58">
        <v>243.5</v>
      </c>
      <c r="AA27" s="59">
        <v>1.1392100000000001</v>
      </c>
      <c r="AB27" s="59">
        <v>1.1536599999999999</v>
      </c>
      <c r="AC27" s="58">
        <v>4.9000000000000002E-2</v>
      </c>
      <c r="AD27" s="58">
        <v>0.42699999999999999</v>
      </c>
      <c r="AE27" s="58">
        <v>1E-3</v>
      </c>
      <c r="AF27" s="58">
        <v>5.0000000000000001E-3</v>
      </c>
      <c r="AG27" s="58">
        <v>6.8000000000000005E-2</v>
      </c>
      <c r="AH27" s="58">
        <v>0.56100000000000005</v>
      </c>
      <c r="AI27" s="58">
        <v>2.8000000000000001E-2</v>
      </c>
      <c r="AJ27" s="59">
        <v>1.0477099999999999</v>
      </c>
      <c r="AK27" s="59">
        <v>1.13496</v>
      </c>
      <c r="AL27" s="58">
        <v>2.38</v>
      </c>
      <c r="AM27" s="58">
        <v>3.4000000000000002E-2</v>
      </c>
      <c r="AN27" s="58">
        <v>4.0000000000000001E-3</v>
      </c>
      <c r="AO27" s="58">
        <v>0.10100000000000001</v>
      </c>
      <c r="AP27" s="58">
        <v>44.22</v>
      </c>
      <c r="AQ27" s="58">
        <v>43.83</v>
      </c>
      <c r="AR27" s="58">
        <v>0.45200000000000001</v>
      </c>
      <c r="AS27" s="58">
        <v>0.84</v>
      </c>
      <c r="AT27" s="58">
        <v>0.108</v>
      </c>
      <c r="AU27" s="58">
        <v>0.40300000000000002</v>
      </c>
      <c r="AV27" s="58">
        <v>7.6999999999999999E-2</v>
      </c>
      <c r="AW27" s="58">
        <v>2.1999999999999999E-2</v>
      </c>
      <c r="AX27" s="58">
        <v>6.8000000000000005E-2</v>
      </c>
      <c r="AY27" s="58">
        <v>8.9999999999999993E-3</v>
      </c>
      <c r="AZ27" s="58">
        <v>4.8000000000000001E-2</v>
      </c>
      <c r="BA27" s="58">
        <v>8.9999999999999993E-3</v>
      </c>
      <c r="BB27" s="58">
        <v>2.3E-2</v>
      </c>
      <c r="BC27" s="58">
        <v>3.0000000000000001E-3</v>
      </c>
      <c r="BD27" s="58">
        <v>1.9E-2</v>
      </c>
      <c r="BE27" s="58">
        <v>3.0000000000000001E-3</v>
      </c>
      <c r="BF27" s="58">
        <v>1E-3</v>
      </c>
      <c r="BG27" s="58">
        <v>0.08</v>
      </c>
      <c r="BH27" s="58">
        <v>0.19500000000000001</v>
      </c>
      <c r="BI27" s="58">
        <v>0.20399999999999999</v>
      </c>
      <c r="BJ27" s="58">
        <v>0</v>
      </c>
      <c r="BK27" s="58">
        <v>1E-3</v>
      </c>
      <c r="BL27" s="58">
        <v>0.54</v>
      </c>
      <c r="BM27" s="58">
        <v>7.0000000000000001E-3</v>
      </c>
      <c r="BN27" s="58">
        <v>1.359</v>
      </c>
      <c r="BO27" s="59">
        <v>0.96319999999999995</v>
      </c>
      <c r="BP27" s="59">
        <v>1.0725499999999999</v>
      </c>
      <c r="BQ27" s="58">
        <v>8.5999999999999993E-2</v>
      </c>
      <c r="BR27" s="58">
        <v>1.9E-2</v>
      </c>
    </row>
    <row r="28" spans="1:70" ht="15.95" customHeight="1" x14ac:dyDescent="0.25">
      <c r="A28" s="58" t="s">
        <v>87</v>
      </c>
      <c r="B28" s="58">
        <v>159.69999999999999</v>
      </c>
      <c r="C28" s="58">
        <v>4920</v>
      </c>
      <c r="D28" s="58">
        <v>593.5</v>
      </c>
      <c r="E28" s="58">
        <v>1892</v>
      </c>
      <c r="F28" s="58">
        <v>37530</v>
      </c>
      <c r="G28" s="58">
        <v>47520</v>
      </c>
      <c r="H28" s="59">
        <v>1.14429</v>
      </c>
      <c r="I28" s="59">
        <v>1.10151</v>
      </c>
      <c r="J28" s="58">
        <v>276.10000000000002</v>
      </c>
      <c r="K28" s="58">
        <v>21.33</v>
      </c>
      <c r="L28" s="58">
        <v>33.08</v>
      </c>
      <c r="M28" s="58">
        <v>3.4220000000000002</v>
      </c>
      <c r="N28" s="58">
        <v>89.46</v>
      </c>
      <c r="O28" s="58">
        <v>668</v>
      </c>
      <c r="P28" s="58">
        <v>0.27300000000000002</v>
      </c>
      <c r="Q28" s="58">
        <v>1.47</v>
      </c>
      <c r="R28" s="58">
        <v>22.89</v>
      </c>
      <c r="S28" s="58">
        <v>56.36</v>
      </c>
      <c r="T28" s="58">
        <v>1.1659999999999999</v>
      </c>
      <c r="U28" s="59">
        <v>1.0320100000000001</v>
      </c>
      <c r="V28" s="59">
        <v>0.96023999999999998</v>
      </c>
      <c r="W28" s="58">
        <v>0.248</v>
      </c>
      <c r="X28" s="58">
        <v>30.93</v>
      </c>
      <c r="Y28" s="58">
        <v>16.38</v>
      </c>
      <c r="Z28" s="58">
        <v>213.2</v>
      </c>
      <c r="AA28" s="59">
        <v>1.11053</v>
      </c>
      <c r="AB28" s="59">
        <v>1.1337200000000001</v>
      </c>
      <c r="AC28" s="58">
        <v>7.0000000000000007E-2</v>
      </c>
      <c r="AD28" s="58">
        <v>0.69599999999999995</v>
      </c>
      <c r="AE28" s="58">
        <v>1E-3</v>
      </c>
      <c r="AF28" s="58">
        <v>5.0000000000000001E-3</v>
      </c>
      <c r="AG28" s="58">
        <v>5.7000000000000002E-2</v>
      </c>
      <c r="AH28" s="58">
        <v>0.11</v>
      </c>
      <c r="AI28" s="58">
        <v>0.17799999999999999</v>
      </c>
      <c r="AJ28" s="59">
        <v>1.02759</v>
      </c>
      <c r="AK28" s="59">
        <v>1.12171</v>
      </c>
      <c r="AL28" s="58">
        <v>0.57199999999999995</v>
      </c>
      <c r="AM28" s="58">
        <v>8.7999999999999995E-2</v>
      </c>
      <c r="AN28" s="58">
        <v>4.0000000000000001E-3</v>
      </c>
      <c r="AO28" s="58">
        <v>0.46500000000000002</v>
      </c>
      <c r="AP28" s="58">
        <v>29.42</v>
      </c>
      <c r="AQ28" s="58">
        <v>29.41</v>
      </c>
      <c r="AR28" s="58">
        <v>0.54800000000000004</v>
      </c>
      <c r="AS28" s="58">
        <v>1.0820000000000001</v>
      </c>
      <c r="AT28" s="58">
        <v>0.13800000000000001</v>
      </c>
      <c r="AU28" s="58">
        <v>0.497</v>
      </c>
      <c r="AV28" s="58">
        <v>9.8000000000000004E-2</v>
      </c>
      <c r="AW28" s="58">
        <v>2.1999999999999999E-2</v>
      </c>
      <c r="AX28" s="58">
        <v>0.09</v>
      </c>
      <c r="AY28" s="58">
        <v>1.2999999999999999E-2</v>
      </c>
      <c r="AZ28" s="58">
        <v>6.3E-2</v>
      </c>
      <c r="BA28" s="58">
        <v>1.2E-2</v>
      </c>
      <c r="BB28" s="58">
        <v>3.3000000000000002E-2</v>
      </c>
      <c r="BC28" s="58">
        <v>5.0000000000000001E-3</v>
      </c>
      <c r="BD28" s="58">
        <v>2.9000000000000001E-2</v>
      </c>
      <c r="BE28" s="58">
        <v>4.0000000000000001E-3</v>
      </c>
      <c r="BF28" s="58">
        <v>1E-3</v>
      </c>
      <c r="BG28" s="58">
        <v>8.4000000000000005E-2</v>
      </c>
      <c r="BH28" s="58">
        <v>0.65600000000000003</v>
      </c>
      <c r="BI28" s="58">
        <v>0.67900000000000005</v>
      </c>
      <c r="BJ28" s="58">
        <v>0</v>
      </c>
      <c r="BK28" s="58">
        <v>0</v>
      </c>
      <c r="BL28" s="58">
        <v>9.4E-2</v>
      </c>
      <c r="BM28" s="58">
        <v>8.0000000000000002E-3</v>
      </c>
      <c r="BN28" s="58">
        <v>1.2070000000000001</v>
      </c>
      <c r="BO28" s="59">
        <v>0.95499000000000001</v>
      </c>
      <c r="BP28" s="59">
        <v>1.0682199999999999</v>
      </c>
      <c r="BQ28" s="58">
        <v>0.16700000000000001</v>
      </c>
      <c r="BR28" s="58">
        <v>2.5000000000000001E-2</v>
      </c>
    </row>
    <row r="29" spans="1:70" ht="15.95" customHeight="1" x14ac:dyDescent="0.25">
      <c r="A29" s="58" t="s">
        <v>73</v>
      </c>
      <c r="B29" s="58">
        <v>174.3</v>
      </c>
      <c r="C29" s="58">
        <v>3617</v>
      </c>
      <c r="D29" s="58">
        <v>427.4</v>
      </c>
      <c r="E29" s="58">
        <v>2971</v>
      </c>
      <c r="F29" s="58">
        <v>43400</v>
      </c>
      <c r="G29" s="58">
        <v>40400</v>
      </c>
      <c r="H29" s="59">
        <v>1.1431199999999999</v>
      </c>
      <c r="I29" s="59">
        <v>1.1027400000000001</v>
      </c>
      <c r="J29" s="58">
        <v>230.6</v>
      </c>
      <c r="K29" s="58">
        <v>16.059999999999999</v>
      </c>
      <c r="L29" s="58">
        <v>28.17</v>
      </c>
      <c r="M29" s="58">
        <v>3.4580000000000002</v>
      </c>
      <c r="N29" s="58">
        <v>127</v>
      </c>
      <c r="O29" s="58">
        <v>626.4</v>
      </c>
      <c r="P29" s="58">
        <v>0.309</v>
      </c>
      <c r="Q29" s="58">
        <v>3.16</v>
      </c>
      <c r="R29" s="58">
        <v>13.49</v>
      </c>
      <c r="S29" s="58">
        <v>21.98</v>
      </c>
      <c r="T29" s="58">
        <v>0.84599999999999997</v>
      </c>
      <c r="U29" s="59">
        <v>1.0302500000000001</v>
      </c>
      <c r="V29" s="59">
        <v>0.95850999999999997</v>
      </c>
      <c r="W29" s="58">
        <v>0.217</v>
      </c>
      <c r="X29" s="58">
        <v>46.92</v>
      </c>
      <c r="Y29" s="58">
        <v>14.07</v>
      </c>
      <c r="Z29" s="58">
        <v>125.2</v>
      </c>
      <c r="AA29" s="59">
        <v>1.11066</v>
      </c>
      <c r="AB29" s="59">
        <v>1.13262</v>
      </c>
      <c r="AC29" s="58">
        <v>5.6000000000000001E-2</v>
      </c>
      <c r="AD29" s="58">
        <v>0.57899999999999996</v>
      </c>
      <c r="AE29" s="58">
        <v>1E-3</v>
      </c>
      <c r="AF29" s="58">
        <v>2E-3</v>
      </c>
      <c r="AG29" s="58">
        <v>3.3000000000000002E-2</v>
      </c>
      <c r="AH29" s="58">
        <v>0.46100000000000002</v>
      </c>
      <c r="AI29" s="58">
        <v>4.7E-2</v>
      </c>
      <c r="AJ29" s="59">
        <v>1.02658</v>
      </c>
      <c r="AK29" s="59">
        <v>1.12276</v>
      </c>
      <c r="AL29" s="58">
        <v>0.64500000000000002</v>
      </c>
      <c r="AM29" s="58">
        <v>6.2E-2</v>
      </c>
      <c r="AN29" s="58">
        <v>2E-3</v>
      </c>
      <c r="AO29" s="58">
        <v>0.22500000000000001</v>
      </c>
      <c r="AP29" s="58">
        <v>21.24</v>
      </c>
      <c r="AQ29" s="58">
        <v>21.23</v>
      </c>
      <c r="AR29" s="58">
        <v>0.441</v>
      </c>
      <c r="AS29" s="58">
        <v>0.84</v>
      </c>
      <c r="AT29" s="58">
        <v>0.105</v>
      </c>
      <c r="AU29" s="58">
        <v>0.38900000000000001</v>
      </c>
      <c r="AV29" s="58">
        <v>7.5999999999999998E-2</v>
      </c>
      <c r="AW29" s="58">
        <v>1.6E-2</v>
      </c>
      <c r="AX29" s="58">
        <v>6.7000000000000004E-2</v>
      </c>
      <c r="AY29" s="58">
        <v>0.01</v>
      </c>
      <c r="AZ29" s="58">
        <v>4.8000000000000001E-2</v>
      </c>
      <c r="BA29" s="58">
        <v>8.9999999999999993E-3</v>
      </c>
      <c r="BB29" s="58">
        <v>2.5000000000000001E-2</v>
      </c>
      <c r="BC29" s="58">
        <v>3.0000000000000001E-3</v>
      </c>
      <c r="BD29" s="58">
        <v>2.1000000000000001E-2</v>
      </c>
      <c r="BE29" s="58">
        <v>3.0000000000000001E-3</v>
      </c>
      <c r="BF29" s="58">
        <v>1E-3</v>
      </c>
      <c r="BG29" s="58">
        <v>8.7999999999999995E-2</v>
      </c>
      <c r="BH29" s="58">
        <v>0.313</v>
      </c>
      <c r="BI29" s="58">
        <v>0.32500000000000001</v>
      </c>
      <c r="BJ29" s="58">
        <v>0</v>
      </c>
      <c r="BK29" s="58">
        <v>0</v>
      </c>
      <c r="BL29" s="58">
        <v>0.113</v>
      </c>
      <c r="BM29" s="58">
        <v>7.0000000000000001E-3</v>
      </c>
      <c r="BN29" s="58">
        <v>0.98499999999999999</v>
      </c>
      <c r="BO29" s="59">
        <v>0.95574000000000003</v>
      </c>
      <c r="BP29" s="59">
        <v>1.0734399999999999</v>
      </c>
      <c r="BQ29" s="58">
        <v>0.14299999999999999</v>
      </c>
      <c r="BR29" s="58">
        <v>2.1000000000000001E-2</v>
      </c>
    </row>
    <row r="30" spans="1:70" ht="15.95" customHeight="1" x14ac:dyDescent="0.25">
      <c r="A30" s="58" t="s">
        <v>74</v>
      </c>
      <c r="B30" s="58">
        <v>274.89999999999998</v>
      </c>
      <c r="C30" s="58">
        <v>5052</v>
      </c>
      <c r="D30" s="58">
        <v>576.20000000000005</v>
      </c>
      <c r="E30" s="58">
        <v>2234</v>
      </c>
      <c r="F30" s="58">
        <v>53430</v>
      </c>
      <c r="G30" s="58">
        <v>41310</v>
      </c>
      <c r="H30" s="59">
        <v>1.1079399999999999</v>
      </c>
      <c r="I30" s="59">
        <v>1.0926499999999999</v>
      </c>
      <c r="J30" s="58">
        <v>239.2</v>
      </c>
      <c r="K30" s="58">
        <v>20.329999999999998</v>
      </c>
      <c r="L30" s="58">
        <v>30</v>
      </c>
      <c r="M30" s="58">
        <v>3.097</v>
      </c>
      <c r="N30" s="58">
        <v>153.80000000000001</v>
      </c>
      <c r="O30" s="58">
        <v>659.3</v>
      </c>
      <c r="P30" s="58">
        <v>0.48299999999999998</v>
      </c>
      <c r="Q30" s="58">
        <v>6.6660000000000004</v>
      </c>
      <c r="R30" s="58">
        <v>22.64</v>
      </c>
      <c r="S30" s="58">
        <v>14.32</v>
      </c>
      <c r="T30" s="58">
        <v>0.41399999999999998</v>
      </c>
      <c r="U30" s="59">
        <v>1.0251399999999999</v>
      </c>
      <c r="V30" s="59">
        <v>0.96841999999999995</v>
      </c>
      <c r="W30" s="58">
        <v>0.19400000000000001</v>
      </c>
      <c r="X30" s="58">
        <v>7.9080000000000004</v>
      </c>
      <c r="Y30" s="58">
        <v>23.97</v>
      </c>
      <c r="Z30" s="58">
        <v>114.1</v>
      </c>
      <c r="AA30" s="59">
        <v>1.0853900000000001</v>
      </c>
      <c r="AB30" s="59">
        <v>1.11904</v>
      </c>
      <c r="AC30" s="58">
        <v>6.3E-2</v>
      </c>
      <c r="AD30" s="58">
        <v>0.42299999999999999</v>
      </c>
      <c r="AE30" s="58">
        <v>1E-3</v>
      </c>
      <c r="AF30" s="58">
        <v>2E-3</v>
      </c>
      <c r="AG30" s="58">
        <v>0.03</v>
      </c>
      <c r="AH30" s="58">
        <v>0.23599999999999999</v>
      </c>
      <c r="AI30" s="58">
        <v>6.7000000000000004E-2</v>
      </c>
      <c r="AJ30" s="59">
        <v>0.99936999999999998</v>
      </c>
      <c r="AK30" s="59">
        <v>1.1058699999999999</v>
      </c>
      <c r="AL30" s="58">
        <v>0.57499999999999996</v>
      </c>
      <c r="AM30" s="58">
        <v>6.6000000000000003E-2</v>
      </c>
      <c r="AN30" s="58">
        <v>3.0000000000000001E-3</v>
      </c>
      <c r="AO30" s="58">
        <v>0.20699999999999999</v>
      </c>
      <c r="AP30" s="58">
        <v>9.0909999999999993</v>
      </c>
      <c r="AQ30" s="58">
        <v>9.1620000000000008</v>
      </c>
      <c r="AR30" s="58">
        <v>0.47599999999999998</v>
      </c>
      <c r="AS30" s="58">
        <v>0.93500000000000005</v>
      </c>
      <c r="AT30" s="58">
        <v>0.111</v>
      </c>
      <c r="AU30" s="58">
        <v>0.42699999999999999</v>
      </c>
      <c r="AV30" s="58">
        <v>8.3000000000000004E-2</v>
      </c>
      <c r="AW30" s="58">
        <v>1.6E-2</v>
      </c>
      <c r="AX30" s="58">
        <v>7.5999999999999998E-2</v>
      </c>
      <c r="AY30" s="58">
        <v>1.0999999999999999E-2</v>
      </c>
      <c r="AZ30" s="58">
        <v>5.3999999999999999E-2</v>
      </c>
      <c r="BA30" s="58">
        <v>1.0999999999999999E-2</v>
      </c>
      <c r="BB30" s="58">
        <v>0.03</v>
      </c>
      <c r="BC30" s="58">
        <v>4.0000000000000001E-3</v>
      </c>
      <c r="BD30" s="58">
        <v>2.9000000000000001E-2</v>
      </c>
      <c r="BE30" s="58">
        <v>4.0000000000000001E-3</v>
      </c>
      <c r="BF30" s="58">
        <v>1E-3</v>
      </c>
      <c r="BG30" s="58">
        <v>7.8E-2</v>
      </c>
      <c r="BH30" s="58">
        <v>0.26800000000000002</v>
      </c>
      <c r="BI30" s="58">
        <v>0.27200000000000002</v>
      </c>
      <c r="BJ30" s="58">
        <v>0</v>
      </c>
      <c r="BK30" s="58">
        <v>0</v>
      </c>
      <c r="BL30" s="58">
        <v>0.16600000000000001</v>
      </c>
      <c r="BM30" s="58">
        <v>7.0000000000000001E-3</v>
      </c>
      <c r="BN30" s="58">
        <v>0.997</v>
      </c>
      <c r="BO30" s="59">
        <v>0.94516999999999995</v>
      </c>
      <c r="BP30" s="59">
        <v>1.0620400000000001</v>
      </c>
      <c r="BQ30" s="58">
        <v>0.13200000000000001</v>
      </c>
      <c r="BR30" s="58">
        <v>2.5999999999999999E-2</v>
      </c>
    </row>
    <row r="31" spans="1:70" ht="15.95" customHeight="1" x14ac:dyDescent="0.25">
      <c r="A31" s="58" t="s">
        <v>75</v>
      </c>
      <c r="B31" s="58">
        <v>375.6</v>
      </c>
      <c r="C31" s="58">
        <v>6169</v>
      </c>
      <c r="D31" s="58">
        <v>709.1</v>
      </c>
      <c r="E31" s="58">
        <v>1591</v>
      </c>
      <c r="F31" s="58">
        <v>51620</v>
      </c>
      <c r="G31" s="58">
        <v>34890</v>
      </c>
      <c r="H31" s="59">
        <v>1.19123</v>
      </c>
      <c r="I31" s="59">
        <v>1.17482</v>
      </c>
      <c r="J31" s="58">
        <v>212.4</v>
      </c>
      <c r="K31" s="58">
        <v>28.34</v>
      </c>
      <c r="L31" s="58">
        <v>37.18</v>
      </c>
      <c r="M31" s="58">
        <v>3.4950000000000001</v>
      </c>
      <c r="N31" s="58">
        <v>72.3</v>
      </c>
      <c r="O31" s="58">
        <v>930.3</v>
      </c>
      <c r="P31" s="58">
        <v>0.42</v>
      </c>
      <c r="Q31" s="58">
        <v>3.2280000000000002</v>
      </c>
      <c r="R31" s="58">
        <v>18.55</v>
      </c>
      <c r="S31" s="58">
        <v>15.59</v>
      </c>
      <c r="T31" s="58">
        <v>1.506</v>
      </c>
      <c r="U31" s="59">
        <v>1.06728</v>
      </c>
      <c r="V31" s="59">
        <v>1.0098100000000001</v>
      </c>
      <c r="W31" s="58">
        <v>0.33300000000000002</v>
      </c>
      <c r="X31" s="58">
        <v>8.5920000000000005</v>
      </c>
      <c r="Y31" s="58">
        <v>10.16</v>
      </c>
      <c r="Z31" s="58">
        <v>407.1</v>
      </c>
      <c r="AA31" s="59">
        <v>1.15117</v>
      </c>
      <c r="AB31" s="59">
        <v>1.1907099999999999</v>
      </c>
      <c r="AC31" s="58">
        <v>9.0999999999999998E-2</v>
      </c>
      <c r="AD31" s="58">
        <v>1.0109999999999999</v>
      </c>
      <c r="AE31" s="58">
        <v>1E-3</v>
      </c>
      <c r="AF31" s="58">
        <v>7.0000000000000001E-3</v>
      </c>
      <c r="AG31" s="58">
        <v>0.1</v>
      </c>
      <c r="AH31" s="58">
        <v>0.27500000000000002</v>
      </c>
      <c r="AI31" s="58">
        <v>7.4999999999999997E-2</v>
      </c>
      <c r="AJ31" s="59">
        <v>1.05603</v>
      </c>
      <c r="AK31" s="59">
        <v>1.1653100000000001</v>
      </c>
      <c r="AL31" s="58">
        <v>0.193</v>
      </c>
      <c r="AM31" s="58">
        <v>7.9000000000000001E-2</v>
      </c>
      <c r="AN31" s="58">
        <v>0</v>
      </c>
      <c r="AO31" s="58">
        <v>0.17799999999999999</v>
      </c>
      <c r="AP31" s="58">
        <v>37.67</v>
      </c>
      <c r="AQ31" s="58">
        <v>37.56</v>
      </c>
      <c r="AR31" s="58">
        <v>0.71099999999999997</v>
      </c>
      <c r="AS31" s="58">
        <v>1.34</v>
      </c>
      <c r="AT31" s="58">
        <v>0.16400000000000001</v>
      </c>
      <c r="AU31" s="58">
        <v>0.61299999999999999</v>
      </c>
      <c r="AV31" s="58">
        <v>0.123</v>
      </c>
      <c r="AW31" s="58">
        <v>2.9000000000000001E-2</v>
      </c>
      <c r="AX31" s="58">
        <v>0.107</v>
      </c>
      <c r="AY31" s="58">
        <v>1.6E-2</v>
      </c>
      <c r="AZ31" s="58">
        <v>7.9000000000000001E-2</v>
      </c>
      <c r="BA31" s="58">
        <v>1.4999999999999999E-2</v>
      </c>
      <c r="BB31" s="58">
        <v>4.1000000000000002E-2</v>
      </c>
      <c r="BC31" s="58">
        <v>5.0000000000000001E-3</v>
      </c>
      <c r="BD31" s="58">
        <v>3.5999999999999997E-2</v>
      </c>
      <c r="BE31" s="58">
        <v>5.0000000000000001E-3</v>
      </c>
      <c r="BF31" s="58">
        <v>2E-3</v>
      </c>
      <c r="BG31" s="58">
        <v>8.6999999999999994E-2</v>
      </c>
      <c r="BH31" s="58">
        <v>0.156</v>
      </c>
      <c r="BI31" s="58">
        <v>0.161</v>
      </c>
      <c r="BJ31" s="58">
        <v>0</v>
      </c>
      <c r="BK31" s="58">
        <v>0</v>
      </c>
      <c r="BL31" s="58">
        <v>0.10199999999999999</v>
      </c>
      <c r="BM31" s="58">
        <v>8.0000000000000002E-3</v>
      </c>
      <c r="BN31" s="58">
        <v>1.004</v>
      </c>
      <c r="BO31" s="59">
        <v>0.97047000000000005</v>
      </c>
      <c r="BP31" s="59">
        <v>1.0936600000000001</v>
      </c>
      <c r="BQ31" s="58">
        <v>0.193</v>
      </c>
      <c r="BR31" s="58">
        <v>3.2000000000000001E-2</v>
      </c>
    </row>
    <row r="32" spans="1:70" ht="15.95" customHeight="1" x14ac:dyDescent="0.25">
      <c r="A32" s="58" t="s">
        <v>76</v>
      </c>
      <c r="B32" s="58">
        <v>329.9</v>
      </c>
      <c r="C32" s="58">
        <v>4514</v>
      </c>
      <c r="D32" s="58">
        <v>543.9</v>
      </c>
      <c r="E32" s="58">
        <v>1487</v>
      </c>
      <c r="F32" s="58">
        <v>26120</v>
      </c>
      <c r="G32" s="58">
        <v>58030</v>
      </c>
      <c r="H32" s="59">
        <v>1.21993</v>
      </c>
      <c r="I32" s="59">
        <v>1.1628099999999999</v>
      </c>
      <c r="J32" s="58">
        <v>323.89999999999998</v>
      </c>
      <c r="K32" s="58">
        <v>20.09</v>
      </c>
      <c r="L32" s="58">
        <v>33.07</v>
      </c>
      <c r="M32" s="58">
        <v>3.4609999999999999</v>
      </c>
      <c r="N32" s="58">
        <v>114.3</v>
      </c>
      <c r="O32" s="58">
        <v>650.29999999999995</v>
      </c>
      <c r="P32" s="58">
        <v>0.44600000000000001</v>
      </c>
      <c r="Q32" s="58">
        <v>4.1379999999999999</v>
      </c>
      <c r="R32" s="58">
        <v>14.45</v>
      </c>
      <c r="S32" s="58">
        <v>18.95</v>
      </c>
      <c r="T32" s="58">
        <v>1.804</v>
      </c>
      <c r="U32" s="59">
        <v>1.0951299999999999</v>
      </c>
      <c r="V32" s="59">
        <v>1.0042199999999999</v>
      </c>
      <c r="W32" s="58">
        <v>0.19800000000000001</v>
      </c>
      <c r="X32" s="58">
        <v>12.91</v>
      </c>
      <c r="Y32" s="58">
        <v>14.88</v>
      </c>
      <c r="Z32" s="58">
        <v>178.9</v>
      </c>
      <c r="AA32" s="59">
        <v>1.17944</v>
      </c>
      <c r="AB32" s="59">
        <v>1.1823699999999999</v>
      </c>
      <c r="AC32" s="58">
        <v>6.5000000000000002E-2</v>
      </c>
      <c r="AD32" s="58">
        <v>0.55300000000000005</v>
      </c>
      <c r="AE32" s="58">
        <v>1E-3</v>
      </c>
      <c r="AF32" s="58">
        <v>3.0000000000000001E-3</v>
      </c>
      <c r="AG32" s="58">
        <v>4.5999999999999999E-2</v>
      </c>
      <c r="AH32" s="58">
        <v>0.87</v>
      </c>
      <c r="AI32" s="58">
        <v>6.9000000000000006E-2</v>
      </c>
      <c r="AJ32" s="59">
        <v>1.07931</v>
      </c>
      <c r="AK32" s="59">
        <v>1.16276</v>
      </c>
      <c r="AL32" s="58">
        <v>0.111</v>
      </c>
      <c r="AM32" s="58">
        <v>9.7000000000000003E-2</v>
      </c>
      <c r="AN32" s="58">
        <v>3.0000000000000001E-3</v>
      </c>
      <c r="AO32" s="58">
        <v>0.222</v>
      </c>
      <c r="AP32" s="58">
        <v>46.36</v>
      </c>
      <c r="AQ32" s="58">
        <v>52.86</v>
      </c>
      <c r="AR32" s="58">
        <v>0.56599999999999995</v>
      </c>
      <c r="AS32" s="58">
        <v>1.052</v>
      </c>
      <c r="AT32" s="58">
        <v>0.129</v>
      </c>
      <c r="AU32" s="58">
        <v>0.48199999999999998</v>
      </c>
      <c r="AV32" s="58">
        <v>9.1999999999999998E-2</v>
      </c>
      <c r="AW32" s="58">
        <v>2.5999999999999999E-2</v>
      </c>
      <c r="AX32" s="58">
        <v>8.2000000000000003E-2</v>
      </c>
      <c r="AY32" s="58">
        <v>1.2999999999999999E-2</v>
      </c>
      <c r="AZ32" s="58">
        <v>5.8999999999999997E-2</v>
      </c>
      <c r="BA32" s="58">
        <v>1.0999999999999999E-2</v>
      </c>
      <c r="BB32" s="58">
        <v>3.1E-2</v>
      </c>
      <c r="BC32" s="58">
        <v>4.0000000000000001E-3</v>
      </c>
      <c r="BD32" s="58">
        <v>2.4E-2</v>
      </c>
      <c r="BE32" s="58">
        <v>4.0000000000000001E-3</v>
      </c>
      <c r="BF32" s="58">
        <v>1E-3</v>
      </c>
      <c r="BG32" s="58">
        <v>7.1999999999999995E-2</v>
      </c>
      <c r="BH32" s="58">
        <v>0.26100000000000001</v>
      </c>
      <c r="BI32" s="58">
        <v>0.26600000000000001</v>
      </c>
      <c r="BJ32" s="58">
        <v>0</v>
      </c>
      <c r="BK32" s="58">
        <v>0</v>
      </c>
      <c r="BL32" s="58">
        <v>0.10199999999999999</v>
      </c>
      <c r="BM32" s="58">
        <v>7.0000000000000001E-3</v>
      </c>
      <c r="BN32" s="58">
        <v>1.087</v>
      </c>
      <c r="BO32" s="59">
        <v>0.99061999999999995</v>
      </c>
      <c r="BP32" s="59">
        <v>1.0948599999999999</v>
      </c>
      <c r="BQ32" s="58">
        <v>0.16700000000000001</v>
      </c>
      <c r="BR32" s="58">
        <v>2.5999999999999999E-2</v>
      </c>
    </row>
    <row r="33" spans="1:70" ht="15.95" customHeight="1" x14ac:dyDescent="0.25">
      <c r="A33" s="58" t="s">
        <v>77</v>
      </c>
      <c r="B33" s="58">
        <v>435.5</v>
      </c>
      <c r="C33" s="58">
        <v>2944</v>
      </c>
      <c r="D33" s="58">
        <v>650.29999999999995</v>
      </c>
      <c r="E33" s="58">
        <v>1435</v>
      </c>
      <c r="F33" s="58">
        <v>48470</v>
      </c>
      <c r="G33" s="58">
        <v>40520</v>
      </c>
      <c r="H33" s="59">
        <v>1.1898899999999999</v>
      </c>
      <c r="I33" s="59">
        <v>1.15412</v>
      </c>
      <c r="J33" s="58">
        <v>240.3</v>
      </c>
      <c r="K33" s="58">
        <v>24.45</v>
      </c>
      <c r="L33" s="58">
        <v>34.53</v>
      </c>
      <c r="M33" s="58">
        <v>3.7679999999999998</v>
      </c>
      <c r="N33" s="58">
        <v>62.65</v>
      </c>
      <c r="O33" s="58">
        <v>773.5</v>
      </c>
      <c r="P33" s="58">
        <v>0.39200000000000002</v>
      </c>
      <c r="Q33" s="58">
        <v>2.4580000000000002</v>
      </c>
      <c r="R33" s="58">
        <v>22.38</v>
      </c>
      <c r="S33" s="58">
        <v>33.619999999999997</v>
      </c>
      <c r="T33" s="58">
        <v>0.98399999999999999</v>
      </c>
      <c r="U33" s="59">
        <v>1.0704100000000001</v>
      </c>
      <c r="V33" s="59">
        <v>1.00464</v>
      </c>
      <c r="W33" s="58">
        <v>0.28399999999999997</v>
      </c>
      <c r="X33" s="58">
        <v>6.3819999999999997</v>
      </c>
      <c r="Y33" s="58">
        <v>13.53</v>
      </c>
      <c r="Z33" s="58">
        <v>183.9</v>
      </c>
      <c r="AA33" s="59">
        <v>1.1533800000000001</v>
      </c>
      <c r="AB33" s="59">
        <v>1.1758900000000001</v>
      </c>
      <c r="AC33" s="58">
        <v>7.1999999999999995E-2</v>
      </c>
      <c r="AD33" s="58">
        <v>0.65300000000000002</v>
      </c>
      <c r="AE33" s="58">
        <v>1E-3</v>
      </c>
      <c r="AF33" s="58">
        <v>3.0000000000000001E-3</v>
      </c>
      <c r="AG33" s="58">
        <v>4.7E-2</v>
      </c>
      <c r="AH33" s="58">
        <v>0.219</v>
      </c>
      <c r="AI33" s="58">
        <v>6.6000000000000003E-2</v>
      </c>
      <c r="AJ33" s="59">
        <v>1.0559400000000001</v>
      </c>
      <c r="AK33" s="59">
        <v>1.1562600000000001</v>
      </c>
      <c r="AL33" s="58">
        <v>0.183</v>
      </c>
      <c r="AM33" s="58">
        <v>0.158</v>
      </c>
      <c r="AN33" s="58">
        <v>1E-3</v>
      </c>
      <c r="AO33" s="58">
        <v>0.14499999999999999</v>
      </c>
      <c r="AP33" s="58">
        <v>23.97</v>
      </c>
      <c r="AQ33" s="58">
        <v>24.01</v>
      </c>
      <c r="AR33" s="58">
        <v>0.57399999999999995</v>
      </c>
      <c r="AS33" s="58">
        <v>1.127</v>
      </c>
      <c r="AT33" s="58">
        <v>0.13500000000000001</v>
      </c>
      <c r="AU33" s="58">
        <v>0.51500000000000001</v>
      </c>
      <c r="AV33" s="58">
        <v>0.1</v>
      </c>
      <c r="AW33" s="58">
        <v>2.3E-2</v>
      </c>
      <c r="AX33" s="58">
        <v>8.7999999999999995E-2</v>
      </c>
      <c r="AY33" s="58">
        <v>1.4E-2</v>
      </c>
      <c r="AZ33" s="58">
        <v>6.3E-2</v>
      </c>
      <c r="BA33" s="58">
        <v>1.2E-2</v>
      </c>
      <c r="BB33" s="58">
        <v>3.5000000000000003E-2</v>
      </c>
      <c r="BC33" s="58">
        <v>4.0000000000000001E-3</v>
      </c>
      <c r="BD33" s="58">
        <v>2.7E-2</v>
      </c>
      <c r="BE33" s="58">
        <v>4.0000000000000001E-3</v>
      </c>
      <c r="BF33" s="58">
        <v>2E-3</v>
      </c>
      <c r="BG33" s="58">
        <v>8.7999999999999995E-2</v>
      </c>
      <c r="BH33" s="58">
        <v>0.27</v>
      </c>
      <c r="BI33" s="58">
        <v>0.27800000000000002</v>
      </c>
      <c r="BJ33" s="58">
        <v>0</v>
      </c>
      <c r="BK33" s="58">
        <v>0</v>
      </c>
      <c r="BL33" s="58">
        <v>0.14799999999999999</v>
      </c>
      <c r="BM33" s="58">
        <v>8.0000000000000002E-3</v>
      </c>
      <c r="BN33" s="58">
        <v>1.234</v>
      </c>
      <c r="BO33" s="59">
        <v>0.97775999999999996</v>
      </c>
      <c r="BP33" s="59">
        <v>1.09456</v>
      </c>
      <c r="BQ33" s="58">
        <v>0.155</v>
      </c>
      <c r="BR33" s="58">
        <v>2.7E-2</v>
      </c>
    </row>
    <row r="34" spans="1:70" ht="15.95" customHeight="1" x14ac:dyDescent="0.25">
      <c r="A34" s="58" t="s">
        <v>78</v>
      </c>
      <c r="B34" s="58">
        <v>447.5</v>
      </c>
      <c r="C34" s="58">
        <v>4547</v>
      </c>
      <c r="D34" s="58">
        <v>800.6</v>
      </c>
      <c r="E34" s="58">
        <v>1224</v>
      </c>
      <c r="F34" s="58">
        <v>24030</v>
      </c>
      <c r="G34" s="58">
        <v>66310</v>
      </c>
      <c r="H34" s="59">
        <v>1.2220800000000001</v>
      </c>
      <c r="I34" s="59">
        <v>1.1731</v>
      </c>
      <c r="J34" s="58">
        <v>382</v>
      </c>
      <c r="K34" s="58">
        <v>29.71</v>
      </c>
      <c r="L34" s="58">
        <v>38.409999999999997</v>
      </c>
      <c r="M34" s="58">
        <v>3.7029999999999998</v>
      </c>
      <c r="N34" s="58">
        <v>152.69999999999999</v>
      </c>
      <c r="O34" s="58">
        <v>1054</v>
      </c>
      <c r="P34" s="58">
        <v>0.46800000000000003</v>
      </c>
      <c r="Q34" s="58">
        <v>2.6859999999999999</v>
      </c>
      <c r="R34" s="58">
        <v>28.72</v>
      </c>
      <c r="S34" s="58">
        <v>30.91</v>
      </c>
      <c r="T34" s="58">
        <v>1.1890000000000001</v>
      </c>
      <c r="U34" s="59">
        <v>1.0781499999999999</v>
      </c>
      <c r="V34" s="59">
        <v>1.0036799999999999</v>
      </c>
      <c r="W34" s="58">
        <v>0.32</v>
      </c>
      <c r="X34" s="58">
        <v>5.915</v>
      </c>
      <c r="Y34" s="58">
        <v>14.08</v>
      </c>
      <c r="Z34" s="58">
        <v>258.2</v>
      </c>
      <c r="AA34" s="59">
        <v>1.1722699999999999</v>
      </c>
      <c r="AB34" s="59">
        <v>1.19414</v>
      </c>
      <c r="AC34" s="58">
        <v>8.3000000000000004E-2</v>
      </c>
      <c r="AD34" s="58">
        <v>0.52100000000000002</v>
      </c>
      <c r="AE34" s="58">
        <v>1E-3</v>
      </c>
      <c r="AF34" s="58">
        <v>4.0000000000000001E-3</v>
      </c>
      <c r="AG34" s="58">
        <v>6.2E-2</v>
      </c>
      <c r="AH34" s="58">
        <v>0.27100000000000002</v>
      </c>
      <c r="AI34" s="58">
        <v>0.13</v>
      </c>
      <c r="AJ34" s="59">
        <v>1.06795</v>
      </c>
      <c r="AK34" s="59">
        <v>1.16648</v>
      </c>
      <c r="AL34" s="58">
        <v>0.21199999999999999</v>
      </c>
      <c r="AM34" s="58">
        <v>0.17199999999999999</v>
      </c>
      <c r="AN34" s="58">
        <v>3.0000000000000001E-3</v>
      </c>
      <c r="AO34" s="58">
        <v>0.35899999999999999</v>
      </c>
      <c r="AP34" s="58">
        <v>28.63</v>
      </c>
      <c r="AQ34" s="58">
        <v>28.68</v>
      </c>
      <c r="AR34" s="58">
        <v>0.67500000000000004</v>
      </c>
      <c r="AS34" s="58">
        <v>1.2829999999999999</v>
      </c>
      <c r="AT34" s="58">
        <v>0.156</v>
      </c>
      <c r="AU34" s="58">
        <v>0.59299999999999997</v>
      </c>
      <c r="AV34" s="58">
        <v>0.115</v>
      </c>
      <c r="AW34" s="58">
        <v>2.9000000000000001E-2</v>
      </c>
      <c r="AX34" s="58">
        <v>0.10299999999999999</v>
      </c>
      <c r="AY34" s="58">
        <v>0.02</v>
      </c>
      <c r="AZ34" s="58">
        <v>7.1999999999999995E-2</v>
      </c>
      <c r="BA34" s="58">
        <v>1.4E-2</v>
      </c>
      <c r="BB34" s="58">
        <v>3.7999999999999999E-2</v>
      </c>
      <c r="BC34" s="58">
        <v>5.0000000000000001E-3</v>
      </c>
      <c r="BD34" s="58">
        <v>3.4000000000000002E-2</v>
      </c>
      <c r="BE34" s="58">
        <v>5.0000000000000001E-3</v>
      </c>
      <c r="BF34" s="58">
        <v>2E-3</v>
      </c>
      <c r="BG34" s="58">
        <v>0.1</v>
      </c>
      <c r="BH34" s="58">
        <v>0.21099999999999999</v>
      </c>
      <c r="BI34" s="58">
        <v>0.216</v>
      </c>
      <c r="BJ34" s="58">
        <v>0</v>
      </c>
      <c r="BK34" s="58">
        <v>0</v>
      </c>
      <c r="BL34" s="58">
        <v>0.187</v>
      </c>
      <c r="BM34" s="58">
        <v>0.01</v>
      </c>
      <c r="BN34" s="58">
        <v>1.157</v>
      </c>
      <c r="BO34" s="59">
        <v>0.98253000000000001</v>
      </c>
      <c r="BP34" s="59">
        <v>1.0951299999999999</v>
      </c>
      <c r="BQ34" s="58">
        <v>0.17699999999999999</v>
      </c>
      <c r="BR34" s="58">
        <v>3.5000000000000003E-2</v>
      </c>
    </row>
    <row r="35" spans="1:70" ht="15.95" customHeight="1" x14ac:dyDescent="0.25">
      <c r="A35" s="58" t="s">
        <v>79</v>
      </c>
      <c r="B35" s="58">
        <v>710.7</v>
      </c>
      <c r="C35" s="58">
        <v>5392</v>
      </c>
      <c r="D35" s="58">
        <v>645</v>
      </c>
      <c r="E35" s="58">
        <v>1582</v>
      </c>
      <c r="F35" s="58">
        <v>36750</v>
      </c>
      <c r="G35" s="58">
        <v>70660</v>
      </c>
      <c r="H35" s="59">
        <v>1.20312</v>
      </c>
      <c r="I35" s="59">
        <v>1.1564399999999999</v>
      </c>
      <c r="J35" s="58">
        <v>391.9</v>
      </c>
      <c r="K35" s="58">
        <v>26.02</v>
      </c>
      <c r="L35" s="58">
        <v>36.950000000000003</v>
      </c>
      <c r="M35" s="58">
        <v>3.722</v>
      </c>
      <c r="N35" s="58">
        <v>174.5</v>
      </c>
      <c r="O35" s="58">
        <v>876.4</v>
      </c>
      <c r="P35" s="58">
        <v>0.505</v>
      </c>
      <c r="Q35" s="58">
        <v>3.36</v>
      </c>
      <c r="R35" s="58">
        <v>23.07</v>
      </c>
      <c r="S35" s="58">
        <v>14.69</v>
      </c>
      <c r="T35" s="58">
        <v>1.7370000000000001</v>
      </c>
      <c r="U35" s="59">
        <v>1.0763400000000001</v>
      </c>
      <c r="V35" s="59">
        <v>0.99324999999999997</v>
      </c>
      <c r="W35" s="58">
        <v>0.312</v>
      </c>
      <c r="X35" s="58">
        <v>38.32</v>
      </c>
      <c r="Y35" s="58">
        <v>7.2690000000000001</v>
      </c>
      <c r="Z35" s="58">
        <v>338</v>
      </c>
      <c r="AA35" s="59">
        <v>1.15822</v>
      </c>
      <c r="AB35" s="59">
        <v>1.1755500000000001</v>
      </c>
      <c r="AC35" s="58">
        <v>7.3999999999999996E-2</v>
      </c>
      <c r="AD35" s="58">
        <v>0.56599999999999995</v>
      </c>
      <c r="AE35" s="58">
        <v>1E-3</v>
      </c>
      <c r="AF35" s="58">
        <v>6.0000000000000001E-3</v>
      </c>
      <c r="AG35" s="58">
        <v>8.5000000000000006E-2</v>
      </c>
      <c r="AH35" s="58">
        <v>0.36599999999999999</v>
      </c>
      <c r="AI35" s="58">
        <v>8.1000000000000003E-2</v>
      </c>
      <c r="AJ35" s="59">
        <v>1.0573600000000001</v>
      </c>
      <c r="AK35" s="59">
        <v>1.15469</v>
      </c>
      <c r="AL35" s="58">
        <v>0.19900000000000001</v>
      </c>
      <c r="AM35" s="58">
        <v>0.19900000000000001</v>
      </c>
      <c r="AN35" s="58">
        <v>3.0000000000000001E-3</v>
      </c>
      <c r="AO35" s="58">
        <v>0.13600000000000001</v>
      </c>
      <c r="AP35" s="58">
        <v>44.47</v>
      </c>
      <c r="AQ35" s="58">
        <v>44.23</v>
      </c>
      <c r="AR35" s="58">
        <v>0.80800000000000005</v>
      </c>
      <c r="AS35" s="58">
        <v>1.321</v>
      </c>
      <c r="AT35" s="58">
        <v>0.16400000000000001</v>
      </c>
      <c r="AU35" s="58">
        <v>0.60699999999999998</v>
      </c>
      <c r="AV35" s="58">
        <v>0.11600000000000001</v>
      </c>
      <c r="AW35" s="58">
        <v>3.1E-2</v>
      </c>
      <c r="AX35" s="58">
        <v>0.112</v>
      </c>
      <c r="AY35" s="58">
        <v>1.4999999999999999E-2</v>
      </c>
      <c r="AZ35" s="58">
        <v>7.4999999999999997E-2</v>
      </c>
      <c r="BA35" s="58">
        <v>1.4E-2</v>
      </c>
      <c r="BB35" s="58">
        <v>3.6999999999999998E-2</v>
      </c>
      <c r="BC35" s="58">
        <v>5.0000000000000001E-3</v>
      </c>
      <c r="BD35" s="58">
        <v>3.1E-2</v>
      </c>
      <c r="BE35" s="58">
        <v>5.0000000000000001E-3</v>
      </c>
      <c r="BF35" s="58">
        <v>2E-3</v>
      </c>
      <c r="BG35" s="58">
        <v>9.5000000000000001E-2</v>
      </c>
      <c r="BH35" s="58">
        <v>0.27</v>
      </c>
      <c r="BI35" s="58">
        <v>0.27400000000000002</v>
      </c>
      <c r="BJ35" s="58">
        <v>0</v>
      </c>
      <c r="BK35" s="58">
        <v>0</v>
      </c>
      <c r="BL35" s="58">
        <v>8.2000000000000003E-2</v>
      </c>
      <c r="BM35" s="58">
        <v>7.0000000000000001E-3</v>
      </c>
      <c r="BN35" s="58">
        <v>1.2410000000000001</v>
      </c>
      <c r="BO35" s="59">
        <v>0.97302</v>
      </c>
      <c r="BP35" s="59">
        <v>1.08985</v>
      </c>
      <c r="BQ35" s="58">
        <v>0.20499999999999999</v>
      </c>
      <c r="BR35" s="58">
        <v>0.03</v>
      </c>
    </row>
    <row r="36" spans="1:70" ht="15.95" customHeight="1" x14ac:dyDescent="0.25">
      <c r="A36" s="58" t="s">
        <v>80</v>
      </c>
      <c r="B36" s="58">
        <v>440.6</v>
      </c>
      <c r="C36" s="58">
        <v>5764</v>
      </c>
      <c r="D36" s="58">
        <v>900.7</v>
      </c>
      <c r="E36" s="58">
        <v>2065</v>
      </c>
      <c r="F36" s="58">
        <v>36490</v>
      </c>
      <c r="G36" s="58">
        <v>45520</v>
      </c>
      <c r="H36" s="59">
        <v>1.16516</v>
      </c>
      <c r="I36" s="59">
        <v>1.12313</v>
      </c>
      <c r="J36" s="58">
        <v>280.8</v>
      </c>
      <c r="K36" s="58">
        <v>32.33</v>
      </c>
      <c r="L36" s="58">
        <v>41.37</v>
      </c>
      <c r="M36" s="58">
        <v>3.4620000000000002</v>
      </c>
      <c r="N36" s="58">
        <v>125.4</v>
      </c>
      <c r="O36" s="58">
        <v>1021</v>
      </c>
      <c r="P36" s="58">
        <v>0.46700000000000003</v>
      </c>
      <c r="Q36" s="58">
        <v>3.988</v>
      </c>
      <c r="R36" s="58">
        <v>22.88</v>
      </c>
      <c r="S36" s="58">
        <v>20.85</v>
      </c>
      <c r="T36" s="58">
        <v>1.5249999999999999</v>
      </c>
      <c r="U36" s="59">
        <v>1.0636300000000001</v>
      </c>
      <c r="V36" s="59">
        <v>0.98646</v>
      </c>
      <c r="W36" s="58">
        <v>0.317</v>
      </c>
      <c r="X36" s="58">
        <v>8.43</v>
      </c>
      <c r="Y36" s="58">
        <v>14.8</v>
      </c>
      <c r="Z36" s="58">
        <v>190.4</v>
      </c>
      <c r="AA36" s="59">
        <v>1.1250800000000001</v>
      </c>
      <c r="AB36" s="59">
        <v>1.14611</v>
      </c>
      <c r="AC36" s="58">
        <v>9.9000000000000005E-2</v>
      </c>
      <c r="AD36" s="58">
        <v>0.96</v>
      </c>
      <c r="AE36" s="58">
        <v>1E-3</v>
      </c>
      <c r="AF36" s="58">
        <v>3.0000000000000001E-3</v>
      </c>
      <c r="AG36" s="58">
        <v>4.7E-2</v>
      </c>
      <c r="AH36" s="58">
        <v>0.22700000000000001</v>
      </c>
      <c r="AI36" s="58">
        <v>6.9000000000000006E-2</v>
      </c>
      <c r="AJ36" s="59">
        <v>1.03626</v>
      </c>
      <c r="AK36" s="59">
        <v>1.13002</v>
      </c>
      <c r="AL36" s="58">
        <v>0.105</v>
      </c>
      <c r="AM36" s="58">
        <v>0.108</v>
      </c>
      <c r="AN36" s="58">
        <v>4.0000000000000001E-3</v>
      </c>
      <c r="AO36" s="58">
        <v>0.252</v>
      </c>
      <c r="AP36" s="58">
        <v>38.51</v>
      </c>
      <c r="AQ36" s="58">
        <v>38.36</v>
      </c>
      <c r="AR36" s="58">
        <v>0.76300000000000001</v>
      </c>
      <c r="AS36" s="58">
        <v>1.5209999999999999</v>
      </c>
      <c r="AT36" s="58">
        <v>0.185</v>
      </c>
      <c r="AU36" s="58">
        <v>0.69</v>
      </c>
      <c r="AV36" s="58">
        <v>0.13600000000000001</v>
      </c>
      <c r="AW36" s="58">
        <v>0.03</v>
      </c>
      <c r="AX36" s="58">
        <v>0.12</v>
      </c>
      <c r="AY36" s="58">
        <v>1.7999999999999999E-2</v>
      </c>
      <c r="AZ36" s="58">
        <v>8.6999999999999994E-2</v>
      </c>
      <c r="BA36" s="58">
        <v>1.6E-2</v>
      </c>
      <c r="BB36" s="58">
        <v>4.2999999999999997E-2</v>
      </c>
      <c r="BC36" s="58">
        <v>6.0000000000000001E-3</v>
      </c>
      <c r="BD36" s="58">
        <v>3.5999999999999997E-2</v>
      </c>
      <c r="BE36" s="58">
        <v>5.0000000000000001E-3</v>
      </c>
      <c r="BF36" s="58">
        <v>2E-3</v>
      </c>
      <c r="BG36" s="58">
        <v>8.3000000000000004E-2</v>
      </c>
      <c r="BH36" s="58">
        <v>0.29899999999999999</v>
      </c>
      <c r="BI36" s="58">
        <v>0.30299999999999999</v>
      </c>
      <c r="BJ36" s="58">
        <v>0</v>
      </c>
      <c r="BK36" s="58">
        <v>0</v>
      </c>
      <c r="BL36" s="58">
        <v>0.115</v>
      </c>
      <c r="BM36" s="58">
        <v>1.0999999999999999E-2</v>
      </c>
      <c r="BN36" s="58">
        <v>2.492</v>
      </c>
      <c r="BO36" s="59">
        <v>0.97121999999999997</v>
      </c>
      <c r="BP36" s="59">
        <v>1.07575</v>
      </c>
      <c r="BQ36" s="58">
        <v>0.22500000000000001</v>
      </c>
      <c r="BR36" s="58">
        <v>3.5000000000000003E-2</v>
      </c>
    </row>
    <row r="37" spans="1:70" ht="15.95" customHeight="1" x14ac:dyDescent="0.25">
      <c r="A37" s="58" t="s">
        <v>81</v>
      </c>
      <c r="B37" s="58">
        <v>267.3</v>
      </c>
      <c r="C37" s="58">
        <v>4157</v>
      </c>
      <c r="D37" s="58">
        <v>627.20000000000005</v>
      </c>
      <c r="E37" s="58">
        <v>1665</v>
      </c>
      <c r="F37" s="58">
        <v>43980</v>
      </c>
      <c r="G37" s="58">
        <v>54280</v>
      </c>
      <c r="H37" s="59">
        <v>1.20201</v>
      </c>
      <c r="I37" s="59">
        <v>1.1789099999999999</v>
      </c>
      <c r="J37" s="58">
        <v>312.60000000000002</v>
      </c>
      <c r="K37" s="58">
        <v>26.13</v>
      </c>
      <c r="L37" s="58">
        <v>40.07</v>
      </c>
      <c r="M37" s="58">
        <v>4.3170000000000002</v>
      </c>
      <c r="N37" s="58">
        <v>97.69</v>
      </c>
      <c r="O37" s="58">
        <v>960.6</v>
      </c>
      <c r="P37" s="58">
        <v>0.47499999999999998</v>
      </c>
      <c r="Q37" s="58">
        <v>2.7210000000000001</v>
      </c>
      <c r="R37" s="58">
        <v>25.98</v>
      </c>
      <c r="S37" s="58">
        <v>33.33</v>
      </c>
      <c r="T37" s="58">
        <v>1.0109999999999999</v>
      </c>
      <c r="U37" s="59">
        <v>1.0781799999999999</v>
      </c>
      <c r="V37" s="59">
        <v>1.0093000000000001</v>
      </c>
      <c r="W37" s="58">
        <v>0.36</v>
      </c>
      <c r="X37" s="58">
        <v>7.66</v>
      </c>
      <c r="Y37" s="58">
        <v>30.25</v>
      </c>
      <c r="Z37" s="58">
        <v>177.7</v>
      </c>
      <c r="AA37" s="59">
        <v>1.1575</v>
      </c>
      <c r="AB37" s="59">
        <v>1.19312</v>
      </c>
      <c r="AC37" s="58">
        <v>8.1000000000000003E-2</v>
      </c>
      <c r="AD37" s="58">
        <v>0.70799999999999996</v>
      </c>
      <c r="AE37" s="58">
        <v>1E-3</v>
      </c>
      <c r="AF37" s="58">
        <v>3.0000000000000001E-3</v>
      </c>
      <c r="AG37" s="58">
        <v>4.2999999999999997E-2</v>
      </c>
      <c r="AH37" s="58">
        <v>0.19700000000000001</v>
      </c>
      <c r="AI37" s="58">
        <v>0.10199999999999999</v>
      </c>
      <c r="AJ37" s="59">
        <v>1.05681</v>
      </c>
      <c r="AK37" s="59">
        <v>1.17303</v>
      </c>
      <c r="AL37" s="58">
        <v>0.873</v>
      </c>
      <c r="AM37" s="58">
        <v>0.16800000000000001</v>
      </c>
      <c r="AN37" s="58">
        <v>3.0000000000000001E-3</v>
      </c>
      <c r="AO37" s="58">
        <v>0.28399999999999997</v>
      </c>
      <c r="AP37" s="58">
        <v>24.45</v>
      </c>
      <c r="AQ37" s="58">
        <v>24.62</v>
      </c>
      <c r="AR37" s="58">
        <v>0.73</v>
      </c>
      <c r="AS37" s="58">
        <v>1.4059999999999999</v>
      </c>
      <c r="AT37" s="58">
        <v>0.17199999999999999</v>
      </c>
      <c r="AU37" s="58">
        <v>0.63300000000000001</v>
      </c>
      <c r="AV37" s="58">
        <v>0.11899999999999999</v>
      </c>
      <c r="AW37" s="58">
        <v>2.7E-2</v>
      </c>
      <c r="AX37" s="58">
        <v>0.109</v>
      </c>
      <c r="AY37" s="58">
        <v>1.6E-2</v>
      </c>
      <c r="AZ37" s="58">
        <v>7.9000000000000001E-2</v>
      </c>
      <c r="BA37" s="58">
        <v>1.4E-2</v>
      </c>
      <c r="BB37" s="58">
        <v>3.7999999999999999E-2</v>
      </c>
      <c r="BC37" s="58">
        <v>5.0000000000000001E-3</v>
      </c>
      <c r="BD37" s="58">
        <v>3.5000000000000003E-2</v>
      </c>
      <c r="BE37" s="58">
        <v>5.0000000000000001E-3</v>
      </c>
      <c r="BF37" s="58">
        <v>2E-3</v>
      </c>
      <c r="BG37" s="58">
        <v>0.10100000000000001</v>
      </c>
      <c r="BH37" s="58">
        <v>0.125</v>
      </c>
      <c r="BI37" s="58">
        <v>0.127</v>
      </c>
      <c r="BJ37" s="58">
        <v>0</v>
      </c>
      <c r="BK37" s="58">
        <v>0</v>
      </c>
      <c r="BL37" s="58">
        <v>0.11700000000000001</v>
      </c>
      <c r="BM37" s="58">
        <v>1.2999999999999999E-2</v>
      </c>
      <c r="BN37" s="58">
        <v>1.4870000000000001</v>
      </c>
      <c r="BO37" s="59">
        <v>0.97504999999999997</v>
      </c>
      <c r="BP37" s="59">
        <v>1.0992299999999999</v>
      </c>
      <c r="BQ37" s="58">
        <v>0.19700000000000001</v>
      </c>
      <c r="BR37" s="58">
        <v>0.03</v>
      </c>
    </row>
    <row r="38" spans="1:70" ht="15.95" customHeight="1" x14ac:dyDescent="0.25">
      <c r="A38" s="58" t="s">
        <v>82</v>
      </c>
      <c r="B38" s="58">
        <v>403.6</v>
      </c>
      <c r="C38" s="58">
        <v>6071</v>
      </c>
      <c r="D38" s="58">
        <v>406.7</v>
      </c>
      <c r="E38" s="58">
        <v>3839</v>
      </c>
      <c r="F38" s="58">
        <v>46680</v>
      </c>
      <c r="G38" s="58">
        <v>51830</v>
      </c>
      <c r="H38" s="59">
        <v>1.1865000000000001</v>
      </c>
      <c r="I38" s="59">
        <v>1.16856</v>
      </c>
      <c r="J38" s="58">
        <v>276.7</v>
      </c>
      <c r="K38" s="58">
        <v>15.39</v>
      </c>
      <c r="L38" s="58">
        <v>29.81</v>
      </c>
      <c r="M38" s="58">
        <v>3.51</v>
      </c>
      <c r="N38" s="58">
        <v>110.9</v>
      </c>
      <c r="O38" s="58">
        <v>514.79999999999995</v>
      </c>
      <c r="P38" s="58">
        <v>0.26100000000000001</v>
      </c>
      <c r="Q38" s="58">
        <v>2.5779999999999998</v>
      </c>
      <c r="R38" s="58">
        <v>17.239999999999998</v>
      </c>
      <c r="S38" s="58">
        <v>16.28</v>
      </c>
      <c r="T38" s="58">
        <v>1.839</v>
      </c>
      <c r="U38" s="59">
        <v>1.0745400000000001</v>
      </c>
      <c r="V38" s="59">
        <v>1.0047600000000001</v>
      </c>
      <c r="W38" s="58">
        <v>0.26</v>
      </c>
      <c r="X38" s="58">
        <v>11.12</v>
      </c>
      <c r="Y38" s="58">
        <v>10.61</v>
      </c>
      <c r="Z38" s="58">
        <v>284.10000000000002</v>
      </c>
      <c r="AA38" s="59">
        <v>1.15595</v>
      </c>
      <c r="AB38" s="59">
        <v>1.18323</v>
      </c>
      <c r="AC38" s="58">
        <v>3.7999999999999999E-2</v>
      </c>
      <c r="AD38" s="58">
        <v>0.85199999999999998</v>
      </c>
      <c r="AE38" s="58">
        <v>1E-3</v>
      </c>
      <c r="AF38" s="58">
        <v>4.0000000000000001E-3</v>
      </c>
      <c r="AG38" s="58">
        <v>7.1999999999999995E-2</v>
      </c>
      <c r="AH38" s="58">
        <v>0.114</v>
      </c>
      <c r="AI38" s="58">
        <v>4.5999999999999999E-2</v>
      </c>
      <c r="AJ38" s="59">
        <v>1.0527899999999999</v>
      </c>
      <c r="AK38" s="59">
        <v>1.1614100000000001</v>
      </c>
      <c r="AL38" s="58">
        <v>0.73499999999999999</v>
      </c>
      <c r="AM38" s="58">
        <v>1.9E-2</v>
      </c>
      <c r="AN38" s="58">
        <v>4.0000000000000001E-3</v>
      </c>
      <c r="AO38" s="58">
        <v>9.8000000000000004E-2</v>
      </c>
      <c r="AP38" s="58">
        <v>48.18</v>
      </c>
      <c r="AQ38" s="58">
        <v>55.14</v>
      </c>
      <c r="AR38" s="58">
        <v>0.35099999999999998</v>
      </c>
      <c r="AS38" s="58">
        <v>0.68799999999999994</v>
      </c>
      <c r="AT38" s="58">
        <v>8.7999999999999995E-2</v>
      </c>
      <c r="AU38" s="58">
        <v>0.32200000000000001</v>
      </c>
      <c r="AV38" s="58">
        <v>6.3E-2</v>
      </c>
      <c r="AW38" s="58">
        <v>1.7999999999999999E-2</v>
      </c>
      <c r="AX38" s="58">
        <v>5.5E-2</v>
      </c>
      <c r="AY38" s="58">
        <v>7.0000000000000001E-3</v>
      </c>
      <c r="AZ38" s="58">
        <v>3.5999999999999997E-2</v>
      </c>
      <c r="BA38" s="58">
        <v>7.0000000000000001E-3</v>
      </c>
      <c r="BB38" s="58">
        <v>1.9E-2</v>
      </c>
      <c r="BC38" s="58">
        <v>2E-3</v>
      </c>
      <c r="BD38" s="58">
        <v>1.6E-2</v>
      </c>
      <c r="BE38" s="58">
        <v>2E-3</v>
      </c>
      <c r="BF38" s="58">
        <v>1E-3</v>
      </c>
      <c r="BG38" s="58">
        <v>6.5000000000000002E-2</v>
      </c>
      <c r="BH38" s="58">
        <v>0.222</v>
      </c>
      <c r="BI38" s="58">
        <v>0.23</v>
      </c>
      <c r="BJ38" s="58">
        <v>0</v>
      </c>
      <c r="BK38" s="58">
        <v>0</v>
      </c>
      <c r="BL38" s="58">
        <v>0.113</v>
      </c>
      <c r="BM38" s="58">
        <v>0.01</v>
      </c>
      <c r="BN38" s="58">
        <v>0.40899999999999997</v>
      </c>
      <c r="BO38" s="59">
        <v>0.97401000000000004</v>
      </c>
      <c r="BP38" s="59">
        <v>1.0908</v>
      </c>
      <c r="BQ38" s="58">
        <v>0.128</v>
      </c>
      <c r="BR38" s="58">
        <v>1.4E-2</v>
      </c>
    </row>
    <row r="39" spans="1:70" ht="15.95" customHeight="1" x14ac:dyDescent="0.25">
      <c r="A39" s="58" t="s">
        <v>83</v>
      </c>
      <c r="B39" s="58">
        <v>436.7</v>
      </c>
      <c r="C39" s="58">
        <v>5546</v>
      </c>
      <c r="D39" s="58">
        <v>507.1</v>
      </c>
      <c r="E39" s="58">
        <v>3311</v>
      </c>
      <c r="F39" s="58">
        <v>50550</v>
      </c>
      <c r="G39" s="58">
        <v>38700</v>
      </c>
      <c r="H39" s="59">
        <v>1.18824</v>
      </c>
      <c r="I39" s="59">
        <v>1.1652499999999999</v>
      </c>
      <c r="J39" s="58">
        <v>226.1</v>
      </c>
      <c r="K39" s="58">
        <v>18.559999999999999</v>
      </c>
      <c r="L39" s="58">
        <v>34.340000000000003</v>
      </c>
      <c r="M39" s="58">
        <v>3.7869999999999999</v>
      </c>
      <c r="N39" s="58">
        <v>118.1</v>
      </c>
      <c r="O39" s="58">
        <v>665.6</v>
      </c>
      <c r="P39" s="58">
        <v>0.40799999999999997</v>
      </c>
      <c r="Q39" s="58">
        <v>3.6360000000000001</v>
      </c>
      <c r="R39" s="58">
        <v>31.89</v>
      </c>
      <c r="S39" s="58">
        <v>18.739999999999998</v>
      </c>
      <c r="T39" s="58">
        <v>1.218</v>
      </c>
      <c r="U39" s="59">
        <v>1.06412</v>
      </c>
      <c r="V39" s="59">
        <v>1.0007200000000001</v>
      </c>
      <c r="W39" s="58">
        <v>0.14399999999999999</v>
      </c>
      <c r="X39" s="58">
        <v>6.3479999999999999</v>
      </c>
      <c r="Y39" s="58">
        <v>13.68</v>
      </c>
      <c r="Z39" s="58">
        <v>256.5</v>
      </c>
      <c r="AA39" s="59">
        <v>1.13113</v>
      </c>
      <c r="AB39" s="59">
        <v>1.1833499999999999</v>
      </c>
      <c r="AC39" s="58">
        <v>5.0999999999999997E-2</v>
      </c>
      <c r="AD39" s="58">
        <v>1.2030000000000001</v>
      </c>
      <c r="AE39" s="58">
        <v>1E-3</v>
      </c>
      <c r="AF39" s="58">
        <v>5.0000000000000001E-3</v>
      </c>
      <c r="AG39" s="58">
        <v>6.9000000000000006E-2</v>
      </c>
      <c r="AH39" s="58">
        <v>1.2999999999999999E-2</v>
      </c>
      <c r="AI39" s="58">
        <v>0.10100000000000001</v>
      </c>
      <c r="AJ39" s="59">
        <v>1.0341800000000001</v>
      </c>
      <c r="AK39" s="59">
        <v>1.15943</v>
      </c>
      <c r="AL39" s="58">
        <v>0.46700000000000003</v>
      </c>
      <c r="AM39" s="58">
        <v>2.1999999999999999E-2</v>
      </c>
      <c r="AN39" s="58">
        <v>-1E-3</v>
      </c>
      <c r="AO39" s="58">
        <v>0.16200000000000001</v>
      </c>
      <c r="AP39" s="58">
        <v>31</v>
      </c>
      <c r="AQ39" s="58">
        <v>31.08</v>
      </c>
      <c r="AR39" s="58">
        <v>0.53</v>
      </c>
      <c r="AS39" s="58">
        <v>1.0289999999999999</v>
      </c>
      <c r="AT39" s="58">
        <v>0.13</v>
      </c>
      <c r="AU39" s="58">
        <v>0.48599999999999999</v>
      </c>
      <c r="AV39" s="58">
        <v>9.1999999999999998E-2</v>
      </c>
      <c r="AW39" s="58">
        <v>1.9E-2</v>
      </c>
      <c r="AX39" s="58">
        <v>8.4000000000000005E-2</v>
      </c>
      <c r="AY39" s="58">
        <v>1.0999999999999999E-2</v>
      </c>
      <c r="AZ39" s="58">
        <v>5.5E-2</v>
      </c>
      <c r="BA39" s="58">
        <v>0.01</v>
      </c>
      <c r="BB39" s="58">
        <v>2.7E-2</v>
      </c>
      <c r="BC39" s="58">
        <v>4.0000000000000001E-3</v>
      </c>
      <c r="BD39" s="58">
        <v>2.1999999999999999E-2</v>
      </c>
      <c r="BE39" s="58">
        <v>3.0000000000000001E-3</v>
      </c>
      <c r="BF39" s="58">
        <v>1E-3</v>
      </c>
      <c r="BG39" s="58">
        <v>0.107</v>
      </c>
      <c r="BH39" s="58">
        <v>0.27300000000000002</v>
      </c>
      <c r="BI39" s="58">
        <v>0.28199999999999997</v>
      </c>
      <c r="BJ39" s="58">
        <v>0</v>
      </c>
      <c r="BK39" s="58">
        <v>0</v>
      </c>
      <c r="BL39" s="58">
        <v>9.6000000000000002E-2</v>
      </c>
      <c r="BM39" s="58">
        <v>1.4E-2</v>
      </c>
      <c r="BN39" s="58">
        <v>0.48499999999999999</v>
      </c>
      <c r="BO39" s="59">
        <v>0.96309999999999996</v>
      </c>
      <c r="BP39" s="59">
        <v>1.0970299999999999</v>
      </c>
      <c r="BQ39" s="58">
        <v>0.19400000000000001</v>
      </c>
      <c r="BR39" s="58">
        <v>2.4E-2</v>
      </c>
    </row>
    <row r="40" spans="1:70" ht="15.95" customHeight="1" x14ac:dyDescent="0.25">
      <c r="A40" s="58" t="s">
        <v>84</v>
      </c>
      <c r="B40" s="58">
        <v>363.9</v>
      </c>
      <c r="C40" s="58">
        <v>5060</v>
      </c>
      <c r="D40" s="58">
        <v>473.5</v>
      </c>
      <c r="E40" s="58">
        <v>5382</v>
      </c>
      <c r="F40" s="58">
        <v>50940</v>
      </c>
      <c r="G40" s="58">
        <v>43740</v>
      </c>
      <c r="H40" s="59">
        <v>1.17622</v>
      </c>
      <c r="I40" s="59">
        <v>1.1636</v>
      </c>
      <c r="J40" s="58">
        <v>243.2</v>
      </c>
      <c r="K40" s="58">
        <v>18.73</v>
      </c>
      <c r="L40" s="58">
        <v>31.29</v>
      </c>
      <c r="M40" s="58">
        <v>3.6520000000000001</v>
      </c>
      <c r="N40" s="58">
        <v>100.7</v>
      </c>
      <c r="O40" s="58">
        <v>590.1</v>
      </c>
      <c r="P40" s="58">
        <v>0.44600000000000001</v>
      </c>
      <c r="Q40" s="58">
        <v>5.2210000000000001</v>
      </c>
      <c r="R40" s="58">
        <v>22.97</v>
      </c>
      <c r="S40" s="58">
        <v>9.5630000000000006</v>
      </c>
      <c r="T40" s="58">
        <v>1.9419999999999999</v>
      </c>
      <c r="U40" s="59">
        <v>1.0589299999999999</v>
      </c>
      <c r="V40" s="59">
        <v>0.99768000000000001</v>
      </c>
      <c r="W40" s="58">
        <v>0.18099999999999999</v>
      </c>
      <c r="X40" s="58">
        <v>16.54</v>
      </c>
      <c r="Y40" s="58">
        <v>17.579999999999998</v>
      </c>
      <c r="Z40" s="58">
        <v>339.7</v>
      </c>
      <c r="AA40" s="59">
        <v>1.13008</v>
      </c>
      <c r="AB40" s="59">
        <v>1.1795</v>
      </c>
      <c r="AC40" s="58">
        <v>3.9E-2</v>
      </c>
      <c r="AD40" s="58">
        <v>0.65700000000000003</v>
      </c>
      <c r="AE40" s="58">
        <v>1E-3</v>
      </c>
      <c r="AF40" s="58">
        <v>5.0000000000000001E-3</v>
      </c>
      <c r="AG40" s="58">
        <v>8.6999999999999994E-2</v>
      </c>
      <c r="AH40" s="58">
        <v>0.25</v>
      </c>
      <c r="AI40" s="58">
        <v>0.16200000000000001</v>
      </c>
      <c r="AJ40" s="59">
        <v>1.0310699999999999</v>
      </c>
      <c r="AK40" s="59">
        <v>1.1631899999999999</v>
      </c>
      <c r="AL40" s="58">
        <v>1.325</v>
      </c>
      <c r="AM40" s="58">
        <v>2.4E-2</v>
      </c>
      <c r="AN40" s="58">
        <v>3.0000000000000001E-3</v>
      </c>
      <c r="AO40" s="58">
        <v>0.13500000000000001</v>
      </c>
      <c r="AP40" s="58">
        <v>50.44</v>
      </c>
      <c r="AQ40" s="58">
        <v>57.65</v>
      </c>
      <c r="AR40" s="58">
        <v>0.33700000000000002</v>
      </c>
      <c r="AS40" s="58">
        <v>0.63500000000000001</v>
      </c>
      <c r="AT40" s="58">
        <v>8.4000000000000005E-2</v>
      </c>
      <c r="AU40" s="58">
        <v>0.31900000000000001</v>
      </c>
      <c r="AV40" s="58">
        <v>6.4000000000000001E-2</v>
      </c>
      <c r="AW40" s="58">
        <v>0.02</v>
      </c>
      <c r="AX40" s="58">
        <v>5.7000000000000002E-2</v>
      </c>
      <c r="AY40" s="58">
        <v>8.0000000000000002E-3</v>
      </c>
      <c r="AZ40" s="58">
        <v>4.1000000000000002E-2</v>
      </c>
      <c r="BA40" s="58">
        <v>8.0000000000000002E-3</v>
      </c>
      <c r="BB40" s="58">
        <v>2.1000000000000001E-2</v>
      </c>
      <c r="BC40" s="58">
        <v>3.0000000000000001E-3</v>
      </c>
      <c r="BD40" s="58">
        <v>1.7000000000000001E-2</v>
      </c>
      <c r="BE40" s="58">
        <v>3.0000000000000001E-3</v>
      </c>
      <c r="BF40" s="58">
        <v>1E-3</v>
      </c>
      <c r="BG40" s="58">
        <v>0.11600000000000001</v>
      </c>
      <c r="BH40" s="58">
        <v>0.28100000000000003</v>
      </c>
      <c r="BI40" s="58">
        <v>0.28599999999999998</v>
      </c>
      <c r="BJ40" s="58">
        <v>0</v>
      </c>
      <c r="BK40" s="58">
        <v>1E-3</v>
      </c>
      <c r="BL40" s="58">
        <v>0.19700000000000001</v>
      </c>
      <c r="BM40" s="58">
        <v>8.9999999999999993E-3</v>
      </c>
      <c r="BN40" s="58">
        <v>0.443</v>
      </c>
      <c r="BO40" s="59">
        <v>0.96136999999999995</v>
      </c>
      <c r="BP40" s="59">
        <v>1.0960300000000001</v>
      </c>
      <c r="BQ40" s="58">
        <v>9.1999999999999998E-2</v>
      </c>
      <c r="BR40" s="58">
        <v>1.4E-2</v>
      </c>
    </row>
    <row r="41" spans="1:70" ht="15.95" customHeight="1" x14ac:dyDescent="0.25">
      <c r="A41" s="58" t="s">
        <v>85</v>
      </c>
      <c r="B41" s="58">
        <v>583</v>
      </c>
      <c r="C41" s="58">
        <v>3495</v>
      </c>
      <c r="D41" s="58">
        <v>575</v>
      </c>
      <c r="E41" s="58">
        <v>2682</v>
      </c>
      <c r="F41" s="58">
        <v>43620</v>
      </c>
      <c r="G41" s="58">
        <v>44590</v>
      </c>
      <c r="H41" s="59">
        <v>1.15794</v>
      </c>
      <c r="I41" s="59">
        <v>1.14178</v>
      </c>
      <c r="J41" s="58">
        <v>257.8</v>
      </c>
      <c r="K41" s="58">
        <v>21.11</v>
      </c>
      <c r="L41" s="58">
        <v>37.82</v>
      </c>
      <c r="M41" s="58">
        <v>4.2530000000000001</v>
      </c>
      <c r="N41" s="58">
        <v>114.5</v>
      </c>
      <c r="O41" s="58">
        <v>708.9</v>
      </c>
      <c r="P41" s="58">
        <v>0.64500000000000002</v>
      </c>
      <c r="Q41" s="58">
        <v>5.22</v>
      </c>
      <c r="R41" s="58">
        <v>23.22</v>
      </c>
      <c r="S41" s="58">
        <v>9.9499999999999993</v>
      </c>
      <c r="T41" s="58">
        <v>1.534</v>
      </c>
      <c r="U41" s="59">
        <v>1.0320400000000001</v>
      </c>
      <c r="V41" s="59">
        <v>0.97767000000000004</v>
      </c>
      <c r="W41" s="58">
        <v>0.248</v>
      </c>
      <c r="X41" s="58">
        <v>22.23</v>
      </c>
      <c r="Y41" s="58">
        <v>16.64</v>
      </c>
      <c r="Z41" s="58">
        <v>203.6</v>
      </c>
      <c r="AA41" s="59">
        <v>1.1072900000000001</v>
      </c>
      <c r="AB41" s="59">
        <v>1.1660200000000001</v>
      </c>
      <c r="AC41" s="58">
        <v>6.4000000000000001E-2</v>
      </c>
      <c r="AD41" s="58">
        <v>0.48199999999999998</v>
      </c>
      <c r="AE41" s="58">
        <v>1E-3</v>
      </c>
      <c r="AF41" s="58">
        <v>3.0000000000000001E-3</v>
      </c>
      <c r="AG41" s="58">
        <v>0.05</v>
      </c>
      <c r="AH41" s="58">
        <v>0.218</v>
      </c>
      <c r="AI41" s="58">
        <v>9.6000000000000002E-2</v>
      </c>
      <c r="AJ41" s="59">
        <v>1.01271</v>
      </c>
      <c r="AK41" s="59">
        <v>1.1507400000000001</v>
      </c>
      <c r="AL41" s="58">
        <v>0.45700000000000002</v>
      </c>
      <c r="AM41" s="58">
        <v>5.7000000000000002E-2</v>
      </c>
      <c r="AN41" s="58">
        <v>2E-3</v>
      </c>
      <c r="AO41" s="58">
        <v>0.158</v>
      </c>
      <c r="AP41" s="58">
        <v>39.26</v>
      </c>
      <c r="AQ41" s="58">
        <v>38.31</v>
      </c>
      <c r="AR41" s="58">
        <v>0.54400000000000004</v>
      </c>
      <c r="AS41" s="58">
        <v>1.0940000000000001</v>
      </c>
      <c r="AT41" s="58">
        <v>0.13600000000000001</v>
      </c>
      <c r="AU41" s="58">
        <v>0.51200000000000001</v>
      </c>
      <c r="AV41" s="58">
        <v>0.105</v>
      </c>
      <c r="AW41" s="58">
        <v>2.5999999999999999E-2</v>
      </c>
      <c r="AX41" s="58">
        <v>9.4E-2</v>
      </c>
      <c r="AY41" s="58">
        <v>1.2999999999999999E-2</v>
      </c>
      <c r="AZ41" s="58">
        <v>6.8000000000000005E-2</v>
      </c>
      <c r="BA41" s="58">
        <v>1.2999999999999999E-2</v>
      </c>
      <c r="BB41" s="58">
        <v>3.5000000000000003E-2</v>
      </c>
      <c r="BC41" s="58">
        <v>5.0000000000000001E-3</v>
      </c>
      <c r="BD41" s="58">
        <v>0.03</v>
      </c>
      <c r="BE41" s="58">
        <v>4.0000000000000001E-3</v>
      </c>
      <c r="BF41" s="58">
        <v>1E-3</v>
      </c>
      <c r="BG41" s="58">
        <v>7.2999999999999995E-2</v>
      </c>
      <c r="BH41" s="58">
        <v>0.22500000000000001</v>
      </c>
      <c r="BI41" s="58">
        <v>0.23</v>
      </c>
      <c r="BJ41" s="58">
        <v>0</v>
      </c>
      <c r="BK41" s="58">
        <v>0</v>
      </c>
      <c r="BL41" s="58">
        <v>8.7999999999999995E-2</v>
      </c>
      <c r="BM41" s="58">
        <v>1.2E-2</v>
      </c>
      <c r="BN41" s="58">
        <v>0.85399999999999998</v>
      </c>
      <c r="BO41" s="59">
        <v>0.95431999999999995</v>
      </c>
      <c r="BP41" s="59">
        <v>1.0924700000000001</v>
      </c>
      <c r="BQ41" s="58">
        <v>0.16800000000000001</v>
      </c>
      <c r="BR41" s="58">
        <v>2.7E-2</v>
      </c>
    </row>
    <row r="42" spans="1:70" ht="15.95" customHeight="1" x14ac:dyDescent="0.25">
      <c r="A42" s="58" t="s">
        <v>86</v>
      </c>
      <c r="B42" s="58">
        <v>422.9</v>
      </c>
      <c r="C42" s="58">
        <v>3852</v>
      </c>
      <c r="D42" s="58">
        <v>733.4</v>
      </c>
      <c r="E42" s="58">
        <v>3230</v>
      </c>
      <c r="F42" s="58">
        <v>46260</v>
      </c>
      <c r="G42" s="58">
        <v>44640</v>
      </c>
      <c r="H42" s="59">
        <v>1.11852</v>
      </c>
      <c r="I42" s="59">
        <v>1.1359300000000001</v>
      </c>
      <c r="J42" s="58">
        <v>265.10000000000002</v>
      </c>
      <c r="K42" s="58">
        <v>25.58</v>
      </c>
      <c r="L42" s="58">
        <v>33.92</v>
      </c>
      <c r="M42" s="58">
        <v>3.15</v>
      </c>
      <c r="N42" s="58">
        <v>128</v>
      </c>
      <c r="O42" s="58">
        <v>1097</v>
      </c>
      <c r="P42" s="58">
        <v>0.40300000000000002</v>
      </c>
      <c r="Q42" s="58">
        <v>3.379</v>
      </c>
      <c r="R42" s="58">
        <v>27.45</v>
      </c>
      <c r="S42" s="58">
        <v>18.440000000000001</v>
      </c>
      <c r="T42" s="58">
        <v>1.59</v>
      </c>
      <c r="U42" s="59">
        <v>1.00671</v>
      </c>
      <c r="V42" s="59">
        <v>0.97167000000000003</v>
      </c>
      <c r="W42" s="58">
        <v>0.28399999999999997</v>
      </c>
      <c r="X42" s="58">
        <v>5.0880000000000001</v>
      </c>
      <c r="Y42" s="58">
        <v>12.59</v>
      </c>
      <c r="Z42" s="58">
        <v>198.3</v>
      </c>
      <c r="AA42" s="59">
        <v>1.08941</v>
      </c>
      <c r="AB42" s="59">
        <v>1.1597200000000001</v>
      </c>
      <c r="AC42" s="58">
        <v>7.2999999999999995E-2</v>
      </c>
      <c r="AD42" s="58">
        <v>0.39800000000000002</v>
      </c>
      <c r="AE42" s="58">
        <v>1E-3</v>
      </c>
      <c r="AF42" s="58">
        <v>3.0000000000000001E-3</v>
      </c>
      <c r="AG42" s="58">
        <v>4.8000000000000001E-2</v>
      </c>
      <c r="AH42" s="58">
        <v>0.39700000000000002</v>
      </c>
      <c r="AI42" s="58">
        <v>0.114</v>
      </c>
      <c r="AJ42" s="59">
        <v>0.99778</v>
      </c>
      <c r="AK42" s="59">
        <v>1.14463</v>
      </c>
      <c r="AL42" s="58">
        <v>0.755</v>
      </c>
      <c r="AM42" s="58">
        <v>4.1000000000000002E-2</v>
      </c>
      <c r="AN42" s="58">
        <v>1E-3</v>
      </c>
      <c r="AO42" s="58">
        <v>0.18</v>
      </c>
      <c r="AP42" s="58">
        <v>40.11</v>
      </c>
      <c r="AQ42" s="58">
        <v>39.51</v>
      </c>
      <c r="AR42" s="58">
        <v>0.56999999999999995</v>
      </c>
      <c r="AS42" s="58">
        <v>1.111</v>
      </c>
      <c r="AT42" s="58">
        <v>0.13800000000000001</v>
      </c>
      <c r="AU42" s="58">
        <v>0.51800000000000002</v>
      </c>
      <c r="AV42" s="58">
        <v>9.9000000000000005E-2</v>
      </c>
      <c r="AW42" s="58">
        <v>2.5000000000000001E-2</v>
      </c>
      <c r="AX42" s="58">
        <v>9.6000000000000002E-2</v>
      </c>
      <c r="AY42" s="58">
        <v>1.2999999999999999E-2</v>
      </c>
      <c r="AZ42" s="58">
        <v>6.3E-2</v>
      </c>
      <c r="BA42" s="58">
        <v>1.2E-2</v>
      </c>
      <c r="BB42" s="58">
        <v>3.2000000000000001E-2</v>
      </c>
      <c r="BC42" s="58">
        <v>4.0000000000000001E-3</v>
      </c>
      <c r="BD42" s="58">
        <v>2.5999999999999999E-2</v>
      </c>
      <c r="BE42" s="58">
        <v>4.0000000000000001E-3</v>
      </c>
      <c r="BF42" s="58">
        <v>2E-3</v>
      </c>
      <c r="BG42" s="58">
        <v>7.9000000000000001E-2</v>
      </c>
      <c r="BH42" s="58">
        <v>0.19600000000000001</v>
      </c>
      <c r="BI42" s="58">
        <v>0.20399999999999999</v>
      </c>
      <c r="BJ42" s="58">
        <v>0</v>
      </c>
      <c r="BK42" s="58">
        <v>0</v>
      </c>
      <c r="BL42" s="58">
        <v>0.16900000000000001</v>
      </c>
      <c r="BM42" s="58">
        <v>8.0000000000000002E-3</v>
      </c>
      <c r="BN42" s="58">
        <v>0.66500000000000004</v>
      </c>
      <c r="BO42" s="59">
        <v>0.93910000000000005</v>
      </c>
      <c r="BP42" s="59">
        <v>1.08175</v>
      </c>
      <c r="BQ42" s="58">
        <v>0.161</v>
      </c>
      <c r="BR42" s="58">
        <v>2.7E-2</v>
      </c>
    </row>
    <row r="43" spans="1:70" ht="15.95" customHeight="1" x14ac:dyDescent="0.25">
      <c r="A43" s="58" t="s">
        <v>88</v>
      </c>
      <c r="B43" s="58">
        <v>-13.22</v>
      </c>
      <c r="C43" s="58">
        <v>6.9000000000000006E-2</v>
      </c>
      <c r="D43" s="58">
        <v>-2.04</v>
      </c>
      <c r="E43" s="58">
        <v>20.78</v>
      </c>
      <c r="F43" s="58">
        <v>-1.7569999999999999</v>
      </c>
      <c r="G43" s="58">
        <v>1.3440000000000001</v>
      </c>
      <c r="H43" s="59">
        <v>1.1013999999999999</v>
      </c>
      <c r="I43" s="59">
        <v>1.04504</v>
      </c>
      <c r="J43" s="58">
        <v>9.8000000000000004E-2</v>
      </c>
      <c r="K43" s="58">
        <v>4.2000000000000003E-2</v>
      </c>
      <c r="L43" s="58">
        <v>0.69899999999999995</v>
      </c>
      <c r="M43" s="58">
        <v>0.19700000000000001</v>
      </c>
      <c r="N43" s="58">
        <v>0.08</v>
      </c>
      <c r="O43" s="58">
        <v>183.5</v>
      </c>
      <c r="P43" s="58">
        <v>-2.3E-2</v>
      </c>
      <c r="Q43" s="58">
        <v>6.0999999999999999E-2</v>
      </c>
      <c r="R43" s="58">
        <v>4.5999999999999999E-2</v>
      </c>
      <c r="S43" s="58">
        <v>-2.3610000000000002</v>
      </c>
      <c r="T43" s="58">
        <v>-2E-3</v>
      </c>
      <c r="U43" s="59">
        <v>1.0395300000000001</v>
      </c>
      <c r="V43" s="59">
        <v>0.94433999999999996</v>
      </c>
      <c r="W43" s="58">
        <v>4.1000000000000002E-2</v>
      </c>
      <c r="X43" s="58">
        <v>-0.04</v>
      </c>
      <c r="Y43" s="58">
        <v>1E-3</v>
      </c>
      <c r="Z43" s="58">
        <v>-1.4E-2</v>
      </c>
      <c r="AA43" s="59">
        <v>1.0746100000000001</v>
      </c>
      <c r="AB43" s="59">
        <v>1.0839399999999999</v>
      </c>
      <c r="AC43" s="58">
        <v>0</v>
      </c>
      <c r="AD43" s="58">
        <v>-2E-3</v>
      </c>
      <c r="AE43" s="58">
        <v>0</v>
      </c>
      <c r="AF43" s="58">
        <v>0</v>
      </c>
      <c r="AG43" s="58">
        <v>0</v>
      </c>
      <c r="AH43" s="58">
        <v>-1.4999999999999999E-2</v>
      </c>
      <c r="AI43" s="58">
        <v>0.107</v>
      </c>
      <c r="AJ43" s="59">
        <v>0.98894000000000004</v>
      </c>
      <c r="AK43" s="59">
        <v>1.0801099999999999</v>
      </c>
      <c r="AL43" s="58">
        <v>1.7999999999999999E-2</v>
      </c>
      <c r="AM43" s="58">
        <v>3.0000000000000001E-3</v>
      </c>
      <c r="AN43" s="58">
        <v>-1E-3</v>
      </c>
      <c r="AO43" s="58">
        <v>0</v>
      </c>
      <c r="AP43" s="58">
        <v>-8.0000000000000002E-3</v>
      </c>
      <c r="AQ43" s="58">
        <v>-6.0000000000000001E-3</v>
      </c>
      <c r="AR43" s="58">
        <v>4.0000000000000001E-3</v>
      </c>
      <c r="AS43" s="58">
        <v>-8.9999999999999993E-3</v>
      </c>
      <c r="AT43" s="58">
        <v>0</v>
      </c>
      <c r="AU43" s="58">
        <v>-1E-3</v>
      </c>
      <c r="AV43" s="58">
        <v>0</v>
      </c>
      <c r="AW43" s="58">
        <v>0</v>
      </c>
      <c r="AX43" s="58">
        <v>0</v>
      </c>
      <c r="AY43" s="58">
        <v>0</v>
      </c>
      <c r="AZ43" s="58">
        <v>0</v>
      </c>
      <c r="BA43" s="58">
        <v>0</v>
      </c>
      <c r="BB43" s="58">
        <v>0</v>
      </c>
      <c r="BC43" s="58">
        <v>0</v>
      </c>
      <c r="BD43" s="58">
        <v>0</v>
      </c>
      <c r="BE43" s="58">
        <v>0</v>
      </c>
      <c r="BF43" s="58">
        <v>0</v>
      </c>
      <c r="BG43" s="58">
        <v>5.0000000000000001E-3</v>
      </c>
      <c r="BH43" s="58">
        <v>0</v>
      </c>
      <c r="BI43" s="58">
        <v>0</v>
      </c>
      <c r="BJ43" s="58">
        <v>0</v>
      </c>
      <c r="BK43" s="58">
        <v>0</v>
      </c>
      <c r="BL43" s="58">
        <v>6.9000000000000006E-2</v>
      </c>
      <c r="BM43" s="58">
        <v>-1E-3</v>
      </c>
      <c r="BN43" s="58">
        <v>1.2E-2</v>
      </c>
      <c r="BO43" s="59">
        <v>0.95926</v>
      </c>
      <c r="BP43" s="59">
        <v>1.0628899999999999</v>
      </c>
      <c r="BQ43" s="58">
        <v>1E-3</v>
      </c>
      <c r="BR43" s="58">
        <v>0</v>
      </c>
    </row>
    <row r="44" spans="1:70" ht="15.95" customHeight="1" x14ac:dyDescent="0.25">
      <c r="A44" s="58" t="s">
        <v>89</v>
      </c>
      <c r="B44" s="58">
        <v>42.88</v>
      </c>
      <c r="C44" s="58">
        <v>7270</v>
      </c>
      <c r="D44" s="58">
        <v>586.20000000000005</v>
      </c>
      <c r="E44" s="58">
        <v>3545</v>
      </c>
      <c r="F44" s="58">
        <v>41640</v>
      </c>
      <c r="G44" s="58">
        <v>39080</v>
      </c>
      <c r="H44" s="59">
        <v>1.1443300000000001</v>
      </c>
      <c r="I44" s="59">
        <v>1.12666</v>
      </c>
      <c r="J44" s="58">
        <v>223.7</v>
      </c>
      <c r="K44" s="58">
        <v>10.14</v>
      </c>
      <c r="L44" s="58">
        <v>23.37</v>
      </c>
      <c r="M44" s="58">
        <v>3.3050000000000002</v>
      </c>
      <c r="N44" s="58">
        <v>138.4</v>
      </c>
      <c r="O44" s="58">
        <v>294.3</v>
      </c>
      <c r="P44" s="58">
        <v>0.21199999999999999</v>
      </c>
      <c r="Q44" s="58">
        <v>2.3940000000000001</v>
      </c>
      <c r="R44" s="58">
        <v>13.07</v>
      </c>
      <c r="S44" s="58">
        <v>19.73</v>
      </c>
      <c r="T44" s="58">
        <v>3.6760000000000002</v>
      </c>
      <c r="U44" s="59">
        <v>1.04748</v>
      </c>
      <c r="V44" s="59">
        <v>0.97406999999999999</v>
      </c>
      <c r="W44" s="58">
        <v>1.169</v>
      </c>
      <c r="X44" s="58">
        <v>5.992</v>
      </c>
      <c r="Y44" s="58">
        <v>19.87</v>
      </c>
      <c r="Z44" s="58">
        <v>53.89</v>
      </c>
      <c r="AA44" s="59">
        <v>1.2773399999999999</v>
      </c>
      <c r="AB44" s="59">
        <v>1.32294</v>
      </c>
      <c r="AC44" s="58">
        <v>5.7000000000000002E-2</v>
      </c>
      <c r="AD44" s="58">
        <v>0.16400000000000001</v>
      </c>
      <c r="AE44" s="58">
        <v>0</v>
      </c>
      <c r="AF44" s="58">
        <v>1E-3</v>
      </c>
      <c r="AG44" s="58">
        <v>1.7000000000000001E-2</v>
      </c>
      <c r="AH44" s="58">
        <v>4.0199999999999996</v>
      </c>
      <c r="AI44" s="58">
        <v>4.2000000000000003E-2</v>
      </c>
      <c r="AJ44" s="59">
        <v>1.0238100000000001</v>
      </c>
      <c r="AK44" s="59">
        <v>1.13906</v>
      </c>
      <c r="AL44" s="58">
        <v>0.753</v>
      </c>
      <c r="AM44" s="58">
        <v>3.5000000000000003E-2</v>
      </c>
      <c r="AN44" s="58">
        <v>3.0000000000000001E-3</v>
      </c>
      <c r="AO44" s="58">
        <v>1.0999999999999999E-2</v>
      </c>
      <c r="AP44" s="58">
        <v>97.57</v>
      </c>
      <c r="AQ44" s="58">
        <v>111.6</v>
      </c>
      <c r="AR44" s="58">
        <v>48.71</v>
      </c>
      <c r="AS44" s="58">
        <v>6.5650000000000004</v>
      </c>
      <c r="AT44" s="58">
        <v>9.2140000000000004</v>
      </c>
      <c r="AU44" s="58">
        <v>35.57</v>
      </c>
      <c r="AV44" s="58">
        <v>6.5629999999999997</v>
      </c>
      <c r="AW44" s="58">
        <v>0.57999999999999996</v>
      </c>
      <c r="AX44" s="58">
        <v>6.6970000000000001</v>
      </c>
      <c r="AY44" s="58">
        <v>0.86199999999999999</v>
      </c>
      <c r="AZ44" s="58">
        <v>3.9820000000000002</v>
      </c>
      <c r="BA44" s="58">
        <v>0.67</v>
      </c>
      <c r="BB44" s="58">
        <v>1.389</v>
      </c>
      <c r="BC44" s="58">
        <v>0.11700000000000001</v>
      </c>
      <c r="BD44" s="58">
        <v>0.46899999999999997</v>
      </c>
      <c r="BE44" s="58">
        <v>0.05</v>
      </c>
      <c r="BF44" s="58">
        <v>1E-3</v>
      </c>
      <c r="BG44" s="58">
        <v>3.5999999999999997E-2</v>
      </c>
      <c r="BH44" s="58">
        <v>1E-3</v>
      </c>
      <c r="BI44" s="58">
        <v>0</v>
      </c>
      <c r="BJ44" s="58">
        <v>0</v>
      </c>
      <c r="BK44" s="58">
        <v>0</v>
      </c>
      <c r="BL44" s="58">
        <v>0.23300000000000001</v>
      </c>
      <c r="BM44" s="58">
        <v>2.9000000000000001E-2</v>
      </c>
      <c r="BN44" s="58">
        <v>0.98699999999999999</v>
      </c>
      <c r="BO44" s="59">
        <v>0.95382</v>
      </c>
      <c r="BP44" s="59">
        <v>1.0784899999999999</v>
      </c>
      <c r="BQ44" s="58">
        <v>4.9000000000000002E-2</v>
      </c>
      <c r="BR44" s="58">
        <v>1.2999999999999999E-2</v>
      </c>
    </row>
    <row r="45" spans="1:70" ht="15.95" customHeight="1" x14ac:dyDescent="0.25">
      <c r="A45" s="58" t="s">
        <v>90</v>
      </c>
      <c r="B45" s="58">
        <v>195.4</v>
      </c>
      <c r="C45" s="58">
        <v>409.6</v>
      </c>
      <c r="D45" s="58">
        <v>411.8</v>
      </c>
      <c r="E45" s="58">
        <v>168.8</v>
      </c>
      <c r="F45" s="58">
        <v>421.1</v>
      </c>
      <c r="G45" s="58">
        <v>256.60000000000002</v>
      </c>
      <c r="H45" s="59">
        <v>1.06718</v>
      </c>
      <c r="I45" s="59">
        <v>1.02765</v>
      </c>
      <c r="J45" s="58">
        <v>240.5</v>
      </c>
      <c r="K45" s="58">
        <v>191.7</v>
      </c>
      <c r="L45" s="58">
        <v>166.9</v>
      </c>
      <c r="M45" s="58">
        <v>4.2610000000000001</v>
      </c>
      <c r="N45" s="58">
        <v>32.83</v>
      </c>
      <c r="O45" s="58">
        <v>449.8</v>
      </c>
      <c r="P45" s="58">
        <v>3.3559999999999999</v>
      </c>
      <c r="Q45" s="58">
        <v>3.669</v>
      </c>
      <c r="R45" s="58">
        <v>4.274</v>
      </c>
      <c r="S45" s="58">
        <v>3.262</v>
      </c>
      <c r="T45" s="58">
        <v>1.173</v>
      </c>
      <c r="U45" s="59">
        <v>1.02545</v>
      </c>
      <c r="V45" s="59">
        <v>0.94776000000000005</v>
      </c>
      <c r="W45" s="58">
        <v>1.9450000000000001</v>
      </c>
      <c r="X45" s="58">
        <v>2.8849999999999998</v>
      </c>
      <c r="Y45" s="58">
        <v>8.3510000000000009</v>
      </c>
      <c r="Z45" s="58">
        <v>3.4980000000000002</v>
      </c>
      <c r="AA45" s="59">
        <v>1.0440799999999999</v>
      </c>
      <c r="AB45" s="59">
        <v>1.0631600000000001</v>
      </c>
      <c r="AC45" s="58">
        <v>1.0669999999999999</v>
      </c>
      <c r="AD45" s="58">
        <v>3.427</v>
      </c>
      <c r="AE45" s="58">
        <v>0.25</v>
      </c>
      <c r="AF45" s="58">
        <v>0.253</v>
      </c>
      <c r="AG45" s="58">
        <v>0.188</v>
      </c>
      <c r="AH45" s="58">
        <v>5.7720000000000002</v>
      </c>
      <c r="AI45" s="58">
        <v>3.38</v>
      </c>
      <c r="AJ45" s="59">
        <v>0.96189000000000002</v>
      </c>
      <c r="AK45" s="59">
        <v>1.0628599999999999</v>
      </c>
      <c r="AL45" s="58">
        <v>0.246</v>
      </c>
      <c r="AM45" s="58">
        <v>0.251</v>
      </c>
      <c r="AN45" s="58">
        <v>0.252</v>
      </c>
      <c r="AO45" s="58">
        <v>1.5069999999999999</v>
      </c>
      <c r="AP45" s="58">
        <v>14.96</v>
      </c>
      <c r="AQ45" s="58">
        <v>15.16</v>
      </c>
      <c r="AR45" s="58">
        <v>0.438</v>
      </c>
      <c r="AS45" s="58">
        <v>0.41699999999999998</v>
      </c>
      <c r="AT45" s="58">
        <v>0.433</v>
      </c>
      <c r="AU45" s="58">
        <v>0.44</v>
      </c>
      <c r="AV45" s="58">
        <v>0.42899999999999999</v>
      </c>
      <c r="AW45" s="58">
        <v>0.43</v>
      </c>
      <c r="AX45" s="58">
        <v>0.42499999999999999</v>
      </c>
      <c r="AY45" s="58">
        <v>0.437</v>
      </c>
      <c r="AZ45" s="58">
        <v>0.43099999999999999</v>
      </c>
      <c r="BA45" s="58">
        <v>0.43099999999999999</v>
      </c>
      <c r="BB45" s="58">
        <v>0.42599999999999999</v>
      </c>
      <c r="BC45" s="58">
        <v>0.43099999999999999</v>
      </c>
      <c r="BD45" s="58">
        <v>0.435</v>
      </c>
      <c r="BE45" s="58">
        <v>0.434</v>
      </c>
      <c r="BF45" s="58">
        <v>0.22900000000000001</v>
      </c>
      <c r="BG45" s="58">
        <v>1.5389999999999999</v>
      </c>
      <c r="BH45" s="58">
        <v>1.623</v>
      </c>
      <c r="BI45" s="58">
        <v>1.6479999999999999</v>
      </c>
      <c r="BJ45" s="58">
        <v>0.20599999999999999</v>
      </c>
      <c r="BK45" s="58">
        <v>0.222</v>
      </c>
      <c r="BL45" s="58">
        <v>0.19800000000000001</v>
      </c>
      <c r="BM45" s="58">
        <v>9.9369999999999994</v>
      </c>
      <c r="BN45" s="58">
        <v>1.6319999999999999</v>
      </c>
      <c r="BO45" s="59">
        <v>0.94937000000000005</v>
      </c>
      <c r="BP45" s="59">
        <v>1.0638099999999999</v>
      </c>
      <c r="BQ45" s="58">
        <v>0.42899999999999999</v>
      </c>
      <c r="BR45" s="58">
        <v>1.9430000000000001</v>
      </c>
    </row>
    <row r="46" spans="1:70" ht="15.95" customHeight="1" x14ac:dyDescent="0.25">
      <c r="A46" s="58" t="s">
        <v>91</v>
      </c>
      <c r="B46" s="58">
        <v>198.6</v>
      </c>
      <c r="C46" s="58">
        <v>3947</v>
      </c>
      <c r="D46" s="58">
        <v>188</v>
      </c>
      <c r="E46" s="58">
        <v>2142</v>
      </c>
      <c r="F46" s="58">
        <v>15210</v>
      </c>
      <c r="G46" s="58">
        <v>-10.3</v>
      </c>
      <c r="H46" s="59">
        <v>1.74211</v>
      </c>
      <c r="I46" s="59">
        <v>1.1623300000000001</v>
      </c>
      <c r="J46" s="58">
        <v>225.2</v>
      </c>
      <c r="K46" s="58">
        <v>1.605</v>
      </c>
      <c r="L46" s="58">
        <v>23.07</v>
      </c>
      <c r="M46" s="58">
        <v>1.698</v>
      </c>
      <c r="N46" s="58">
        <v>85.21</v>
      </c>
      <c r="O46" s="58">
        <v>2.7719999999999998</v>
      </c>
      <c r="P46" s="58">
        <v>0.42199999999999999</v>
      </c>
      <c r="Q46" s="58">
        <v>1.956</v>
      </c>
      <c r="R46" s="58">
        <v>27.4</v>
      </c>
      <c r="S46" s="58">
        <v>28.04</v>
      </c>
      <c r="T46" s="58">
        <v>0.91100000000000003</v>
      </c>
      <c r="U46" s="59">
        <v>1.78271</v>
      </c>
      <c r="V46" s="59">
        <v>1.0407900000000001</v>
      </c>
      <c r="W46" s="58">
        <v>4.2999999999999997E-2</v>
      </c>
      <c r="X46" s="58">
        <v>-0.45900000000000002</v>
      </c>
      <c r="Y46" s="58">
        <v>12.46</v>
      </c>
      <c r="Z46" s="58">
        <v>208.4</v>
      </c>
      <c r="AA46" s="59">
        <v>1.74394</v>
      </c>
      <c r="AB46" s="59">
        <v>1.1913</v>
      </c>
      <c r="AC46" s="58">
        <v>0.11</v>
      </c>
      <c r="AD46" s="58">
        <v>1.038</v>
      </c>
      <c r="AE46" s="58">
        <v>2.1000000000000001E-2</v>
      </c>
      <c r="AF46" s="58">
        <v>2.4E-2</v>
      </c>
      <c r="AG46" s="58">
        <v>6.4000000000000001E-2</v>
      </c>
      <c r="AH46" s="58">
        <v>1.048</v>
      </c>
      <c r="AI46" s="58">
        <v>0.38200000000000001</v>
      </c>
      <c r="AJ46" s="59">
        <v>1.59595</v>
      </c>
      <c r="AK46" s="59">
        <v>1.18635</v>
      </c>
      <c r="AL46" s="58">
        <v>0.183</v>
      </c>
      <c r="AM46" s="58">
        <v>4.5999999999999999E-2</v>
      </c>
      <c r="AN46" s="58">
        <v>1.6E-2</v>
      </c>
      <c r="AO46" s="58">
        <v>0.39700000000000002</v>
      </c>
      <c r="AP46" s="58">
        <v>23.3</v>
      </c>
      <c r="AQ46" s="58">
        <v>23.33</v>
      </c>
      <c r="AR46" s="58">
        <v>0.18099999999999999</v>
      </c>
      <c r="AS46" s="58">
        <v>0.313</v>
      </c>
      <c r="AT46" s="58">
        <v>6.8000000000000005E-2</v>
      </c>
      <c r="AU46" s="58">
        <v>0.155</v>
      </c>
      <c r="AV46" s="58">
        <v>5.8999999999999997E-2</v>
      </c>
      <c r="AW46" s="58">
        <v>4.1000000000000002E-2</v>
      </c>
      <c r="AX46" s="58">
        <v>5.5E-2</v>
      </c>
      <c r="AY46" s="58">
        <v>3.7999999999999999E-2</v>
      </c>
      <c r="AZ46" s="58">
        <v>5.0999999999999997E-2</v>
      </c>
      <c r="BA46" s="58">
        <v>0.04</v>
      </c>
      <c r="BB46" s="58">
        <v>4.3999999999999997E-2</v>
      </c>
      <c r="BC46" s="58">
        <v>3.6999999999999998E-2</v>
      </c>
      <c r="BD46" s="58">
        <v>4.2000000000000003E-2</v>
      </c>
      <c r="BE46" s="58">
        <v>3.6999999999999998E-2</v>
      </c>
      <c r="BF46" s="58">
        <v>0.02</v>
      </c>
      <c r="BG46" s="58">
        <v>0.20699999999999999</v>
      </c>
      <c r="BH46" s="58">
        <v>0.47199999999999998</v>
      </c>
      <c r="BI46" s="58">
        <v>0.47699999999999998</v>
      </c>
      <c r="BJ46" s="58">
        <v>1.7000000000000001E-2</v>
      </c>
      <c r="BK46" s="58">
        <v>1.7999999999999999E-2</v>
      </c>
      <c r="BL46" s="58">
        <v>0.23899999999999999</v>
      </c>
      <c r="BM46" s="58">
        <v>0.8</v>
      </c>
      <c r="BN46" s="58">
        <v>0.53700000000000003</v>
      </c>
      <c r="BO46" s="59">
        <v>1.6095299999999999</v>
      </c>
      <c r="BP46" s="59">
        <v>1.14758</v>
      </c>
      <c r="BQ46" s="58">
        <v>9.6000000000000002E-2</v>
      </c>
      <c r="BR46" s="58">
        <v>0.17100000000000001</v>
      </c>
    </row>
    <row r="47" spans="1:70" ht="15.95" customHeight="1" x14ac:dyDescent="0.25">
      <c r="A47" s="58" t="s">
        <v>73</v>
      </c>
      <c r="B47" s="58">
        <v>115.6</v>
      </c>
      <c r="C47" s="58">
        <v>2925</v>
      </c>
      <c r="D47" s="58">
        <v>90.41</v>
      </c>
      <c r="E47" s="58">
        <v>1984</v>
      </c>
      <c r="F47" s="58">
        <v>28180</v>
      </c>
      <c r="G47" s="58">
        <v>27560</v>
      </c>
      <c r="H47" s="59">
        <v>1.11409</v>
      </c>
      <c r="I47" s="59">
        <v>1.0791299999999999</v>
      </c>
      <c r="J47" s="58">
        <v>123.7</v>
      </c>
      <c r="K47" s="58">
        <v>4.1559999999999997</v>
      </c>
      <c r="L47" s="58">
        <v>9.6820000000000004</v>
      </c>
      <c r="M47" s="58">
        <v>1.4570000000000001</v>
      </c>
      <c r="N47" s="58">
        <v>32.71</v>
      </c>
      <c r="O47" s="58">
        <v>196.5</v>
      </c>
      <c r="P47" s="58">
        <v>0.15</v>
      </c>
      <c r="Q47" s="58">
        <v>1.9950000000000001</v>
      </c>
      <c r="R47" s="58">
        <v>13.98</v>
      </c>
      <c r="S47" s="58">
        <v>8.4779999999999998</v>
      </c>
      <c r="T47" s="58">
        <v>0.52</v>
      </c>
      <c r="U47" s="59">
        <v>1.0461199999999999</v>
      </c>
      <c r="V47" s="59">
        <v>0.96020000000000005</v>
      </c>
      <c r="W47" s="58">
        <v>0.04</v>
      </c>
      <c r="X47" s="58">
        <v>4.2119999999999997</v>
      </c>
      <c r="Y47" s="58">
        <v>8.6769999999999996</v>
      </c>
      <c r="Z47" s="58">
        <v>88.58</v>
      </c>
      <c r="AA47" s="59">
        <v>1.08179</v>
      </c>
      <c r="AB47" s="59">
        <v>1.1072299999999999</v>
      </c>
      <c r="AC47" s="58">
        <v>1.7999999999999999E-2</v>
      </c>
      <c r="AD47" s="58">
        <v>0.55000000000000004</v>
      </c>
      <c r="AE47" s="58">
        <v>0</v>
      </c>
      <c r="AF47" s="58">
        <v>2E-3</v>
      </c>
      <c r="AG47" s="58">
        <v>2.1999999999999999E-2</v>
      </c>
      <c r="AH47" s="58">
        <v>6.9000000000000006E-2</v>
      </c>
      <c r="AI47" s="58">
        <v>0.187</v>
      </c>
      <c r="AJ47" s="59">
        <v>0.99158999999999997</v>
      </c>
      <c r="AK47" s="59">
        <v>1.1009</v>
      </c>
      <c r="AL47" s="58">
        <v>0.307</v>
      </c>
      <c r="AM47" s="58">
        <v>2.1000000000000001E-2</v>
      </c>
      <c r="AN47" s="58">
        <v>0</v>
      </c>
      <c r="AO47" s="58">
        <v>0.107</v>
      </c>
      <c r="AP47" s="58">
        <v>14.45</v>
      </c>
      <c r="AQ47" s="58">
        <v>14.5</v>
      </c>
      <c r="AR47" s="58">
        <v>0.111</v>
      </c>
      <c r="AS47" s="58">
        <v>0.188</v>
      </c>
      <c r="AT47" s="58">
        <v>2.1999999999999999E-2</v>
      </c>
      <c r="AU47" s="58">
        <v>8.4000000000000005E-2</v>
      </c>
      <c r="AV47" s="58">
        <v>1.6E-2</v>
      </c>
      <c r="AW47" s="58">
        <v>5.0000000000000001E-3</v>
      </c>
      <c r="AX47" s="58">
        <v>1.4999999999999999E-2</v>
      </c>
      <c r="AY47" s="58">
        <v>2E-3</v>
      </c>
      <c r="AZ47" s="58">
        <v>0.01</v>
      </c>
      <c r="BA47" s="58">
        <v>2E-3</v>
      </c>
      <c r="BB47" s="58">
        <v>6.0000000000000001E-3</v>
      </c>
      <c r="BC47" s="58">
        <v>1E-3</v>
      </c>
      <c r="BD47" s="58">
        <v>4.0000000000000001E-3</v>
      </c>
      <c r="BE47" s="58">
        <v>1E-3</v>
      </c>
      <c r="BF47" s="58">
        <v>1E-3</v>
      </c>
      <c r="BG47" s="58">
        <v>5.6000000000000001E-2</v>
      </c>
      <c r="BH47" s="58">
        <v>0.245</v>
      </c>
      <c r="BI47" s="58">
        <v>0.251</v>
      </c>
      <c r="BJ47" s="58">
        <v>0</v>
      </c>
      <c r="BK47" s="58">
        <v>0</v>
      </c>
      <c r="BL47" s="58">
        <v>0.14199999999999999</v>
      </c>
      <c r="BM47" s="58">
        <v>2E-3</v>
      </c>
      <c r="BN47" s="58">
        <v>0.307</v>
      </c>
      <c r="BO47" s="59">
        <v>0.95047000000000004</v>
      </c>
      <c r="BP47" s="59">
        <v>1.0664899999999999</v>
      </c>
      <c r="BQ47" s="58">
        <v>2.5999999999999999E-2</v>
      </c>
      <c r="BR47" s="58">
        <v>7.0000000000000001E-3</v>
      </c>
    </row>
    <row r="48" spans="1:70" ht="15.95" customHeight="1" x14ac:dyDescent="0.25">
      <c r="A48" s="58" t="s">
        <v>74</v>
      </c>
      <c r="B48" s="58">
        <v>81.13</v>
      </c>
      <c r="C48" s="58">
        <v>5352</v>
      </c>
      <c r="D48" s="58">
        <v>152.9</v>
      </c>
      <c r="E48" s="58">
        <v>3660</v>
      </c>
      <c r="F48" s="58">
        <v>48250</v>
      </c>
      <c r="G48" s="58">
        <v>45240</v>
      </c>
      <c r="H48" s="59">
        <v>1.13629</v>
      </c>
      <c r="I48" s="59">
        <v>1.1220600000000001</v>
      </c>
      <c r="J48" s="58">
        <v>236.2</v>
      </c>
      <c r="K48" s="58">
        <v>5.63</v>
      </c>
      <c r="L48" s="58">
        <v>10.75</v>
      </c>
      <c r="M48" s="58">
        <v>1.5980000000000001</v>
      </c>
      <c r="N48" s="58">
        <v>139.5</v>
      </c>
      <c r="O48" s="58">
        <v>278.60000000000002</v>
      </c>
      <c r="P48" s="58">
        <v>0.40899999999999997</v>
      </c>
      <c r="Q48" s="58">
        <v>5.9340000000000002</v>
      </c>
      <c r="R48" s="58">
        <v>20.54</v>
      </c>
      <c r="S48" s="58">
        <v>17.850000000000001</v>
      </c>
      <c r="T48" s="58">
        <v>0.189</v>
      </c>
      <c r="U48" s="59">
        <v>1.03207</v>
      </c>
      <c r="V48" s="59">
        <v>0.97797000000000001</v>
      </c>
      <c r="W48" s="58">
        <v>9.7000000000000003E-2</v>
      </c>
      <c r="X48" s="58">
        <v>7.9109999999999996</v>
      </c>
      <c r="Y48" s="58">
        <v>40.86</v>
      </c>
      <c r="Z48" s="58">
        <v>117.1</v>
      </c>
      <c r="AA48" s="59">
        <v>1.0991</v>
      </c>
      <c r="AB48" s="59">
        <v>1.14181</v>
      </c>
      <c r="AC48" s="58">
        <v>2.1999999999999999E-2</v>
      </c>
      <c r="AD48" s="58">
        <v>0.54500000000000004</v>
      </c>
      <c r="AE48" s="58">
        <v>0</v>
      </c>
      <c r="AF48" s="58">
        <v>2E-3</v>
      </c>
      <c r="AG48" s="58">
        <v>3.2000000000000001E-2</v>
      </c>
      <c r="AH48" s="58">
        <v>0.435</v>
      </c>
      <c r="AI48" s="58">
        <v>0.20100000000000001</v>
      </c>
      <c r="AJ48" s="59">
        <v>1.00715</v>
      </c>
      <c r="AK48" s="59">
        <v>1.13266</v>
      </c>
      <c r="AL48" s="58">
        <v>0.16</v>
      </c>
      <c r="AM48" s="58">
        <v>2.5000000000000001E-2</v>
      </c>
      <c r="AN48" s="58">
        <v>0</v>
      </c>
      <c r="AO48" s="58">
        <v>0.3</v>
      </c>
      <c r="AP48" s="58">
        <v>4.665</v>
      </c>
      <c r="AQ48" s="58">
        <v>4.6909999999999998</v>
      </c>
      <c r="AR48" s="58">
        <v>0.14000000000000001</v>
      </c>
      <c r="AS48" s="58">
        <v>0.245</v>
      </c>
      <c r="AT48" s="58">
        <v>3.1E-2</v>
      </c>
      <c r="AU48" s="58">
        <v>0.114</v>
      </c>
      <c r="AV48" s="58">
        <v>2.3E-2</v>
      </c>
      <c r="AW48" s="58">
        <v>4.0000000000000001E-3</v>
      </c>
      <c r="AX48" s="58">
        <v>0.02</v>
      </c>
      <c r="AY48" s="58">
        <v>3.0000000000000001E-3</v>
      </c>
      <c r="AZ48" s="58">
        <v>1.4E-2</v>
      </c>
      <c r="BA48" s="58">
        <v>4.0000000000000001E-3</v>
      </c>
      <c r="BB48" s="58">
        <v>8.0000000000000002E-3</v>
      </c>
      <c r="BC48" s="58">
        <v>1E-3</v>
      </c>
      <c r="BD48" s="58">
        <v>7.0000000000000001E-3</v>
      </c>
      <c r="BE48" s="58">
        <v>1E-3</v>
      </c>
      <c r="BF48" s="58">
        <v>1E-3</v>
      </c>
      <c r="BG48" s="58">
        <v>8.6999999999999994E-2</v>
      </c>
      <c r="BH48" s="58">
        <v>0.373</v>
      </c>
      <c r="BI48" s="58">
        <v>0.39</v>
      </c>
      <c r="BJ48" s="58">
        <v>0</v>
      </c>
      <c r="BK48" s="58">
        <v>0</v>
      </c>
      <c r="BL48" s="58">
        <v>0.22900000000000001</v>
      </c>
      <c r="BM48" s="58">
        <v>4.0000000000000001E-3</v>
      </c>
      <c r="BN48" s="58">
        <v>0.79200000000000004</v>
      </c>
      <c r="BO48" s="59">
        <v>0.94601000000000002</v>
      </c>
      <c r="BP48" s="59">
        <v>1.07226</v>
      </c>
      <c r="BQ48" s="58">
        <v>7.0000000000000007E-2</v>
      </c>
      <c r="BR48" s="58">
        <v>0.01</v>
      </c>
    </row>
    <row r="49" spans="1:70" ht="15.95" customHeight="1" x14ac:dyDescent="0.25">
      <c r="A49" s="58" t="s">
        <v>75</v>
      </c>
      <c r="B49" s="58">
        <v>484.4</v>
      </c>
      <c r="C49" s="58">
        <v>6392</v>
      </c>
      <c r="D49" s="58">
        <v>140.1</v>
      </c>
      <c r="E49" s="58">
        <v>2584</v>
      </c>
      <c r="F49" s="58">
        <v>54000</v>
      </c>
      <c r="G49" s="58">
        <v>30490</v>
      </c>
      <c r="H49" s="59">
        <v>1.16238</v>
      </c>
      <c r="I49" s="59">
        <v>1.15117</v>
      </c>
      <c r="J49" s="58">
        <v>132.80000000000001</v>
      </c>
      <c r="K49" s="58">
        <v>6.2039999999999997</v>
      </c>
      <c r="L49" s="58">
        <v>10.44</v>
      </c>
      <c r="M49" s="58">
        <v>1.3220000000000001</v>
      </c>
      <c r="N49" s="58">
        <v>46.87</v>
      </c>
      <c r="O49" s="58">
        <v>297.10000000000002</v>
      </c>
      <c r="P49" s="58">
        <v>0.22800000000000001</v>
      </c>
      <c r="Q49" s="58">
        <v>3.496</v>
      </c>
      <c r="R49" s="58">
        <v>8.0150000000000006</v>
      </c>
      <c r="S49" s="58">
        <v>13</v>
      </c>
      <c r="T49" s="58">
        <v>1.0029999999999999</v>
      </c>
      <c r="U49" s="59">
        <v>1.05152</v>
      </c>
      <c r="V49" s="59">
        <v>1.0039199999999999</v>
      </c>
      <c r="W49" s="58">
        <v>0.121</v>
      </c>
      <c r="X49" s="58">
        <v>5.04</v>
      </c>
      <c r="Y49" s="58">
        <v>11.76</v>
      </c>
      <c r="Z49" s="58">
        <v>368.2</v>
      </c>
      <c r="AA49" s="59">
        <v>1.1148</v>
      </c>
      <c r="AB49" s="59">
        <v>1.16439</v>
      </c>
      <c r="AC49" s="58">
        <v>2.3E-2</v>
      </c>
      <c r="AD49" s="58">
        <v>0.82199999999999995</v>
      </c>
      <c r="AE49" s="58">
        <v>1E-3</v>
      </c>
      <c r="AF49" s="58">
        <v>6.0000000000000001E-3</v>
      </c>
      <c r="AG49" s="58">
        <v>8.8999999999999996E-2</v>
      </c>
      <c r="AH49" s="58">
        <v>1.9E-2</v>
      </c>
      <c r="AI49" s="58">
        <v>0.11700000000000001</v>
      </c>
      <c r="AJ49" s="59">
        <v>1.01542</v>
      </c>
      <c r="AK49" s="59">
        <v>1.1492599999999999</v>
      </c>
      <c r="AL49" s="58">
        <v>0.437</v>
      </c>
      <c r="AM49" s="58">
        <v>3.5000000000000003E-2</v>
      </c>
      <c r="AN49" s="58">
        <v>2E-3</v>
      </c>
      <c r="AO49" s="58">
        <v>7.8E-2</v>
      </c>
      <c r="AP49" s="58">
        <v>27.24</v>
      </c>
      <c r="AQ49" s="58">
        <v>27.35</v>
      </c>
      <c r="AR49" s="58">
        <v>0.154</v>
      </c>
      <c r="AS49" s="58">
        <v>0.247</v>
      </c>
      <c r="AT49" s="58">
        <v>2.9000000000000001E-2</v>
      </c>
      <c r="AU49" s="58">
        <v>0.108</v>
      </c>
      <c r="AV49" s="58">
        <v>2.1000000000000001E-2</v>
      </c>
      <c r="AW49" s="58">
        <v>8.9999999999999993E-3</v>
      </c>
      <c r="AX49" s="58">
        <v>1.9E-2</v>
      </c>
      <c r="AY49" s="58">
        <v>4.0000000000000001E-3</v>
      </c>
      <c r="AZ49" s="58">
        <v>1.4E-2</v>
      </c>
      <c r="BA49" s="58">
        <v>3.0000000000000001E-3</v>
      </c>
      <c r="BB49" s="58">
        <v>8.0000000000000002E-3</v>
      </c>
      <c r="BC49" s="58">
        <v>1E-3</v>
      </c>
      <c r="BD49" s="58">
        <v>7.0000000000000001E-3</v>
      </c>
      <c r="BE49" s="58">
        <v>1E-3</v>
      </c>
      <c r="BF49" s="58">
        <v>1E-3</v>
      </c>
      <c r="BG49" s="58">
        <v>0.08</v>
      </c>
      <c r="BH49" s="58">
        <v>7.2999999999999995E-2</v>
      </c>
      <c r="BI49" s="58">
        <v>7.4999999999999997E-2</v>
      </c>
      <c r="BJ49" s="58">
        <v>0</v>
      </c>
      <c r="BK49" s="58">
        <v>0</v>
      </c>
      <c r="BL49" s="58">
        <v>0.11600000000000001</v>
      </c>
      <c r="BM49" s="58">
        <v>2E-3</v>
      </c>
      <c r="BN49" s="58">
        <v>0.58699999999999997</v>
      </c>
      <c r="BO49" s="59">
        <v>0.95440000000000003</v>
      </c>
      <c r="BP49" s="59">
        <v>1.0849299999999999</v>
      </c>
      <c r="BQ49" s="58">
        <v>3.1E-2</v>
      </c>
      <c r="BR49" s="58">
        <v>1.2E-2</v>
      </c>
    </row>
    <row r="50" spans="1:70" ht="15.95" customHeight="1" x14ac:dyDescent="0.25">
      <c r="A50" s="58" t="s">
        <v>76</v>
      </c>
      <c r="B50" s="58">
        <v>249.6</v>
      </c>
      <c r="C50" s="58">
        <v>6680</v>
      </c>
      <c r="D50" s="58">
        <v>294.89999999999998</v>
      </c>
      <c r="E50" s="58">
        <v>4321</v>
      </c>
      <c r="F50" s="58">
        <v>43470</v>
      </c>
      <c r="G50" s="58">
        <v>58090</v>
      </c>
      <c r="H50" s="59">
        <v>1.18079</v>
      </c>
      <c r="I50" s="59">
        <v>1.1756</v>
      </c>
      <c r="J50" s="58">
        <v>312.89999999999998</v>
      </c>
      <c r="K50" s="58">
        <v>11.09</v>
      </c>
      <c r="L50" s="58">
        <v>19.82</v>
      </c>
      <c r="M50" s="58">
        <v>3.0030000000000001</v>
      </c>
      <c r="N50" s="58">
        <v>111.8</v>
      </c>
      <c r="O50" s="58">
        <v>480.9</v>
      </c>
      <c r="P50" s="58">
        <v>0.33800000000000002</v>
      </c>
      <c r="Q50" s="58">
        <v>6.883</v>
      </c>
      <c r="R50" s="58">
        <v>28.03</v>
      </c>
      <c r="S50" s="58">
        <v>40.590000000000003</v>
      </c>
      <c r="T50" s="58">
        <v>1.464</v>
      </c>
      <c r="U50" s="59">
        <v>1.05714</v>
      </c>
      <c r="V50" s="59">
        <v>0.99994000000000005</v>
      </c>
      <c r="W50" s="58">
        <v>0.2</v>
      </c>
      <c r="X50" s="58">
        <v>27.98</v>
      </c>
      <c r="Y50" s="58">
        <v>20.87</v>
      </c>
      <c r="Z50" s="58">
        <v>191.4</v>
      </c>
      <c r="AA50" s="59">
        <v>1.13188</v>
      </c>
      <c r="AB50" s="59">
        <v>1.18855</v>
      </c>
      <c r="AC50" s="58">
        <v>3.9E-2</v>
      </c>
      <c r="AD50" s="58">
        <v>0.82899999999999996</v>
      </c>
      <c r="AE50" s="58">
        <v>0</v>
      </c>
      <c r="AF50" s="58">
        <v>4.0000000000000001E-3</v>
      </c>
      <c r="AG50" s="58">
        <v>5.3999999999999999E-2</v>
      </c>
      <c r="AH50" s="58">
        <v>0.25800000000000001</v>
      </c>
      <c r="AI50" s="58">
        <v>0.114</v>
      </c>
      <c r="AJ50" s="59">
        <v>1.0277099999999999</v>
      </c>
      <c r="AK50" s="59">
        <v>1.17109</v>
      </c>
      <c r="AL50" s="58">
        <v>0.71199999999999997</v>
      </c>
      <c r="AM50" s="58">
        <v>5.7000000000000002E-2</v>
      </c>
      <c r="AN50" s="58">
        <v>4.0000000000000001E-3</v>
      </c>
      <c r="AO50" s="58">
        <v>0.21</v>
      </c>
      <c r="AP50" s="58">
        <v>38.659999999999997</v>
      </c>
      <c r="AQ50" s="58">
        <v>38.43</v>
      </c>
      <c r="AR50" s="58">
        <v>0.27700000000000002</v>
      </c>
      <c r="AS50" s="58">
        <v>0.47399999999999998</v>
      </c>
      <c r="AT50" s="58">
        <v>6.0999999999999999E-2</v>
      </c>
      <c r="AU50" s="58">
        <v>0.23100000000000001</v>
      </c>
      <c r="AV50" s="58">
        <v>4.4999999999999998E-2</v>
      </c>
      <c r="AW50" s="58">
        <v>1.4E-2</v>
      </c>
      <c r="AX50" s="58">
        <v>4.1000000000000002E-2</v>
      </c>
      <c r="AY50" s="58">
        <v>6.0000000000000001E-3</v>
      </c>
      <c r="AZ50" s="58">
        <v>0.03</v>
      </c>
      <c r="BA50" s="58">
        <v>6.0000000000000001E-3</v>
      </c>
      <c r="BB50" s="58">
        <v>1.6E-2</v>
      </c>
      <c r="BC50" s="58">
        <v>2E-3</v>
      </c>
      <c r="BD50" s="58">
        <v>1.2E-2</v>
      </c>
      <c r="BE50" s="58">
        <v>2E-3</v>
      </c>
      <c r="BF50" s="58">
        <v>1E-3</v>
      </c>
      <c r="BG50" s="58">
        <v>0.09</v>
      </c>
      <c r="BH50" s="58">
        <v>0.32400000000000001</v>
      </c>
      <c r="BI50" s="58">
        <v>0.33</v>
      </c>
      <c r="BJ50" s="58">
        <v>0</v>
      </c>
      <c r="BK50" s="58">
        <v>1E-3</v>
      </c>
      <c r="BL50" s="58">
        <v>0.218</v>
      </c>
      <c r="BM50" s="58">
        <v>6.0000000000000001E-3</v>
      </c>
      <c r="BN50" s="58">
        <v>14.72</v>
      </c>
      <c r="BO50" s="59">
        <v>0.95545999999999998</v>
      </c>
      <c r="BP50" s="59">
        <v>1.08955</v>
      </c>
      <c r="BQ50" s="58">
        <v>7.4999999999999997E-2</v>
      </c>
      <c r="BR50" s="58">
        <v>1.4E-2</v>
      </c>
    </row>
    <row r="51" spans="1:70" ht="15.95" customHeight="1" x14ac:dyDescent="0.25">
      <c r="A51" s="58" t="s">
        <v>77</v>
      </c>
      <c r="B51" s="58">
        <v>425.7</v>
      </c>
      <c r="C51" s="58">
        <v>4541</v>
      </c>
      <c r="D51" s="58">
        <v>199.9</v>
      </c>
      <c r="E51" s="58">
        <v>2688</v>
      </c>
      <c r="F51" s="58">
        <v>63020</v>
      </c>
      <c r="G51" s="58">
        <v>70130</v>
      </c>
      <c r="H51" s="59">
        <v>1.1830099999999999</v>
      </c>
      <c r="I51" s="59">
        <v>1.1763999999999999</v>
      </c>
      <c r="J51" s="58">
        <v>380.2</v>
      </c>
      <c r="K51" s="58">
        <v>8.9090000000000007</v>
      </c>
      <c r="L51" s="58">
        <v>14.41</v>
      </c>
      <c r="M51" s="58">
        <v>1.8089999999999999</v>
      </c>
      <c r="N51" s="58">
        <v>37.53</v>
      </c>
      <c r="O51" s="58">
        <v>342.8</v>
      </c>
      <c r="P51" s="58">
        <v>0.29199999999999998</v>
      </c>
      <c r="Q51" s="58">
        <v>4.1100000000000003</v>
      </c>
      <c r="R51" s="58">
        <v>15.82</v>
      </c>
      <c r="S51" s="58">
        <v>49.74</v>
      </c>
      <c r="T51" s="58">
        <v>1.1040000000000001</v>
      </c>
      <c r="U51" s="59">
        <v>1.0654600000000001</v>
      </c>
      <c r="V51" s="59">
        <v>1.0198</v>
      </c>
      <c r="W51" s="58">
        <v>0.16600000000000001</v>
      </c>
      <c r="X51" s="58">
        <v>4.3810000000000002</v>
      </c>
      <c r="Y51" s="58">
        <v>38.28</v>
      </c>
      <c r="Z51" s="58">
        <v>363.4</v>
      </c>
      <c r="AA51" s="59">
        <v>1.12527</v>
      </c>
      <c r="AB51" s="59">
        <v>1.1834499999999999</v>
      </c>
      <c r="AC51" s="58">
        <v>0.05</v>
      </c>
      <c r="AD51" s="58">
        <v>0.88500000000000001</v>
      </c>
      <c r="AE51" s="58">
        <v>2E-3</v>
      </c>
      <c r="AF51" s="58">
        <v>6.0000000000000001E-3</v>
      </c>
      <c r="AG51" s="58">
        <v>9.1999999999999998E-2</v>
      </c>
      <c r="AH51" s="58">
        <v>0.23</v>
      </c>
      <c r="AI51" s="58">
        <v>0.157</v>
      </c>
      <c r="AJ51" s="59">
        <v>1.0128699999999999</v>
      </c>
      <c r="AK51" s="59">
        <v>1.1617999999999999</v>
      </c>
      <c r="AL51" s="58">
        <v>0.315</v>
      </c>
      <c r="AM51" s="58">
        <v>7.3999999999999996E-2</v>
      </c>
      <c r="AN51" s="58">
        <v>-2E-3</v>
      </c>
      <c r="AO51" s="58">
        <v>0.20699999999999999</v>
      </c>
      <c r="AP51" s="58">
        <v>30.04</v>
      </c>
      <c r="AQ51" s="58">
        <v>30.04</v>
      </c>
      <c r="AR51" s="58">
        <v>0.189</v>
      </c>
      <c r="AS51" s="58">
        <v>0.313</v>
      </c>
      <c r="AT51" s="58">
        <v>4.1000000000000002E-2</v>
      </c>
      <c r="AU51" s="58">
        <v>0.156</v>
      </c>
      <c r="AV51" s="58">
        <v>0.03</v>
      </c>
      <c r="AW51" s="58">
        <v>1.0999999999999999E-2</v>
      </c>
      <c r="AX51" s="58">
        <v>2.9000000000000001E-2</v>
      </c>
      <c r="AY51" s="58">
        <v>4.0000000000000001E-3</v>
      </c>
      <c r="AZ51" s="58">
        <v>0.02</v>
      </c>
      <c r="BA51" s="58">
        <v>4.0000000000000001E-3</v>
      </c>
      <c r="BB51" s="58">
        <v>1.0999999999999999E-2</v>
      </c>
      <c r="BC51" s="58">
        <v>2E-3</v>
      </c>
      <c r="BD51" s="58">
        <v>0.01</v>
      </c>
      <c r="BE51" s="58">
        <v>1E-3</v>
      </c>
      <c r="BF51" s="58">
        <v>1E-3</v>
      </c>
      <c r="BG51" s="58">
        <v>7.2999999999999995E-2</v>
      </c>
      <c r="BH51" s="58">
        <v>0.32200000000000001</v>
      </c>
      <c r="BI51" s="58">
        <v>0.32600000000000001</v>
      </c>
      <c r="BJ51" s="58">
        <v>0</v>
      </c>
      <c r="BK51" s="58">
        <v>1E-3</v>
      </c>
      <c r="BL51" s="58">
        <v>0.27300000000000002</v>
      </c>
      <c r="BM51" s="58">
        <v>7.0000000000000001E-3</v>
      </c>
      <c r="BN51" s="58">
        <v>0.95599999999999996</v>
      </c>
      <c r="BO51" s="59">
        <v>0.95204999999999995</v>
      </c>
      <c r="BP51" s="59">
        <v>1.0846100000000001</v>
      </c>
      <c r="BQ51" s="58">
        <v>0.05</v>
      </c>
      <c r="BR51" s="58">
        <v>1.2E-2</v>
      </c>
    </row>
    <row r="52" spans="1:70" ht="15.95" customHeight="1" x14ac:dyDescent="0.25">
      <c r="A52" s="58" t="s">
        <v>78</v>
      </c>
      <c r="B52" s="58">
        <v>380.4</v>
      </c>
      <c r="C52" s="58">
        <v>4470</v>
      </c>
      <c r="D52" s="58">
        <v>182.6</v>
      </c>
      <c r="E52" s="58">
        <v>1953</v>
      </c>
      <c r="F52" s="58">
        <v>24430</v>
      </c>
      <c r="G52" s="58">
        <v>68250</v>
      </c>
      <c r="H52" s="59">
        <v>1.1901600000000001</v>
      </c>
      <c r="I52" s="59">
        <v>1.1571100000000001</v>
      </c>
      <c r="J52" s="58">
        <v>358</v>
      </c>
      <c r="K52" s="58">
        <v>7.2229999999999999</v>
      </c>
      <c r="L52" s="58">
        <v>10.09</v>
      </c>
      <c r="M52" s="58">
        <v>1.2569999999999999</v>
      </c>
      <c r="N52" s="58">
        <v>129.6</v>
      </c>
      <c r="O52" s="58">
        <v>256.3</v>
      </c>
      <c r="P52" s="58">
        <v>0.23499999999999999</v>
      </c>
      <c r="Q52" s="58">
        <v>2.1110000000000002</v>
      </c>
      <c r="R52" s="58">
        <v>20.02</v>
      </c>
      <c r="S52" s="58">
        <v>34.33</v>
      </c>
      <c r="T52" s="58">
        <v>0.86799999999999999</v>
      </c>
      <c r="U52" s="59">
        <v>1.08382</v>
      </c>
      <c r="V52" s="59">
        <v>1.01135</v>
      </c>
      <c r="W52" s="58">
        <v>7.9000000000000001E-2</v>
      </c>
      <c r="X52" s="58">
        <v>4.6059999999999999</v>
      </c>
      <c r="Y52" s="58">
        <v>17.54</v>
      </c>
      <c r="Z52" s="58">
        <v>331.7</v>
      </c>
      <c r="AA52" s="59">
        <v>1.13273</v>
      </c>
      <c r="AB52" s="59">
        <v>1.1681900000000001</v>
      </c>
      <c r="AC52" s="58">
        <v>2.3E-2</v>
      </c>
      <c r="AD52" s="58">
        <v>0.41199999999999998</v>
      </c>
      <c r="AE52" s="58">
        <v>1E-3</v>
      </c>
      <c r="AF52" s="58">
        <v>6.0000000000000001E-3</v>
      </c>
      <c r="AG52" s="58">
        <v>8.4000000000000005E-2</v>
      </c>
      <c r="AH52" s="58">
        <v>0.25700000000000001</v>
      </c>
      <c r="AI52" s="58">
        <v>0.14299999999999999</v>
      </c>
      <c r="AJ52" s="59">
        <v>1.0266900000000001</v>
      </c>
      <c r="AK52" s="59">
        <v>1.1524300000000001</v>
      </c>
      <c r="AL52" s="58">
        <v>0.20899999999999999</v>
      </c>
      <c r="AM52" s="58">
        <v>6.3E-2</v>
      </c>
      <c r="AN52" s="58">
        <v>1E-3</v>
      </c>
      <c r="AO52" s="58">
        <v>0.35</v>
      </c>
      <c r="AP52" s="58">
        <v>23.58</v>
      </c>
      <c r="AQ52" s="58">
        <v>23.78</v>
      </c>
      <c r="AR52" s="58">
        <v>0.14199999999999999</v>
      </c>
      <c r="AS52" s="58">
        <v>0.245</v>
      </c>
      <c r="AT52" s="58">
        <v>3.1E-2</v>
      </c>
      <c r="AU52" s="58">
        <v>0.115</v>
      </c>
      <c r="AV52" s="58">
        <v>2.1999999999999999E-2</v>
      </c>
      <c r="AW52" s="58">
        <v>8.9999999999999993E-3</v>
      </c>
      <c r="AX52" s="58">
        <v>2.1000000000000001E-2</v>
      </c>
      <c r="AY52" s="58">
        <v>3.0000000000000001E-3</v>
      </c>
      <c r="AZ52" s="58">
        <v>1.4E-2</v>
      </c>
      <c r="BA52" s="58">
        <v>3.0000000000000001E-3</v>
      </c>
      <c r="BB52" s="58">
        <v>8.0000000000000002E-3</v>
      </c>
      <c r="BC52" s="58">
        <v>1E-3</v>
      </c>
      <c r="BD52" s="58">
        <v>7.0000000000000001E-3</v>
      </c>
      <c r="BE52" s="58">
        <v>1E-3</v>
      </c>
      <c r="BF52" s="58">
        <v>1E-3</v>
      </c>
      <c r="BG52" s="58">
        <v>5.1999999999999998E-2</v>
      </c>
      <c r="BH52" s="58">
        <v>0.114</v>
      </c>
      <c r="BI52" s="58">
        <v>0.12</v>
      </c>
      <c r="BJ52" s="58">
        <v>0</v>
      </c>
      <c r="BK52" s="58">
        <v>1E-3</v>
      </c>
      <c r="BL52" s="58">
        <v>0.14299999999999999</v>
      </c>
      <c r="BM52" s="58">
        <v>5.0000000000000001E-3</v>
      </c>
      <c r="BN52" s="58">
        <v>0.85799999999999998</v>
      </c>
      <c r="BO52" s="59">
        <v>0.96670999999999996</v>
      </c>
      <c r="BP52" s="59">
        <v>1.08789</v>
      </c>
      <c r="BQ52" s="58">
        <v>3.1E-2</v>
      </c>
      <c r="BR52" s="58">
        <v>1.0999999999999999E-2</v>
      </c>
    </row>
    <row r="53" spans="1:70" ht="15.95" customHeight="1" x14ac:dyDescent="0.25">
      <c r="A53" s="58" t="s">
        <v>79</v>
      </c>
      <c r="B53" s="58">
        <v>531.6</v>
      </c>
      <c r="C53" s="58">
        <v>5022</v>
      </c>
      <c r="D53" s="58">
        <v>194.5</v>
      </c>
      <c r="E53" s="58">
        <v>2710</v>
      </c>
      <c r="F53" s="58">
        <v>35560</v>
      </c>
      <c r="G53" s="58">
        <v>85330</v>
      </c>
      <c r="H53" s="59">
        <v>1.20105</v>
      </c>
      <c r="I53" s="59">
        <v>1.2112700000000001</v>
      </c>
      <c r="J53" s="58">
        <v>434.6</v>
      </c>
      <c r="K53" s="58">
        <v>8.3040000000000003</v>
      </c>
      <c r="L53" s="58">
        <v>15.01</v>
      </c>
      <c r="M53" s="58">
        <v>2.4089999999999998</v>
      </c>
      <c r="N53" s="58">
        <v>144.69999999999999</v>
      </c>
      <c r="O53" s="58">
        <v>368.3</v>
      </c>
      <c r="P53" s="58">
        <v>0.32200000000000001</v>
      </c>
      <c r="Q53" s="58">
        <v>3.2309999999999999</v>
      </c>
      <c r="R53" s="58">
        <v>26.3</v>
      </c>
      <c r="S53" s="58">
        <v>17.850000000000001</v>
      </c>
      <c r="T53" s="58">
        <v>1.5349999999999999</v>
      </c>
      <c r="U53" s="59">
        <v>1.0837300000000001</v>
      </c>
      <c r="V53" s="59">
        <v>1.03871</v>
      </c>
      <c r="W53" s="58">
        <v>5.2999999999999999E-2</v>
      </c>
      <c r="X53" s="58">
        <v>9.2210000000000001</v>
      </c>
      <c r="Y53" s="58">
        <v>12.49</v>
      </c>
      <c r="Z53" s="58">
        <v>396.6</v>
      </c>
      <c r="AA53" s="59">
        <v>1.1515599999999999</v>
      </c>
      <c r="AB53" s="59">
        <v>1.2099299999999999</v>
      </c>
      <c r="AC53" s="58">
        <v>2.9000000000000001E-2</v>
      </c>
      <c r="AD53" s="58">
        <v>0.69699999999999995</v>
      </c>
      <c r="AE53" s="58">
        <v>1E-3</v>
      </c>
      <c r="AF53" s="58">
        <v>7.0000000000000001E-3</v>
      </c>
      <c r="AG53" s="58">
        <v>0.107</v>
      </c>
      <c r="AH53" s="58">
        <v>0.32200000000000001</v>
      </c>
      <c r="AI53" s="58">
        <v>0.13400000000000001</v>
      </c>
      <c r="AJ53" s="59">
        <v>1.0370699999999999</v>
      </c>
      <c r="AK53" s="59">
        <v>1.18645</v>
      </c>
      <c r="AL53" s="58">
        <v>0.222</v>
      </c>
      <c r="AM53" s="58">
        <v>8.1000000000000003E-2</v>
      </c>
      <c r="AN53" s="58">
        <v>1E-3</v>
      </c>
      <c r="AO53" s="58">
        <v>8.7999999999999995E-2</v>
      </c>
      <c r="AP53" s="58">
        <v>41.08</v>
      </c>
      <c r="AQ53" s="58">
        <v>40.9</v>
      </c>
      <c r="AR53" s="58">
        <v>0.17699999999999999</v>
      </c>
      <c r="AS53" s="58">
        <v>0.30199999999999999</v>
      </c>
      <c r="AT53" s="58">
        <v>0.04</v>
      </c>
      <c r="AU53" s="58">
        <v>0.14399999999999999</v>
      </c>
      <c r="AV53" s="58">
        <v>2.7E-2</v>
      </c>
      <c r="AW53" s="58">
        <v>1.2E-2</v>
      </c>
      <c r="AX53" s="58">
        <v>2.5999999999999999E-2</v>
      </c>
      <c r="AY53" s="58">
        <v>4.0000000000000001E-3</v>
      </c>
      <c r="AZ53" s="58">
        <v>1.9E-2</v>
      </c>
      <c r="BA53" s="58">
        <v>3.0000000000000001E-3</v>
      </c>
      <c r="BB53" s="58">
        <v>0.01</v>
      </c>
      <c r="BC53" s="58">
        <v>1E-3</v>
      </c>
      <c r="BD53" s="58">
        <v>8.0000000000000002E-3</v>
      </c>
      <c r="BE53" s="58">
        <v>1E-3</v>
      </c>
      <c r="BF53" s="58">
        <v>1E-3</v>
      </c>
      <c r="BG53" s="58">
        <v>0.114</v>
      </c>
      <c r="BH53" s="58">
        <v>0.32300000000000001</v>
      </c>
      <c r="BI53" s="58">
        <v>0.32600000000000001</v>
      </c>
      <c r="BJ53" s="58">
        <v>0</v>
      </c>
      <c r="BK53" s="58">
        <v>0</v>
      </c>
      <c r="BL53" s="58">
        <v>0.189</v>
      </c>
      <c r="BM53" s="58">
        <v>4.0000000000000001E-3</v>
      </c>
      <c r="BN53" s="58">
        <v>0.64300000000000002</v>
      </c>
      <c r="BO53" s="59">
        <v>0.96355999999999997</v>
      </c>
      <c r="BP53" s="59">
        <v>1.1050199999999999</v>
      </c>
      <c r="BQ53" s="58">
        <v>3.7999999999999999E-2</v>
      </c>
      <c r="BR53" s="58">
        <v>8.9999999999999993E-3</v>
      </c>
    </row>
    <row r="54" spans="1:70" ht="15.95" customHeight="1" x14ac:dyDescent="0.25">
      <c r="A54" s="58" t="s">
        <v>80</v>
      </c>
      <c r="B54" s="58">
        <v>496.7</v>
      </c>
      <c r="C54" s="58">
        <v>6749</v>
      </c>
      <c r="D54" s="58">
        <v>178.3</v>
      </c>
      <c r="E54" s="58">
        <v>3411</v>
      </c>
      <c r="F54" s="58">
        <v>34370</v>
      </c>
      <c r="G54" s="58">
        <v>74910</v>
      </c>
      <c r="H54" s="59">
        <v>1.2035800000000001</v>
      </c>
      <c r="I54" s="59">
        <v>1.2058599999999999</v>
      </c>
      <c r="J54" s="58">
        <v>391.4</v>
      </c>
      <c r="K54" s="58">
        <v>7.1029999999999998</v>
      </c>
      <c r="L54" s="58">
        <v>15.88</v>
      </c>
      <c r="M54" s="58">
        <v>2.2400000000000002</v>
      </c>
      <c r="N54" s="58">
        <v>178.2</v>
      </c>
      <c r="O54" s="58">
        <v>361.6</v>
      </c>
      <c r="P54" s="58">
        <v>0.32500000000000001</v>
      </c>
      <c r="Q54" s="58">
        <v>5.0049999999999999</v>
      </c>
      <c r="R54" s="58">
        <v>19.53</v>
      </c>
      <c r="S54" s="58">
        <v>33.28</v>
      </c>
      <c r="T54" s="58">
        <v>1.673</v>
      </c>
      <c r="U54" s="59">
        <v>1.0789800000000001</v>
      </c>
      <c r="V54" s="59">
        <v>1.03308</v>
      </c>
      <c r="W54" s="58">
        <v>0.14099999999999999</v>
      </c>
      <c r="X54" s="58">
        <v>8.5630000000000006</v>
      </c>
      <c r="Y54" s="58">
        <v>19.59</v>
      </c>
      <c r="Z54" s="58">
        <v>322.39999999999998</v>
      </c>
      <c r="AA54" s="59">
        <v>1.1488799999999999</v>
      </c>
      <c r="AB54" s="59">
        <v>1.21438</v>
      </c>
      <c r="AC54" s="58">
        <v>1.9E-2</v>
      </c>
      <c r="AD54" s="58">
        <v>1.26</v>
      </c>
      <c r="AE54" s="58">
        <v>1E-3</v>
      </c>
      <c r="AF54" s="58">
        <v>6.0000000000000001E-3</v>
      </c>
      <c r="AG54" s="58">
        <v>8.8999999999999996E-2</v>
      </c>
      <c r="AH54" s="58">
        <v>0.16700000000000001</v>
      </c>
      <c r="AI54" s="58">
        <v>0.10299999999999999</v>
      </c>
      <c r="AJ54" s="59">
        <v>1.03546</v>
      </c>
      <c r="AK54" s="59">
        <v>1.1892799999999999</v>
      </c>
      <c r="AL54" s="58">
        <v>0.30599999999999999</v>
      </c>
      <c r="AM54" s="58">
        <v>4.5999999999999999E-2</v>
      </c>
      <c r="AN54" s="58">
        <v>3.0000000000000001E-3</v>
      </c>
      <c r="AO54" s="58">
        <v>0.251</v>
      </c>
      <c r="AP54" s="58">
        <v>44.97</v>
      </c>
      <c r="AQ54" s="58">
        <v>44.85</v>
      </c>
      <c r="AR54" s="58">
        <v>0.16800000000000001</v>
      </c>
      <c r="AS54" s="58">
        <v>0.29699999999999999</v>
      </c>
      <c r="AT54" s="58">
        <v>3.6999999999999998E-2</v>
      </c>
      <c r="AU54" s="58">
        <v>0.14199999999999999</v>
      </c>
      <c r="AV54" s="58">
        <v>2.9000000000000001E-2</v>
      </c>
      <c r="AW54" s="58">
        <v>1.2E-2</v>
      </c>
      <c r="AX54" s="58">
        <v>2.4E-2</v>
      </c>
      <c r="AY54" s="58">
        <v>3.0000000000000001E-3</v>
      </c>
      <c r="AZ54" s="58">
        <v>1.6E-2</v>
      </c>
      <c r="BA54" s="58">
        <v>3.0000000000000001E-3</v>
      </c>
      <c r="BB54" s="58">
        <v>8.0000000000000002E-3</v>
      </c>
      <c r="BC54" s="58">
        <v>1E-3</v>
      </c>
      <c r="BD54" s="58">
        <v>7.0000000000000001E-3</v>
      </c>
      <c r="BE54" s="58">
        <v>1E-3</v>
      </c>
      <c r="BF54" s="58">
        <v>0</v>
      </c>
      <c r="BG54" s="58">
        <v>0.128</v>
      </c>
      <c r="BH54" s="58">
        <v>0.47199999999999998</v>
      </c>
      <c r="BI54" s="58">
        <v>0.48099999999999998</v>
      </c>
      <c r="BJ54" s="58">
        <v>0</v>
      </c>
      <c r="BK54" s="58">
        <v>0</v>
      </c>
      <c r="BL54" s="58">
        <v>0.129</v>
      </c>
      <c r="BM54" s="58">
        <v>3.0000000000000001E-3</v>
      </c>
      <c r="BN54" s="58">
        <v>1.3129999999999999</v>
      </c>
      <c r="BO54" s="59">
        <v>0.96638999999999997</v>
      </c>
      <c r="BP54" s="59">
        <v>1.10626</v>
      </c>
      <c r="BQ54" s="58">
        <v>4.2000000000000003E-2</v>
      </c>
      <c r="BR54" s="58">
        <v>8.9999999999999993E-3</v>
      </c>
    </row>
    <row r="55" spans="1:70" ht="15.95" customHeight="1" x14ac:dyDescent="0.25">
      <c r="A55" s="58" t="s">
        <v>81</v>
      </c>
      <c r="B55" s="58">
        <v>309.60000000000002</v>
      </c>
      <c r="C55" s="58">
        <v>3573</v>
      </c>
      <c r="D55" s="58">
        <v>185</v>
      </c>
      <c r="E55" s="58">
        <v>2679</v>
      </c>
      <c r="F55" s="58">
        <v>50890</v>
      </c>
      <c r="G55" s="58">
        <v>54090</v>
      </c>
      <c r="H55" s="59">
        <v>1.1550800000000001</v>
      </c>
      <c r="I55" s="59">
        <v>1.1799500000000001</v>
      </c>
      <c r="J55" s="58">
        <v>284.3</v>
      </c>
      <c r="K55" s="58">
        <v>8.218</v>
      </c>
      <c r="L55" s="58">
        <v>18.3</v>
      </c>
      <c r="M55" s="58">
        <v>2.794</v>
      </c>
      <c r="N55" s="58">
        <v>108.2</v>
      </c>
      <c r="O55" s="58">
        <v>349.2</v>
      </c>
      <c r="P55" s="58">
        <v>0.29699999999999999</v>
      </c>
      <c r="Q55" s="58">
        <v>2.4990000000000001</v>
      </c>
      <c r="R55" s="58">
        <v>30.64</v>
      </c>
      <c r="S55" s="58">
        <v>34.549999999999997</v>
      </c>
      <c r="T55" s="58">
        <v>0.74</v>
      </c>
      <c r="U55" s="59">
        <v>1.04115</v>
      </c>
      <c r="V55" s="59">
        <v>1.0056499999999999</v>
      </c>
      <c r="W55" s="58">
        <v>0.14899999999999999</v>
      </c>
      <c r="X55" s="58">
        <v>8.9610000000000003</v>
      </c>
      <c r="Y55" s="58">
        <v>51.55</v>
      </c>
      <c r="Z55" s="58">
        <v>180.9</v>
      </c>
      <c r="AA55" s="59">
        <v>1.1175600000000001</v>
      </c>
      <c r="AB55" s="59">
        <v>1.19299</v>
      </c>
      <c r="AC55" s="58">
        <v>2.3E-2</v>
      </c>
      <c r="AD55" s="58">
        <v>0.83699999999999997</v>
      </c>
      <c r="AE55" s="58">
        <v>1E-3</v>
      </c>
      <c r="AF55" s="58">
        <v>3.0000000000000001E-3</v>
      </c>
      <c r="AG55" s="58">
        <v>5.3999999999999999E-2</v>
      </c>
      <c r="AH55" s="58">
        <v>0.11799999999999999</v>
      </c>
      <c r="AI55" s="58">
        <v>9.0999999999999998E-2</v>
      </c>
      <c r="AJ55" s="59">
        <v>1.0085999999999999</v>
      </c>
      <c r="AK55" s="59">
        <v>1.1757899999999999</v>
      </c>
      <c r="AL55" s="58">
        <v>0.33200000000000002</v>
      </c>
      <c r="AM55" s="58">
        <v>0.09</v>
      </c>
      <c r="AN55" s="58">
        <v>0</v>
      </c>
      <c r="AO55" s="58">
        <v>0.33800000000000002</v>
      </c>
      <c r="AP55" s="58">
        <v>19.21</v>
      </c>
      <c r="AQ55" s="58">
        <v>19.34</v>
      </c>
      <c r="AR55" s="58">
        <v>0.189</v>
      </c>
      <c r="AS55" s="58">
        <v>0.34899999999999998</v>
      </c>
      <c r="AT55" s="58">
        <v>4.3999999999999997E-2</v>
      </c>
      <c r="AU55" s="58">
        <v>0.16400000000000001</v>
      </c>
      <c r="AV55" s="58">
        <v>0.03</v>
      </c>
      <c r="AW55" s="58">
        <v>1.0999999999999999E-2</v>
      </c>
      <c r="AX55" s="58">
        <v>2.8000000000000001E-2</v>
      </c>
      <c r="AY55" s="58">
        <v>5.0000000000000001E-3</v>
      </c>
      <c r="AZ55" s="58">
        <v>2.1000000000000001E-2</v>
      </c>
      <c r="BA55" s="58">
        <v>4.0000000000000001E-3</v>
      </c>
      <c r="BB55" s="58">
        <v>1.2E-2</v>
      </c>
      <c r="BC55" s="58">
        <v>2E-3</v>
      </c>
      <c r="BD55" s="58">
        <v>1.0999999999999999E-2</v>
      </c>
      <c r="BE55" s="58">
        <v>1E-3</v>
      </c>
      <c r="BF55" s="58">
        <v>0</v>
      </c>
      <c r="BG55" s="58">
        <v>7.8E-2</v>
      </c>
      <c r="BH55" s="58">
        <v>9.9000000000000005E-2</v>
      </c>
      <c r="BI55" s="58">
        <v>0.10199999999999999</v>
      </c>
      <c r="BJ55" s="58">
        <v>0</v>
      </c>
      <c r="BK55" s="58">
        <v>0</v>
      </c>
      <c r="BL55" s="58">
        <v>0.16700000000000001</v>
      </c>
      <c r="BM55" s="58">
        <v>7.0000000000000001E-3</v>
      </c>
      <c r="BN55" s="58">
        <v>8.0169999999999995</v>
      </c>
      <c r="BO55" s="59">
        <v>0.94887999999999995</v>
      </c>
      <c r="BP55" s="59">
        <v>1.09459</v>
      </c>
      <c r="BQ55" s="58">
        <v>4.7E-2</v>
      </c>
      <c r="BR55" s="58">
        <v>1.0999999999999999E-2</v>
      </c>
    </row>
    <row r="56" spans="1:70" ht="15.95" customHeight="1" x14ac:dyDescent="0.25">
      <c r="A56" s="58" t="s">
        <v>82</v>
      </c>
      <c r="B56" s="58">
        <v>553.6</v>
      </c>
      <c r="C56" s="58">
        <v>6663</v>
      </c>
      <c r="D56" s="58">
        <v>129.30000000000001</v>
      </c>
      <c r="E56" s="58">
        <v>3842</v>
      </c>
      <c r="F56" s="58">
        <v>45830</v>
      </c>
      <c r="G56" s="58">
        <v>66230</v>
      </c>
      <c r="H56" s="59">
        <v>1.1294900000000001</v>
      </c>
      <c r="I56" s="59">
        <v>1.1319399999999999</v>
      </c>
      <c r="J56" s="58">
        <v>344.1</v>
      </c>
      <c r="K56" s="58">
        <v>6.0090000000000003</v>
      </c>
      <c r="L56" s="58">
        <v>15.98</v>
      </c>
      <c r="M56" s="58">
        <v>2.8210000000000002</v>
      </c>
      <c r="N56" s="58">
        <v>149.6</v>
      </c>
      <c r="O56" s="58">
        <v>1094</v>
      </c>
      <c r="P56" s="58">
        <v>0.38600000000000001</v>
      </c>
      <c r="Q56" s="58">
        <v>2.8170000000000002</v>
      </c>
      <c r="R56" s="58">
        <v>14.1</v>
      </c>
      <c r="S56" s="58">
        <v>14.89</v>
      </c>
      <c r="T56" s="58">
        <v>1.6779999999999999</v>
      </c>
      <c r="U56" s="59">
        <v>1.00545</v>
      </c>
      <c r="V56" s="59">
        <v>0.96901999999999999</v>
      </c>
      <c r="W56" s="58">
        <v>0.11600000000000001</v>
      </c>
      <c r="X56" s="58">
        <v>31.27</v>
      </c>
      <c r="Y56" s="58">
        <v>16.309999999999999</v>
      </c>
      <c r="Z56" s="58">
        <v>363.4</v>
      </c>
      <c r="AA56" s="59">
        <v>1.07853</v>
      </c>
      <c r="AB56" s="59">
        <v>1.1524700000000001</v>
      </c>
      <c r="AC56" s="58">
        <v>1.6E-2</v>
      </c>
      <c r="AD56" s="58">
        <v>1.163</v>
      </c>
      <c r="AE56" s="58">
        <v>2E-3</v>
      </c>
      <c r="AF56" s="58">
        <v>7.0000000000000001E-3</v>
      </c>
      <c r="AG56" s="58">
        <v>9.9000000000000005E-2</v>
      </c>
      <c r="AH56" s="58">
        <v>2.2109999999999999</v>
      </c>
      <c r="AI56" s="58">
        <v>0.13600000000000001</v>
      </c>
      <c r="AJ56" s="59">
        <v>0.97921999999999998</v>
      </c>
      <c r="AK56" s="59">
        <v>1.1398600000000001</v>
      </c>
      <c r="AL56" s="58">
        <v>0.30199999999999999</v>
      </c>
      <c r="AM56" s="58">
        <v>3.2000000000000001E-2</v>
      </c>
      <c r="AN56" s="58">
        <v>2E-3</v>
      </c>
      <c r="AO56" s="58">
        <v>0.156</v>
      </c>
      <c r="AP56" s="58">
        <v>45.89</v>
      </c>
      <c r="AQ56" s="58">
        <v>45.54</v>
      </c>
      <c r="AR56" s="58">
        <v>0.129</v>
      </c>
      <c r="AS56" s="58">
        <v>0.21199999999999999</v>
      </c>
      <c r="AT56" s="58">
        <v>2.9000000000000001E-2</v>
      </c>
      <c r="AU56" s="58">
        <v>0.108</v>
      </c>
      <c r="AV56" s="58">
        <v>2.1000000000000001E-2</v>
      </c>
      <c r="AW56" s="58">
        <v>1.0999999999999999E-2</v>
      </c>
      <c r="AX56" s="58">
        <v>1.9E-2</v>
      </c>
      <c r="AY56" s="58">
        <v>3.0000000000000001E-3</v>
      </c>
      <c r="AZ56" s="58">
        <v>1.2E-2</v>
      </c>
      <c r="BA56" s="58">
        <v>2E-3</v>
      </c>
      <c r="BB56" s="58">
        <v>6.0000000000000001E-3</v>
      </c>
      <c r="BC56" s="58">
        <v>1E-3</v>
      </c>
      <c r="BD56" s="58">
        <v>5.0000000000000001E-3</v>
      </c>
      <c r="BE56" s="58">
        <v>1E-3</v>
      </c>
      <c r="BF56" s="58">
        <v>1E-3</v>
      </c>
      <c r="BG56" s="58">
        <v>0.20899999999999999</v>
      </c>
      <c r="BH56" s="58">
        <v>0.29099999999999998</v>
      </c>
      <c r="BI56" s="58">
        <v>0.29299999999999998</v>
      </c>
      <c r="BJ56" s="58">
        <v>0</v>
      </c>
      <c r="BK56" s="58">
        <v>2E-3</v>
      </c>
      <c r="BL56" s="58">
        <v>1.129</v>
      </c>
      <c r="BM56" s="58">
        <v>4.0000000000000001E-3</v>
      </c>
      <c r="BN56" s="58">
        <v>0.93200000000000005</v>
      </c>
      <c r="BO56" s="59">
        <v>0.93237000000000003</v>
      </c>
      <c r="BP56" s="59">
        <v>1.0738799999999999</v>
      </c>
      <c r="BQ56" s="58">
        <v>3.5999999999999997E-2</v>
      </c>
      <c r="BR56" s="58">
        <v>8.9999999999999993E-3</v>
      </c>
    </row>
    <row r="57" spans="1:70" ht="15.95" customHeight="1" x14ac:dyDescent="0.25">
      <c r="A57" s="58" t="s">
        <v>83</v>
      </c>
      <c r="B57" s="58">
        <v>524.79999999999995</v>
      </c>
      <c r="C57" s="58">
        <v>5263</v>
      </c>
      <c r="D57" s="58">
        <v>243.3</v>
      </c>
      <c r="E57" s="58">
        <v>3500</v>
      </c>
      <c r="F57" s="58">
        <v>51230</v>
      </c>
      <c r="G57" s="58">
        <v>49520</v>
      </c>
      <c r="H57" s="59">
        <v>1.0860700000000001</v>
      </c>
      <c r="I57" s="59">
        <v>1.0976900000000001</v>
      </c>
      <c r="J57" s="58">
        <v>266.89999999999998</v>
      </c>
      <c r="K57" s="58">
        <v>8.9559999999999995</v>
      </c>
      <c r="L57" s="58">
        <v>19.18</v>
      </c>
      <c r="M57" s="58">
        <v>2.7050000000000001</v>
      </c>
      <c r="N57" s="58">
        <v>130.6</v>
      </c>
      <c r="O57" s="58">
        <v>367.6</v>
      </c>
      <c r="P57" s="58">
        <v>0.497</v>
      </c>
      <c r="Q57" s="58">
        <v>2.1560000000000001</v>
      </c>
      <c r="R57" s="58">
        <v>17.39</v>
      </c>
      <c r="S57" s="58">
        <v>12.85</v>
      </c>
      <c r="T57" s="58">
        <v>0.96</v>
      </c>
      <c r="U57" s="59">
        <v>0.97804999999999997</v>
      </c>
      <c r="V57" s="59">
        <v>0.94479999999999997</v>
      </c>
      <c r="W57" s="58">
        <v>0.05</v>
      </c>
      <c r="X57" s="58">
        <v>33.43</v>
      </c>
      <c r="Y57" s="58">
        <v>16.39</v>
      </c>
      <c r="Z57" s="58">
        <v>251.1</v>
      </c>
      <c r="AA57" s="59">
        <v>1.04121</v>
      </c>
      <c r="AB57" s="59">
        <v>1.1269100000000001</v>
      </c>
      <c r="AC57" s="58">
        <v>2.1000000000000001E-2</v>
      </c>
      <c r="AD57" s="58">
        <v>1.3819999999999999</v>
      </c>
      <c r="AE57" s="58">
        <v>0</v>
      </c>
      <c r="AF57" s="58">
        <v>4.0000000000000001E-3</v>
      </c>
      <c r="AG57" s="58">
        <v>6.9000000000000006E-2</v>
      </c>
      <c r="AH57" s="58">
        <v>0.33300000000000002</v>
      </c>
      <c r="AI57" s="58">
        <v>7.1999999999999995E-2</v>
      </c>
      <c r="AJ57" s="59">
        <v>0.94806000000000001</v>
      </c>
      <c r="AK57" s="59">
        <v>1.1134999999999999</v>
      </c>
      <c r="AL57" s="58">
        <v>0.153</v>
      </c>
      <c r="AM57" s="58">
        <v>2.4E-2</v>
      </c>
      <c r="AN57" s="58">
        <v>1E-3</v>
      </c>
      <c r="AO57" s="58">
        <v>0.126</v>
      </c>
      <c r="AP57" s="58">
        <v>25.37</v>
      </c>
      <c r="AQ57" s="58">
        <v>25.41</v>
      </c>
      <c r="AR57" s="58">
        <v>0.19700000000000001</v>
      </c>
      <c r="AS57" s="58">
        <v>0.36399999999999999</v>
      </c>
      <c r="AT57" s="58">
        <v>4.7E-2</v>
      </c>
      <c r="AU57" s="58">
        <v>0.18099999999999999</v>
      </c>
      <c r="AV57" s="58">
        <v>3.6999999999999998E-2</v>
      </c>
      <c r="AW57" s="58">
        <v>1.0999999999999999E-2</v>
      </c>
      <c r="AX57" s="58">
        <v>3.4000000000000002E-2</v>
      </c>
      <c r="AY57" s="58">
        <v>4.0000000000000001E-3</v>
      </c>
      <c r="AZ57" s="58">
        <v>2.3E-2</v>
      </c>
      <c r="BA57" s="58">
        <v>4.0000000000000001E-3</v>
      </c>
      <c r="BB57" s="58">
        <v>1.2E-2</v>
      </c>
      <c r="BC57" s="58">
        <v>2E-3</v>
      </c>
      <c r="BD57" s="58">
        <v>8.9999999999999993E-3</v>
      </c>
      <c r="BE57" s="58">
        <v>1E-3</v>
      </c>
      <c r="BF57" s="58">
        <v>1E-3</v>
      </c>
      <c r="BG57" s="58">
        <v>9.5000000000000001E-2</v>
      </c>
      <c r="BH57" s="58">
        <v>0.51800000000000002</v>
      </c>
      <c r="BI57" s="58">
        <v>0.52600000000000002</v>
      </c>
      <c r="BJ57" s="58">
        <v>0</v>
      </c>
      <c r="BK57" s="58">
        <v>0</v>
      </c>
      <c r="BL57" s="58">
        <v>0.20100000000000001</v>
      </c>
      <c r="BM57" s="58">
        <v>5.0000000000000001E-3</v>
      </c>
      <c r="BN57" s="58">
        <v>1.399</v>
      </c>
      <c r="BO57" s="59">
        <v>0.91025999999999996</v>
      </c>
      <c r="BP57" s="59">
        <v>1.05341</v>
      </c>
      <c r="BQ57" s="58">
        <v>5.8000000000000003E-2</v>
      </c>
      <c r="BR57" s="58">
        <v>1.2E-2</v>
      </c>
    </row>
    <row r="58" spans="1:70" ht="15.95" customHeight="1" x14ac:dyDescent="0.25">
      <c r="A58" s="58" t="s">
        <v>84</v>
      </c>
      <c r="B58" s="58">
        <v>469.1</v>
      </c>
      <c r="C58" s="58">
        <v>6301</v>
      </c>
      <c r="D58" s="58">
        <v>162</v>
      </c>
      <c r="E58" s="58">
        <v>5599</v>
      </c>
      <c r="F58" s="58">
        <v>40910</v>
      </c>
      <c r="G58" s="58">
        <v>79180</v>
      </c>
      <c r="H58" s="59">
        <v>1.08344</v>
      </c>
      <c r="I58" s="59">
        <v>1.12452</v>
      </c>
      <c r="J58" s="58">
        <v>403.2</v>
      </c>
      <c r="K58" s="58">
        <v>7.7830000000000004</v>
      </c>
      <c r="L58" s="58">
        <v>16.260000000000002</v>
      </c>
      <c r="M58" s="58">
        <v>2.5339999999999998</v>
      </c>
      <c r="N58" s="58">
        <v>173.4</v>
      </c>
      <c r="O58" s="58">
        <v>338.2</v>
      </c>
      <c r="P58" s="58">
        <v>0.996</v>
      </c>
      <c r="Q58" s="58">
        <v>6.9740000000000002</v>
      </c>
      <c r="R58" s="58">
        <v>19.059999999999999</v>
      </c>
      <c r="S58" s="58">
        <v>12.73</v>
      </c>
      <c r="T58" s="58">
        <v>2.4590000000000001</v>
      </c>
      <c r="U58" s="59">
        <v>0.97902</v>
      </c>
      <c r="V58" s="59">
        <v>0.96738000000000002</v>
      </c>
      <c r="W58" s="58">
        <v>0.11700000000000001</v>
      </c>
      <c r="X58" s="58">
        <v>35.909999999999997</v>
      </c>
      <c r="Y58" s="58">
        <v>30.25</v>
      </c>
      <c r="Z58" s="58">
        <v>564.6</v>
      </c>
      <c r="AA58" s="59">
        <v>1.0491699999999999</v>
      </c>
      <c r="AB58" s="59">
        <v>1.14178</v>
      </c>
      <c r="AC58" s="58">
        <v>1.4E-2</v>
      </c>
      <c r="AD58" s="58">
        <v>0.77100000000000002</v>
      </c>
      <c r="AE58" s="58">
        <v>1E-3</v>
      </c>
      <c r="AF58" s="58">
        <v>8.9999999999999993E-3</v>
      </c>
      <c r="AG58" s="58">
        <v>0.155</v>
      </c>
      <c r="AH58" s="58">
        <v>0.30499999999999999</v>
      </c>
      <c r="AI58" s="58">
        <v>7.0000000000000007E-2</v>
      </c>
      <c r="AJ58" s="59">
        <v>0.94937000000000005</v>
      </c>
      <c r="AK58" s="59">
        <v>1.1236200000000001</v>
      </c>
      <c r="AL58" s="58">
        <v>0.253</v>
      </c>
      <c r="AM58" s="58">
        <v>2.1000000000000001E-2</v>
      </c>
      <c r="AN58" s="58">
        <v>0</v>
      </c>
      <c r="AO58" s="58">
        <v>0.20399999999999999</v>
      </c>
      <c r="AP58" s="58">
        <v>67.22</v>
      </c>
      <c r="AQ58" s="58">
        <v>77.56</v>
      </c>
      <c r="AR58" s="58">
        <v>0.13800000000000001</v>
      </c>
      <c r="AS58" s="58">
        <v>0.26</v>
      </c>
      <c r="AT58" s="58">
        <v>3.2000000000000001E-2</v>
      </c>
      <c r="AU58" s="58">
        <v>0.11899999999999999</v>
      </c>
      <c r="AV58" s="58">
        <v>2.5000000000000001E-2</v>
      </c>
      <c r="AW58" s="58">
        <v>1.7000000000000001E-2</v>
      </c>
      <c r="AX58" s="58">
        <v>2.1999999999999999E-2</v>
      </c>
      <c r="AY58" s="58">
        <v>3.0000000000000001E-3</v>
      </c>
      <c r="AZ58" s="58">
        <v>1.4999999999999999E-2</v>
      </c>
      <c r="BA58" s="58">
        <v>3.0000000000000001E-3</v>
      </c>
      <c r="BB58" s="58">
        <v>8.0000000000000002E-3</v>
      </c>
      <c r="BC58" s="58">
        <v>1E-3</v>
      </c>
      <c r="BD58" s="58">
        <v>6.0000000000000001E-3</v>
      </c>
      <c r="BE58" s="58">
        <v>1E-3</v>
      </c>
      <c r="BF58" s="58">
        <v>0</v>
      </c>
      <c r="BG58" s="58">
        <v>0.16</v>
      </c>
      <c r="BH58" s="58">
        <v>0.48199999999999998</v>
      </c>
      <c r="BI58" s="58">
        <v>0.48799999999999999</v>
      </c>
      <c r="BJ58" s="58">
        <v>0</v>
      </c>
      <c r="BK58" s="58">
        <v>0</v>
      </c>
      <c r="BL58" s="58">
        <v>0.182</v>
      </c>
      <c r="BM58" s="58">
        <v>5.0000000000000001E-3</v>
      </c>
      <c r="BN58" s="58">
        <v>0.29599999999999999</v>
      </c>
      <c r="BO58" s="59">
        <v>0.91003999999999996</v>
      </c>
      <c r="BP58" s="59">
        <v>1.06003</v>
      </c>
      <c r="BQ58" s="58">
        <v>3.5999999999999997E-2</v>
      </c>
      <c r="BR58" s="58">
        <v>8.0000000000000002E-3</v>
      </c>
    </row>
    <row r="59" spans="1:70" ht="15.95" customHeight="1" x14ac:dyDescent="0.25">
      <c r="A59" s="58" t="s">
        <v>85</v>
      </c>
      <c r="B59" s="58">
        <v>478</v>
      </c>
      <c r="C59" s="58">
        <v>5396</v>
      </c>
      <c r="D59" s="58">
        <v>151.19999999999999</v>
      </c>
      <c r="E59" s="58">
        <v>3662</v>
      </c>
      <c r="F59" s="58">
        <v>48460</v>
      </c>
      <c r="G59" s="58">
        <v>58210</v>
      </c>
      <c r="H59" s="59">
        <v>1.07464</v>
      </c>
      <c r="I59" s="59">
        <v>1.0933900000000001</v>
      </c>
      <c r="J59" s="58">
        <v>305.39999999999998</v>
      </c>
      <c r="K59" s="58">
        <v>6.0620000000000003</v>
      </c>
      <c r="L59" s="58">
        <v>14.66</v>
      </c>
      <c r="M59" s="58">
        <v>2.411</v>
      </c>
      <c r="N59" s="58">
        <v>142.69999999999999</v>
      </c>
      <c r="O59" s="58">
        <v>311.5</v>
      </c>
      <c r="P59" s="58">
        <v>0.53200000000000003</v>
      </c>
      <c r="Q59" s="58">
        <v>5.6909999999999998</v>
      </c>
      <c r="R59" s="58">
        <v>18.079999999999998</v>
      </c>
      <c r="S59" s="58">
        <v>8.3870000000000005</v>
      </c>
      <c r="T59" s="58">
        <v>1.5069999999999999</v>
      </c>
      <c r="U59" s="59">
        <v>0.98179000000000005</v>
      </c>
      <c r="V59" s="59">
        <v>0.94704999999999995</v>
      </c>
      <c r="W59" s="58">
        <v>0.14099999999999999</v>
      </c>
      <c r="X59" s="58">
        <v>17.32</v>
      </c>
      <c r="Y59" s="58">
        <v>25.62</v>
      </c>
      <c r="Z59" s="58">
        <v>287.10000000000002</v>
      </c>
      <c r="AA59" s="59">
        <v>1.0396000000000001</v>
      </c>
      <c r="AB59" s="59">
        <v>1.1165799999999999</v>
      </c>
      <c r="AC59" s="58">
        <v>1.4E-2</v>
      </c>
      <c r="AD59" s="58">
        <v>0.621</v>
      </c>
      <c r="AE59" s="58">
        <v>1E-3</v>
      </c>
      <c r="AF59" s="58">
        <v>5.0000000000000001E-3</v>
      </c>
      <c r="AG59" s="58">
        <v>7.5999999999999998E-2</v>
      </c>
      <c r="AH59" s="58">
        <v>0.371</v>
      </c>
      <c r="AI59" s="58">
        <v>8.5999999999999993E-2</v>
      </c>
      <c r="AJ59" s="59">
        <v>0.94525999999999999</v>
      </c>
      <c r="AK59" s="59">
        <v>1.1069800000000001</v>
      </c>
      <c r="AL59" s="58">
        <v>0.16400000000000001</v>
      </c>
      <c r="AM59" s="58">
        <v>3.1E-2</v>
      </c>
      <c r="AN59" s="58">
        <v>0</v>
      </c>
      <c r="AO59" s="58">
        <v>0.17499999999999999</v>
      </c>
      <c r="AP59" s="58">
        <v>40.98</v>
      </c>
      <c r="AQ59" s="58">
        <v>40.93</v>
      </c>
      <c r="AR59" s="58">
        <v>0.159</v>
      </c>
      <c r="AS59" s="58">
        <v>0.26200000000000001</v>
      </c>
      <c r="AT59" s="58">
        <v>3.5000000000000003E-2</v>
      </c>
      <c r="AU59" s="58">
        <v>0.13100000000000001</v>
      </c>
      <c r="AV59" s="58">
        <v>2.5999999999999999E-2</v>
      </c>
      <c r="AW59" s="58">
        <v>1.2999999999999999E-2</v>
      </c>
      <c r="AX59" s="58">
        <v>2.5000000000000001E-2</v>
      </c>
      <c r="AY59" s="58">
        <v>3.0000000000000001E-3</v>
      </c>
      <c r="AZ59" s="58">
        <v>1.6E-2</v>
      </c>
      <c r="BA59" s="58">
        <v>3.0000000000000001E-3</v>
      </c>
      <c r="BB59" s="58">
        <v>8.0000000000000002E-3</v>
      </c>
      <c r="BC59" s="58">
        <v>1E-3</v>
      </c>
      <c r="BD59" s="58">
        <v>7.0000000000000001E-3</v>
      </c>
      <c r="BE59" s="58">
        <v>1E-3</v>
      </c>
      <c r="BF59" s="58">
        <v>0</v>
      </c>
      <c r="BG59" s="58">
        <v>0.08</v>
      </c>
      <c r="BH59" s="58">
        <v>0.38600000000000001</v>
      </c>
      <c r="BI59" s="58">
        <v>0.39700000000000002</v>
      </c>
      <c r="BJ59" s="58">
        <v>0</v>
      </c>
      <c r="BK59" s="58">
        <v>0</v>
      </c>
      <c r="BL59" s="58">
        <v>0.156</v>
      </c>
      <c r="BM59" s="58">
        <v>4.0000000000000001E-3</v>
      </c>
      <c r="BN59" s="58">
        <v>0.32200000000000001</v>
      </c>
      <c r="BO59" s="59">
        <v>0.91132000000000002</v>
      </c>
      <c r="BP59" s="59">
        <v>1.0513999999999999</v>
      </c>
      <c r="BQ59" s="58">
        <v>9.5000000000000001E-2</v>
      </c>
      <c r="BR59" s="58">
        <v>0.01</v>
      </c>
    </row>
    <row r="60" spans="1:70" ht="15.95" customHeight="1" x14ac:dyDescent="0.25">
      <c r="A60" s="58" t="s">
        <v>86</v>
      </c>
      <c r="B60" s="58">
        <v>350.4</v>
      </c>
      <c r="C60" s="58">
        <v>6494</v>
      </c>
      <c r="D60" s="58">
        <v>76.760000000000005</v>
      </c>
      <c r="E60" s="58">
        <v>4048</v>
      </c>
      <c r="F60" s="58">
        <v>41090</v>
      </c>
      <c r="G60" s="58">
        <v>74590</v>
      </c>
      <c r="H60" s="59">
        <v>1.0663400000000001</v>
      </c>
      <c r="I60" s="59">
        <v>1.1071299999999999</v>
      </c>
      <c r="J60" s="58">
        <v>381.5</v>
      </c>
      <c r="K60" s="58">
        <v>3.57</v>
      </c>
      <c r="L60" s="58">
        <v>13.55</v>
      </c>
      <c r="M60" s="58">
        <v>2.472</v>
      </c>
      <c r="N60" s="58">
        <v>142.4</v>
      </c>
      <c r="O60" s="58">
        <v>941.7</v>
      </c>
      <c r="P60" s="58">
        <v>0.502</v>
      </c>
      <c r="Q60" s="58">
        <v>3.262</v>
      </c>
      <c r="R60" s="58">
        <v>16.940000000000001</v>
      </c>
      <c r="S60" s="58">
        <v>14.44</v>
      </c>
      <c r="T60" s="58">
        <v>2.0499999999999998</v>
      </c>
      <c r="U60" s="59">
        <v>0.96938000000000002</v>
      </c>
      <c r="V60" s="59">
        <v>0.95350000000000001</v>
      </c>
      <c r="W60" s="58">
        <v>0.11899999999999999</v>
      </c>
      <c r="X60" s="58">
        <v>12.05</v>
      </c>
      <c r="Y60" s="58">
        <v>25.08</v>
      </c>
      <c r="Z60" s="58">
        <v>405</v>
      </c>
      <c r="AA60" s="59">
        <v>1.0293600000000001</v>
      </c>
      <c r="AB60" s="59">
        <v>1.1306499999999999</v>
      </c>
      <c r="AC60" s="58">
        <v>0.01</v>
      </c>
      <c r="AD60" s="58">
        <v>0.85299999999999998</v>
      </c>
      <c r="AE60" s="58">
        <v>1E-3</v>
      </c>
      <c r="AF60" s="58">
        <v>6.0000000000000001E-3</v>
      </c>
      <c r="AG60" s="58">
        <v>0.111</v>
      </c>
      <c r="AH60" s="58">
        <v>0.7</v>
      </c>
      <c r="AI60" s="58">
        <v>0.20699999999999999</v>
      </c>
      <c r="AJ60" s="59">
        <v>0.93569000000000002</v>
      </c>
      <c r="AK60" s="59">
        <v>1.1131500000000001</v>
      </c>
      <c r="AL60" s="58">
        <v>0.28599999999999998</v>
      </c>
      <c r="AM60" s="58">
        <v>2.5000000000000001E-2</v>
      </c>
      <c r="AN60" s="58">
        <v>3.0000000000000001E-3</v>
      </c>
      <c r="AO60" s="58">
        <v>0.23100000000000001</v>
      </c>
      <c r="AP60" s="58">
        <v>56.12</v>
      </c>
      <c r="AQ60" s="58">
        <v>55.4</v>
      </c>
      <c r="AR60" s="58">
        <v>7.0999999999999994E-2</v>
      </c>
      <c r="AS60" s="58">
        <v>0.11799999999999999</v>
      </c>
      <c r="AT60" s="58">
        <v>1.4999999999999999E-2</v>
      </c>
      <c r="AU60" s="58">
        <v>5.8000000000000003E-2</v>
      </c>
      <c r="AV60" s="58">
        <v>1.0999999999999999E-2</v>
      </c>
      <c r="AW60" s="58">
        <v>1.0999999999999999E-2</v>
      </c>
      <c r="AX60" s="58">
        <v>0.01</v>
      </c>
      <c r="AY60" s="58">
        <v>1E-3</v>
      </c>
      <c r="AZ60" s="58">
        <v>8.0000000000000002E-3</v>
      </c>
      <c r="BA60" s="58">
        <v>2E-3</v>
      </c>
      <c r="BB60" s="58">
        <v>4.0000000000000001E-3</v>
      </c>
      <c r="BC60" s="58">
        <v>0</v>
      </c>
      <c r="BD60" s="58">
        <v>3.0000000000000001E-3</v>
      </c>
      <c r="BE60" s="58">
        <v>0</v>
      </c>
      <c r="BF60" s="58">
        <v>0</v>
      </c>
      <c r="BG60" s="58">
        <v>0.14799999999999999</v>
      </c>
      <c r="BH60" s="58">
        <v>0.248</v>
      </c>
      <c r="BI60" s="58">
        <v>0.253</v>
      </c>
      <c r="BJ60" s="58">
        <v>0</v>
      </c>
      <c r="BK60" s="58">
        <v>0</v>
      </c>
      <c r="BL60" s="58">
        <v>0.373</v>
      </c>
      <c r="BM60" s="58">
        <v>7.0000000000000001E-3</v>
      </c>
      <c r="BN60" s="58">
        <v>0.183</v>
      </c>
      <c r="BO60" s="59">
        <v>0.90002000000000004</v>
      </c>
      <c r="BP60" s="59">
        <v>1.0507299999999999</v>
      </c>
      <c r="BQ60" s="58">
        <v>1.7999999999999999E-2</v>
      </c>
      <c r="BR60" s="58">
        <v>5.0000000000000001E-3</v>
      </c>
    </row>
    <row r="61" spans="1:70" ht="15.95" customHeight="1" x14ac:dyDescent="0.25">
      <c r="A61" s="58" t="s">
        <v>92</v>
      </c>
      <c r="B61" s="58">
        <v>120.9</v>
      </c>
      <c r="C61" s="58">
        <v>5129</v>
      </c>
      <c r="D61" s="58">
        <v>310.7</v>
      </c>
      <c r="E61" s="58">
        <v>3229</v>
      </c>
      <c r="F61" s="58">
        <v>38640</v>
      </c>
      <c r="G61" s="58">
        <v>37550</v>
      </c>
      <c r="H61" s="59">
        <v>1.0371999999999999</v>
      </c>
      <c r="I61" s="59">
        <v>1.04284</v>
      </c>
      <c r="J61" s="58">
        <v>208.9</v>
      </c>
      <c r="K61" s="58">
        <v>10.39</v>
      </c>
      <c r="L61" s="58">
        <v>20.329999999999998</v>
      </c>
      <c r="M61" s="58">
        <v>2.54</v>
      </c>
      <c r="N61" s="58">
        <v>100.2</v>
      </c>
      <c r="O61" s="58">
        <v>469.7</v>
      </c>
      <c r="P61" s="58">
        <v>0.20200000000000001</v>
      </c>
      <c r="Q61" s="58">
        <v>1.9390000000000001</v>
      </c>
      <c r="R61" s="58">
        <v>38.07</v>
      </c>
      <c r="S61" s="58">
        <v>47.93</v>
      </c>
      <c r="T61" s="58">
        <v>1.0189999999999999</v>
      </c>
      <c r="U61" s="59">
        <v>0.94132000000000005</v>
      </c>
      <c r="V61" s="59">
        <v>0.90629999999999999</v>
      </c>
      <c r="W61" s="58">
        <v>0.186</v>
      </c>
      <c r="X61" s="58">
        <v>16.13</v>
      </c>
      <c r="Y61" s="58">
        <v>24.35</v>
      </c>
      <c r="Z61" s="58">
        <v>143</v>
      </c>
      <c r="AA61" s="59">
        <v>1.0025900000000001</v>
      </c>
      <c r="AB61" s="59">
        <v>1.08067</v>
      </c>
      <c r="AC61" s="58">
        <v>3.1E-2</v>
      </c>
      <c r="AD61" s="58">
        <v>0.878</v>
      </c>
      <c r="AE61" s="58">
        <v>0</v>
      </c>
      <c r="AF61" s="58">
        <v>2E-3</v>
      </c>
      <c r="AG61" s="58">
        <v>0.04</v>
      </c>
      <c r="AH61" s="58">
        <v>7.0000000000000001E-3</v>
      </c>
      <c r="AI61" s="58">
        <v>0.08</v>
      </c>
      <c r="AJ61" s="59">
        <v>0.91515999999999997</v>
      </c>
      <c r="AK61" s="59">
        <v>1.0787800000000001</v>
      </c>
      <c r="AL61" s="58">
        <v>0.308</v>
      </c>
      <c r="AM61" s="58">
        <v>3.3000000000000002E-2</v>
      </c>
      <c r="AN61" s="58">
        <v>3.0000000000000001E-3</v>
      </c>
      <c r="AO61" s="58">
        <v>0.307</v>
      </c>
      <c r="AP61" s="58">
        <v>26.74</v>
      </c>
      <c r="AQ61" s="58">
        <v>26.73</v>
      </c>
      <c r="AR61" s="58">
        <v>0.30599999999999999</v>
      </c>
      <c r="AS61" s="58">
        <v>0.57599999999999996</v>
      </c>
      <c r="AT61" s="58">
        <v>7.1999999999999995E-2</v>
      </c>
      <c r="AU61" s="58">
        <v>0.27600000000000002</v>
      </c>
      <c r="AV61" s="58">
        <v>5.2999999999999999E-2</v>
      </c>
      <c r="AW61" s="58">
        <v>1.4999999999999999E-2</v>
      </c>
      <c r="AX61" s="58">
        <v>4.8000000000000001E-2</v>
      </c>
      <c r="AY61" s="58">
        <v>6.0000000000000001E-3</v>
      </c>
      <c r="AZ61" s="58">
        <v>3.4000000000000002E-2</v>
      </c>
      <c r="BA61" s="58">
        <v>7.0000000000000001E-3</v>
      </c>
      <c r="BB61" s="58">
        <v>1.7999999999999999E-2</v>
      </c>
      <c r="BC61" s="58">
        <v>2E-3</v>
      </c>
      <c r="BD61" s="58">
        <v>1.4999999999999999E-2</v>
      </c>
      <c r="BE61" s="58">
        <v>2E-3</v>
      </c>
      <c r="BF61" s="58">
        <v>1E-3</v>
      </c>
      <c r="BG61" s="58">
        <v>6.4000000000000001E-2</v>
      </c>
      <c r="BH61" s="58">
        <v>0.36199999999999999</v>
      </c>
      <c r="BI61" s="58">
        <v>0.36299999999999999</v>
      </c>
      <c r="BJ61" s="58">
        <v>0</v>
      </c>
      <c r="BK61" s="58">
        <v>0</v>
      </c>
      <c r="BL61" s="58">
        <v>0.13100000000000001</v>
      </c>
      <c r="BM61" s="58">
        <v>8.0000000000000002E-3</v>
      </c>
      <c r="BN61" s="58">
        <v>3.903</v>
      </c>
      <c r="BO61" s="59">
        <v>0.89612000000000003</v>
      </c>
      <c r="BP61" s="59">
        <v>1.0355300000000001</v>
      </c>
      <c r="BQ61" s="58">
        <v>9.2999999999999999E-2</v>
      </c>
      <c r="BR61" s="58">
        <v>1.6E-2</v>
      </c>
    </row>
    <row r="62" spans="1:70" ht="15.95" customHeight="1" x14ac:dyDescent="0.25">
      <c r="A62" s="58" t="s">
        <v>73</v>
      </c>
      <c r="B62" s="58">
        <v>154.9</v>
      </c>
      <c r="C62" s="58">
        <v>5162</v>
      </c>
      <c r="D62" s="58">
        <v>282.10000000000002</v>
      </c>
      <c r="E62" s="58">
        <v>4612</v>
      </c>
      <c r="F62" s="58">
        <v>49820</v>
      </c>
      <c r="G62" s="58">
        <v>38190</v>
      </c>
      <c r="H62" s="59">
        <v>1.01044</v>
      </c>
      <c r="I62" s="59">
        <v>1.03651</v>
      </c>
      <c r="J62" s="58">
        <v>212.2</v>
      </c>
      <c r="K62" s="58">
        <v>10.46</v>
      </c>
      <c r="L62" s="58">
        <v>20.22</v>
      </c>
      <c r="M62" s="58">
        <v>2.649</v>
      </c>
      <c r="N62" s="58">
        <v>80.45</v>
      </c>
      <c r="O62" s="58">
        <v>524.6</v>
      </c>
      <c r="P62" s="58">
        <v>0.254</v>
      </c>
      <c r="Q62" s="58">
        <v>4.4630000000000001</v>
      </c>
      <c r="R62" s="58">
        <v>25.43</v>
      </c>
      <c r="S62" s="58">
        <v>32.75</v>
      </c>
      <c r="T62" s="58">
        <v>1.02</v>
      </c>
      <c r="U62" s="59">
        <v>0.90575000000000006</v>
      </c>
      <c r="V62" s="59">
        <v>0.89834000000000003</v>
      </c>
      <c r="W62" s="58">
        <v>0.18099999999999999</v>
      </c>
      <c r="X62" s="58">
        <v>41.15</v>
      </c>
      <c r="Y62" s="58">
        <v>17.73</v>
      </c>
      <c r="Z62" s="58">
        <v>131.30000000000001</v>
      </c>
      <c r="AA62" s="59">
        <v>0.97435000000000005</v>
      </c>
      <c r="AB62" s="59">
        <v>1.07413</v>
      </c>
      <c r="AC62" s="58">
        <v>2.7E-2</v>
      </c>
      <c r="AD62" s="58">
        <v>0.56299999999999994</v>
      </c>
      <c r="AE62" s="58">
        <v>0</v>
      </c>
      <c r="AF62" s="58">
        <v>4.0000000000000001E-3</v>
      </c>
      <c r="AG62" s="58">
        <v>3.6999999999999998E-2</v>
      </c>
      <c r="AH62" s="58">
        <v>6.3E-2</v>
      </c>
      <c r="AI62" s="58">
        <v>0.05</v>
      </c>
      <c r="AJ62" s="59">
        <v>0.89134999999999998</v>
      </c>
      <c r="AK62" s="59">
        <v>1.0691900000000001</v>
      </c>
      <c r="AL62" s="58">
        <v>0.67700000000000005</v>
      </c>
      <c r="AM62" s="58">
        <v>4.7E-2</v>
      </c>
      <c r="AN62" s="58">
        <v>2E-3</v>
      </c>
      <c r="AO62" s="58">
        <v>0.17</v>
      </c>
      <c r="AP62" s="58">
        <v>27.04</v>
      </c>
      <c r="AQ62" s="58">
        <v>27.24</v>
      </c>
      <c r="AR62" s="58">
        <v>0.28599999999999998</v>
      </c>
      <c r="AS62" s="58">
        <v>0.52200000000000002</v>
      </c>
      <c r="AT62" s="58">
        <v>6.9000000000000006E-2</v>
      </c>
      <c r="AU62" s="58">
        <v>0.26600000000000001</v>
      </c>
      <c r="AV62" s="58">
        <v>5.1999999999999998E-2</v>
      </c>
      <c r="AW62" s="58">
        <v>1.4E-2</v>
      </c>
      <c r="AX62" s="58">
        <v>4.4999999999999998E-2</v>
      </c>
      <c r="AY62" s="58">
        <v>6.0000000000000001E-3</v>
      </c>
      <c r="AZ62" s="58">
        <v>3.2000000000000001E-2</v>
      </c>
      <c r="BA62" s="58">
        <v>6.0000000000000001E-3</v>
      </c>
      <c r="BB62" s="58">
        <v>1.6E-2</v>
      </c>
      <c r="BC62" s="58">
        <v>2E-3</v>
      </c>
      <c r="BD62" s="58">
        <v>1.4E-2</v>
      </c>
      <c r="BE62" s="58">
        <v>2E-3</v>
      </c>
      <c r="BF62" s="58">
        <v>1E-3</v>
      </c>
      <c r="BG62" s="58">
        <v>6.2E-2</v>
      </c>
      <c r="BH62" s="58">
        <v>0.26200000000000001</v>
      </c>
      <c r="BI62" s="58">
        <v>0.26400000000000001</v>
      </c>
      <c r="BJ62" s="58">
        <v>0</v>
      </c>
      <c r="BK62" s="58">
        <v>0</v>
      </c>
      <c r="BL62" s="58">
        <v>0.14599999999999999</v>
      </c>
      <c r="BM62" s="58">
        <v>8.0000000000000002E-3</v>
      </c>
      <c r="BN62" s="58">
        <v>28.49</v>
      </c>
      <c r="BO62" s="59">
        <v>0.87239999999999995</v>
      </c>
      <c r="BP62" s="59">
        <v>1.0246999999999999</v>
      </c>
      <c r="BQ62" s="58">
        <v>8.4000000000000005E-2</v>
      </c>
      <c r="BR62" s="58">
        <v>1.2999999999999999E-2</v>
      </c>
    </row>
    <row r="63" spans="1:70" ht="15.95" customHeight="1" x14ac:dyDescent="0.25">
      <c r="A63" s="58" t="s">
        <v>74</v>
      </c>
      <c r="B63" s="58">
        <v>155.1</v>
      </c>
      <c r="C63" s="58">
        <v>4990</v>
      </c>
      <c r="D63" s="58">
        <v>713.3</v>
      </c>
      <c r="E63" s="58">
        <v>3233</v>
      </c>
      <c r="F63" s="58">
        <v>53010</v>
      </c>
      <c r="G63" s="58">
        <v>37460</v>
      </c>
      <c r="H63" s="59">
        <v>1.0083299999999999</v>
      </c>
      <c r="I63" s="59">
        <v>1.0421499999999999</v>
      </c>
      <c r="J63" s="58">
        <v>235</v>
      </c>
      <c r="K63" s="58">
        <v>26.44</v>
      </c>
      <c r="L63" s="58">
        <v>30.07</v>
      </c>
      <c r="M63" s="58">
        <v>2.169</v>
      </c>
      <c r="N63" s="58">
        <v>131.80000000000001</v>
      </c>
      <c r="O63" s="58">
        <v>859.6</v>
      </c>
      <c r="P63" s="58">
        <v>0.41899999999999998</v>
      </c>
      <c r="Q63" s="58">
        <v>5.7519999999999998</v>
      </c>
      <c r="R63" s="58">
        <v>29.78</v>
      </c>
      <c r="S63" s="58">
        <v>24.03</v>
      </c>
      <c r="T63" s="58">
        <v>0.45100000000000001</v>
      </c>
      <c r="U63" s="59">
        <v>0.91564000000000001</v>
      </c>
      <c r="V63" s="59">
        <v>0.90508</v>
      </c>
      <c r="W63" s="58">
        <v>0.25</v>
      </c>
      <c r="X63" s="58">
        <v>5.1310000000000002</v>
      </c>
      <c r="Y63" s="58">
        <v>27.17</v>
      </c>
      <c r="Z63" s="58">
        <v>122.9</v>
      </c>
      <c r="AA63" s="59">
        <v>0.97824</v>
      </c>
      <c r="AB63" s="59">
        <v>1.0772299999999999</v>
      </c>
      <c r="AC63" s="58">
        <v>7.1999999999999995E-2</v>
      </c>
      <c r="AD63" s="58">
        <v>0.32900000000000001</v>
      </c>
      <c r="AE63" s="58">
        <v>0</v>
      </c>
      <c r="AF63" s="58">
        <v>2E-3</v>
      </c>
      <c r="AG63" s="58">
        <v>3.1E-2</v>
      </c>
      <c r="AH63" s="58">
        <v>0.14499999999999999</v>
      </c>
      <c r="AI63" s="58">
        <v>6.2E-2</v>
      </c>
      <c r="AJ63" s="59">
        <v>0.89281999999999995</v>
      </c>
      <c r="AK63" s="59">
        <v>1.0706100000000001</v>
      </c>
      <c r="AL63" s="58">
        <v>3.5289999999999999</v>
      </c>
      <c r="AM63" s="58">
        <v>0.06</v>
      </c>
      <c r="AN63" s="58">
        <v>2E-3</v>
      </c>
      <c r="AO63" s="58">
        <v>0.24</v>
      </c>
      <c r="AP63" s="58">
        <v>9.6240000000000006</v>
      </c>
      <c r="AQ63" s="58">
        <v>9.7520000000000007</v>
      </c>
      <c r="AR63" s="58">
        <v>0.59599999999999997</v>
      </c>
      <c r="AS63" s="58">
        <v>1.1910000000000001</v>
      </c>
      <c r="AT63" s="58">
        <v>0.14599999999999999</v>
      </c>
      <c r="AU63" s="58">
        <v>0.54500000000000004</v>
      </c>
      <c r="AV63" s="58">
        <v>0.107</v>
      </c>
      <c r="AW63" s="58">
        <v>0.02</v>
      </c>
      <c r="AX63" s="58">
        <v>9.4E-2</v>
      </c>
      <c r="AY63" s="58">
        <v>1.2999999999999999E-2</v>
      </c>
      <c r="AZ63" s="58">
        <v>6.8000000000000005E-2</v>
      </c>
      <c r="BA63" s="58">
        <v>1.2999999999999999E-2</v>
      </c>
      <c r="BB63" s="58">
        <v>3.5000000000000003E-2</v>
      </c>
      <c r="BC63" s="58">
        <v>5.0000000000000001E-3</v>
      </c>
      <c r="BD63" s="58">
        <v>3.3000000000000002E-2</v>
      </c>
      <c r="BE63" s="58">
        <v>4.0000000000000001E-3</v>
      </c>
      <c r="BF63" s="58">
        <v>1E-3</v>
      </c>
      <c r="BG63" s="58">
        <v>5.7000000000000002E-2</v>
      </c>
      <c r="BH63" s="58">
        <v>0.374</v>
      </c>
      <c r="BI63" s="58">
        <v>0.38100000000000001</v>
      </c>
      <c r="BJ63" s="58">
        <v>0</v>
      </c>
      <c r="BK63" s="58">
        <v>0</v>
      </c>
      <c r="BL63" s="58">
        <v>0.19600000000000001</v>
      </c>
      <c r="BM63" s="58">
        <v>8.9999999999999993E-3</v>
      </c>
      <c r="BN63" s="58">
        <v>7.7859999999999996</v>
      </c>
      <c r="BO63" s="59">
        <v>0.87785000000000002</v>
      </c>
      <c r="BP63" s="59">
        <v>1.0270300000000001</v>
      </c>
      <c r="BQ63" s="58">
        <v>0.14599999999999999</v>
      </c>
      <c r="BR63" s="58">
        <v>0.03</v>
      </c>
    </row>
    <row r="64" spans="1:70" ht="15.95" customHeight="1" x14ac:dyDescent="0.25">
      <c r="A64" s="58" t="s">
        <v>75</v>
      </c>
      <c r="B64" s="58">
        <v>199.5</v>
      </c>
      <c r="C64" s="58">
        <v>7538</v>
      </c>
      <c r="D64" s="58">
        <v>384.7</v>
      </c>
      <c r="E64" s="58">
        <v>3672</v>
      </c>
      <c r="F64" s="58">
        <v>43290</v>
      </c>
      <c r="G64" s="58">
        <v>33050</v>
      </c>
      <c r="H64" s="59">
        <v>1.0632699999999999</v>
      </c>
      <c r="I64" s="59">
        <v>1.0877600000000001</v>
      </c>
      <c r="J64" s="58">
        <v>175.9</v>
      </c>
      <c r="K64" s="58">
        <v>13.21</v>
      </c>
      <c r="L64" s="58">
        <v>20.88</v>
      </c>
      <c r="M64" s="58">
        <v>2.1629999999999998</v>
      </c>
      <c r="N64" s="58">
        <v>103.2</v>
      </c>
      <c r="O64" s="58">
        <v>502.8</v>
      </c>
      <c r="P64" s="58">
        <v>0.25800000000000001</v>
      </c>
      <c r="Q64" s="58">
        <v>5.6159999999999997</v>
      </c>
      <c r="R64" s="58">
        <v>19.170000000000002</v>
      </c>
      <c r="S64" s="58">
        <v>37.33</v>
      </c>
      <c r="T64" s="58">
        <v>1.512</v>
      </c>
      <c r="U64" s="59">
        <v>0.94886999999999999</v>
      </c>
      <c r="V64" s="59">
        <v>0.93835999999999997</v>
      </c>
      <c r="W64" s="58">
        <v>0.17299999999999999</v>
      </c>
      <c r="X64" s="58">
        <v>11.01</v>
      </c>
      <c r="Y64" s="58">
        <v>14.1</v>
      </c>
      <c r="Z64" s="58">
        <v>334.6</v>
      </c>
      <c r="AA64" s="59">
        <v>1.01387</v>
      </c>
      <c r="AB64" s="59">
        <v>1.1129500000000001</v>
      </c>
      <c r="AC64" s="58">
        <v>3.1E-2</v>
      </c>
      <c r="AD64" s="58">
        <v>0.48099999999999998</v>
      </c>
      <c r="AE64" s="58">
        <v>1E-3</v>
      </c>
      <c r="AF64" s="58">
        <v>5.0000000000000001E-3</v>
      </c>
      <c r="AG64" s="58">
        <v>8.3000000000000004E-2</v>
      </c>
      <c r="AH64" s="58">
        <v>1.9E-2</v>
      </c>
      <c r="AI64" s="58">
        <v>9.4E-2</v>
      </c>
      <c r="AJ64" s="59">
        <v>0.92337999999999998</v>
      </c>
      <c r="AK64" s="59">
        <v>1.1033999999999999</v>
      </c>
      <c r="AL64" s="58">
        <v>0.11600000000000001</v>
      </c>
      <c r="AM64" s="58">
        <v>2.7E-2</v>
      </c>
      <c r="AN64" s="58">
        <v>0</v>
      </c>
      <c r="AO64" s="58">
        <v>0.125</v>
      </c>
      <c r="AP64" s="58">
        <v>40.25</v>
      </c>
      <c r="AQ64" s="58">
        <v>40.06</v>
      </c>
      <c r="AR64" s="58">
        <v>0.32900000000000001</v>
      </c>
      <c r="AS64" s="58">
        <v>0.66600000000000004</v>
      </c>
      <c r="AT64" s="58">
        <v>0.08</v>
      </c>
      <c r="AU64" s="58">
        <v>0.29199999999999998</v>
      </c>
      <c r="AV64" s="58">
        <v>5.8999999999999997E-2</v>
      </c>
      <c r="AW64" s="58">
        <v>1.7000000000000001E-2</v>
      </c>
      <c r="AX64" s="58">
        <v>5.0999999999999997E-2</v>
      </c>
      <c r="AY64" s="58">
        <v>7.0000000000000001E-3</v>
      </c>
      <c r="AZ64" s="58">
        <v>3.6999999999999998E-2</v>
      </c>
      <c r="BA64" s="58">
        <v>7.0000000000000001E-3</v>
      </c>
      <c r="BB64" s="58">
        <v>1.9E-2</v>
      </c>
      <c r="BC64" s="58">
        <v>3.0000000000000001E-3</v>
      </c>
      <c r="BD64" s="58">
        <v>1.7000000000000001E-2</v>
      </c>
      <c r="BE64" s="58">
        <v>2E-3</v>
      </c>
      <c r="BF64" s="58">
        <v>1E-3</v>
      </c>
      <c r="BG64" s="58">
        <v>3.9E-2</v>
      </c>
      <c r="BH64" s="58">
        <v>8.4000000000000005E-2</v>
      </c>
      <c r="BI64" s="58">
        <v>8.6999999999999994E-2</v>
      </c>
      <c r="BJ64" s="58">
        <v>0</v>
      </c>
      <c r="BK64" s="58">
        <v>0</v>
      </c>
      <c r="BL64" s="58">
        <v>7.0000000000000007E-2</v>
      </c>
      <c r="BM64" s="58">
        <v>5.0000000000000001E-3</v>
      </c>
      <c r="BN64" s="58">
        <v>3.8719999999999999</v>
      </c>
      <c r="BO64" s="59">
        <v>0.8962</v>
      </c>
      <c r="BP64" s="59">
        <v>1.0528599999999999</v>
      </c>
      <c r="BQ64" s="58">
        <v>9.8000000000000004E-2</v>
      </c>
      <c r="BR64" s="58">
        <v>1.4999999999999999E-2</v>
      </c>
    </row>
    <row r="65" spans="1:70" ht="15.95" customHeight="1" x14ac:dyDescent="0.25">
      <c r="A65" s="58" t="s">
        <v>76</v>
      </c>
      <c r="B65" s="58">
        <v>323.5</v>
      </c>
      <c r="C65" s="58">
        <v>5074</v>
      </c>
      <c r="D65" s="58">
        <v>758.4</v>
      </c>
      <c r="E65" s="58">
        <v>2085</v>
      </c>
      <c r="F65" s="58">
        <v>30600</v>
      </c>
      <c r="G65" s="58">
        <v>56170</v>
      </c>
      <c r="H65" s="59">
        <v>1.0532699999999999</v>
      </c>
      <c r="I65" s="59">
        <v>1.0823100000000001</v>
      </c>
      <c r="J65" s="58">
        <v>327.10000000000002</v>
      </c>
      <c r="K65" s="58">
        <v>27.94</v>
      </c>
      <c r="L65" s="58">
        <v>35.97</v>
      </c>
      <c r="M65" s="58">
        <v>2.907</v>
      </c>
      <c r="N65" s="58">
        <v>105.8</v>
      </c>
      <c r="O65" s="58">
        <v>992.4</v>
      </c>
      <c r="P65" s="58">
        <v>0.45500000000000002</v>
      </c>
      <c r="Q65" s="58">
        <v>4.9640000000000004</v>
      </c>
      <c r="R65" s="58">
        <v>32.21</v>
      </c>
      <c r="S65" s="58">
        <v>41.39</v>
      </c>
      <c r="T65" s="58">
        <v>1.885</v>
      </c>
      <c r="U65" s="59">
        <v>0.95420000000000005</v>
      </c>
      <c r="V65" s="59">
        <v>0.93052000000000001</v>
      </c>
      <c r="W65" s="58">
        <v>0.246</v>
      </c>
      <c r="X65" s="58">
        <v>22.43</v>
      </c>
      <c r="Y65" s="58">
        <v>18.23</v>
      </c>
      <c r="Z65" s="58">
        <v>174.6</v>
      </c>
      <c r="AA65" s="59">
        <v>1.0210300000000001</v>
      </c>
      <c r="AB65" s="59">
        <v>1.11425</v>
      </c>
      <c r="AC65" s="58">
        <v>8.5999999999999993E-2</v>
      </c>
      <c r="AD65" s="58">
        <v>0.63800000000000001</v>
      </c>
      <c r="AE65" s="58">
        <v>0</v>
      </c>
      <c r="AF65" s="58">
        <v>5.0000000000000001E-3</v>
      </c>
      <c r="AG65" s="58">
        <v>4.4999999999999998E-2</v>
      </c>
      <c r="AH65" s="58">
        <v>0.25700000000000001</v>
      </c>
      <c r="AI65" s="58">
        <v>8.7999999999999995E-2</v>
      </c>
      <c r="AJ65" s="59">
        <v>0.92684999999999995</v>
      </c>
      <c r="AK65" s="59">
        <v>1.1044499999999999</v>
      </c>
      <c r="AL65" s="58">
        <v>1.76</v>
      </c>
      <c r="AM65" s="58">
        <v>7.9000000000000001E-2</v>
      </c>
      <c r="AN65" s="58">
        <v>2E-3</v>
      </c>
      <c r="AO65" s="58">
        <v>0.27500000000000002</v>
      </c>
      <c r="AP65" s="58">
        <v>48.5</v>
      </c>
      <c r="AQ65" s="58">
        <v>55.97</v>
      </c>
      <c r="AR65" s="58">
        <v>0.69499999999999995</v>
      </c>
      <c r="AS65" s="58">
        <v>1.37</v>
      </c>
      <c r="AT65" s="58">
        <v>0.17</v>
      </c>
      <c r="AU65" s="58">
        <v>0.63</v>
      </c>
      <c r="AV65" s="58">
        <v>0.124</v>
      </c>
      <c r="AW65" s="58">
        <v>0.03</v>
      </c>
      <c r="AX65" s="58">
        <v>0.111</v>
      </c>
      <c r="AY65" s="58">
        <v>1.4999999999999999E-2</v>
      </c>
      <c r="AZ65" s="58">
        <v>7.8E-2</v>
      </c>
      <c r="BA65" s="58">
        <v>1.4999999999999999E-2</v>
      </c>
      <c r="BB65" s="58">
        <v>4.2000000000000003E-2</v>
      </c>
      <c r="BC65" s="58">
        <v>6.0000000000000001E-3</v>
      </c>
      <c r="BD65" s="58">
        <v>3.5999999999999997E-2</v>
      </c>
      <c r="BE65" s="58">
        <v>5.0000000000000001E-3</v>
      </c>
      <c r="BF65" s="58">
        <v>2E-3</v>
      </c>
      <c r="BG65" s="58">
        <v>7.1999999999999995E-2</v>
      </c>
      <c r="BH65" s="58">
        <v>0.26600000000000001</v>
      </c>
      <c r="BI65" s="58">
        <v>0.27200000000000002</v>
      </c>
      <c r="BJ65" s="58">
        <v>0</v>
      </c>
      <c r="BK65" s="58">
        <v>0</v>
      </c>
      <c r="BL65" s="58">
        <v>0.13600000000000001</v>
      </c>
      <c r="BM65" s="58">
        <v>0.01</v>
      </c>
      <c r="BN65" s="58">
        <v>14.74</v>
      </c>
      <c r="BO65" s="59">
        <v>0.90159</v>
      </c>
      <c r="BP65" s="59">
        <v>1.04959</v>
      </c>
      <c r="BQ65" s="58">
        <v>0.21099999999999999</v>
      </c>
      <c r="BR65" s="58">
        <v>3.4000000000000002E-2</v>
      </c>
    </row>
    <row r="66" spans="1:70" ht="15.95" customHeight="1" x14ac:dyDescent="0.25">
      <c r="A66" s="58" t="s">
        <v>77</v>
      </c>
      <c r="B66" s="58">
        <v>289.8</v>
      </c>
      <c r="C66" s="58">
        <v>4882</v>
      </c>
      <c r="D66" s="58">
        <v>274</v>
      </c>
      <c r="E66" s="58">
        <v>3757</v>
      </c>
      <c r="F66" s="58">
        <v>51150</v>
      </c>
      <c r="G66" s="58">
        <v>48740</v>
      </c>
      <c r="H66" s="59">
        <v>1.0305899999999999</v>
      </c>
      <c r="I66" s="59">
        <v>1.06596</v>
      </c>
      <c r="J66" s="58">
        <v>262.8</v>
      </c>
      <c r="K66" s="58">
        <v>9.1910000000000007</v>
      </c>
      <c r="L66" s="58">
        <v>15.95</v>
      </c>
      <c r="M66" s="58">
        <v>1.992</v>
      </c>
      <c r="N66" s="58">
        <v>64.17</v>
      </c>
      <c r="O66" s="58">
        <v>492.5</v>
      </c>
      <c r="P66" s="58">
        <v>0.36799999999999999</v>
      </c>
      <c r="Q66" s="58">
        <v>4.0490000000000004</v>
      </c>
      <c r="R66" s="58">
        <v>23.93</v>
      </c>
      <c r="S66" s="58">
        <v>48.33</v>
      </c>
      <c r="T66" s="58">
        <v>1.242</v>
      </c>
      <c r="U66" s="59">
        <v>0.93069000000000002</v>
      </c>
      <c r="V66" s="59">
        <v>0.92225999999999997</v>
      </c>
      <c r="W66" s="58">
        <v>0.188</v>
      </c>
      <c r="X66" s="58">
        <v>4.2939999999999996</v>
      </c>
      <c r="Y66" s="58">
        <v>16.97</v>
      </c>
      <c r="Z66" s="58">
        <v>259.3</v>
      </c>
      <c r="AA66" s="59">
        <v>0.99160000000000004</v>
      </c>
      <c r="AB66" s="59">
        <v>1.09497</v>
      </c>
      <c r="AC66" s="58">
        <v>2.7E-2</v>
      </c>
      <c r="AD66" s="58">
        <v>0.38100000000000001</v>
      </c>
      <c r="AE66" s="58">
        <v>1E-3</v>
      </c>
      <c r="AF66" s="58">
        <v>4.0000000000000001E-3</v>
      </c>
      <c r="AG66" s="58">
        <v>6.8000000000000005E-2</v>
      </c>
      <c r="AH66" s="58">
        <v>2.7E-2</v>
      </c>
      <c r="AI66" s="58">
        <v>0.161</v>
      </c>
      <c r="AJ66" s="59">
        <v>0.90207000000000004</v>
      </c>
      <c r="AK66" s="59">
        <v>1.08935</v>
      </c>
      <c r="AL66" s="58">
        <v>0.17100000000000001</v>
      </c>
      <c r="AM66" s="58">
        <v>6.6000000000000003E-2</v>
      </c>
      <c r="AN66" s="58">
        <v>1E-3</v>
      </c>
      <c r="AO66" s="58">
        <v>8.3000000000000004E-2</v>
      </c>
      <c r="AP66" s="58">
        <v>33.57</v>
      </c>
      <c r="AQ66" s="58">
        <v>33.71</v>
      </c>
      <c r="AR66" s="58">
        <v>0.24299999999999999</v>
      </c>
      <c r="AS66" s="58">
        <v>0.47099999999999997</v>
      </c>
      <c r="AT66" s="58">
        <v>5.8000000000000003E-2</v>
      </c>
      <c r="AU66" s="58">
        <v>0.224</v>
      </c>
      <c r="AV66" s="58">
        <v>4.2999999999999997E-2</v>
      </c>
      <c r="AW66" s="58">
        <v>1.2999999999999999E-2</v>
      </c>
      <c r="AX66" s="58">
        <v>3.7999999999999999E-2</v>
      </c>
      <c r="AY66" s="58">
        <v>6.0000000000000001E-3</v>
      </c>
      <c r="AZ66" s="58">
        <v>2.8000000000000001E-2</v>
      </c>
      <c r="BA66" s="58">
        <v>5.0000000000000001E-3</v>
      </c>
      <c r="BB66" s="58">
        <v>1.4E-2</v>
      </c>
      <c r="BC66" s="58">
        <v>2E-3</v>
      </c>
      <c r="BD66" s="58">
        <v>1.2999999999999999E-2</v>
      </c>
      <c r="BE66" s="58">
        <v>2E-3</v>
      </c>
      <c r="BF66" s="58">
        <v>1E-3</v>
      </c>
      <c r="BG66" s="58">
        <v>3.9E-2</v>
      </c>
      <c r="BH66" s="58">
        <v>9.5000000000000001E-2</v>
      </c>
      <c r="BI66" s="58">
        <v>9.6000000000000002E-2</v>
      </c>
      <c r="BJ66" s="58">
        <v>0</v>
      </c>
      <c r="BK66" s="58">
        <v>0</v>
      </c>
      <c r="BL66" s="58">
        <v>0.126</v>
      </c>
      <c r="BM66" s="58">
        <v>1.0999999999999999E-2</v>
      </c>
      <c r="BN66" s="58">
        <v>2.2040000000000002</v>
      </c>
      <c r="BO66" s="59">
        <v>0.87794000000000005</v>
      </c>
      <c r="BP66" s="59">
        <v>1.03837</v>
      </c>
      <c r="BQ66" s="58">
        <v>7.4999999999999997E-2</v>
      </c>
      <c r="BR66" s="58">
        <v>1.2E-2</v>
      </c>
    </row>
    <row r="67" spans="1:70" ht="15.95" customHeight="1" x14ac:dyDescent="0.25">
      <c r="A67" s="58" t="s">
        <v>78</v>
      </c>
      <c r="B67" s="58">
        <v>614.6</v>
      </c>
      <c r="C67" s="58">
        <v>4777</v>
      </c>
      <c r="D67" s="58">
        <v>894.6</v>
      </c>
      <c r="E67" s="58">
        <v>2260</v>
      </c>
      <c r="F67" s="58">
        <v>37700</v>
      </c>
      <c r="G67" s="58">
        <v>59870</v>
      </c>
      <c r="H67" s="59">
        <v>1.0288200000000001</v>
      </c>
      <c r="I67" s="59">
        <v>1.06091</v>
      </c>
      <c r="J67" s="58">
        <v>354.6</v>
      </c>
      <c r="K67" s="58">
        <v>35.68</v>
      </c>
      <c r="L67" s="58">
        <v>38.65</v>
      </c>
      <c r="M67" s="58">
        <v>3.016</v>
      </c>
      <c r="N67" s="58">
        <v>160.5</v>
      </c>
      <c r="O67" s="58">
        <v>1359</v>
      </c>
      <c r="P67" s="58">
        <v>0.46100000000000002</v>
      </c>
      <c r="Q67" s="58">
        <v>2.5379999999999998</v>
      </c>
      <c r="R67" s="58">
        <v>32.11</v>
      </c>
      <c r="S67" s="58">
        <v>35.06</v>
      </c>
      <c r="T67" s="58">
        <v>1.256</v>
      </c>
      <c r="U67" s="59">
        <v>0.92835999999999996</v>
      </c>
      <c r="V67" s="59">
        <v>0.90593999999999997</v>
      </c>
      <c r="W67" s="58">
        <v>0.33600000000000002</v>
      </c>
      <c r="X67" s="58">
        <v>11.05</v>
      </c>
      <c r="Y67" s="58">
        <v>30.58</v>
      </c>
      <c r="Z67" s="58">
        <v>265.89999999999998</v>
      </c>
      <c r="AA67" s="59">
        <v>0.99094000000000004</v>
      </c>
      <c r="AB67" s="59">
        <v>1.09287</v>
      </c>
      <c r="AC67" s="58">
        <v>8.7999999999999995E-2</v>
      </c>
      <c r="AD67" s="58">
        <v>0.41299999999999998</v>
      </c>
      <c r="AE67" s="58">
        <v>1E-3</v>
      </c>
      <c r="AF67" s="58">
        <v>7.0000000000000001E-3</v>
      </c>
      <c r="AG67" s="58">
        <v>6.4000000000000001E-2</v>
      </c>
      <c r="AH67" s="58">
        <v>0.24399999999999999</v>
      </c>
      <c r="AI67" s="58">
        <v>5.1999999999999998E-2</v>
      </c>
      <c r="AJ67" s="59">
        <v>0.90193000000000001</v>
      </c>
      <c r="AK67" s="59">
        <v>1.0843799999999999</v>
      </c>
      <c r="AL67" s="58">
        <v>0.308</v>
      </c>
      <c r="AM67" s="58">
        <v>0.115</v>
      </c>
      <c r="AN67" s="58">
        <v>5.0000000000000001E-3</v>
      </c>
      <c r="AO67" s="58">
        <v>0.49199999999999999</v>
      </c>
      <c r="AP67" s="58">
        <v>30.92</v>
      </c>
      <c r="AQ67" s="58">
        <v>31.01</v>
      </c>
      <c r="AR67" s="58">
        <v>0.78300000000000003</v>
      </c>
      <c r="AS67" s="58">
        <v>1.6040000000000001</v>
      </c>
      <c r="AT67" s="58">
        <v>0.192</v>
      </c>
      <c r="AU67" s="58">
        <v>0.73299999999999998</v>
      </c>
      <c r="AV67" s="58">
        <v>0.14099999999999999</v>
      </c>
      <c r="AW67" s="58">
        <v>3.2000000000000001E-2</v>
      </c>
      <c r="AX67" s="58">
        <v>0.123</v>
      </c>
      <c r="AY67" s="58">
        <v>1.7999999999999999E-2</v>
      </c>
      <c r="AZ67" s="58">
        <v>9.0999999999999998E-2</v>
      </c>
      <c r="BA67" s="58">
        <v>1.7000000000000001E-2</v>
      </c>
      <c r="BB67" s="58">
        <v>4.7E-2</v>
      </c>
      <c r="BC67" s="58">
        <v>6.0000000000000001E-3</v>
      </c>
      <c r="BD67" s="58">
        <v>0.04</v>
      </c>
      <c r="BE67" s="58">
        <v>6.0000000000000001E-3</v>
      </c>
      <c r="BF67" s="58">
        <v>2E-3</v>
      </c>
      <c r="BG67" s="58">
        <v>9.1999999999999998E-2</v>
      </c>
      <c r="BH67" s="58">
        <v>8.4000000000000005E-2</v>
      </c>
      <c r="BI67" s="58">
        <v>8.8999999999999996E-2</v>
      </c>
      <c r="BJ67" s="58">
        <v>0</v>
      </c>
      <c r="BK67" s="58">
        <v>1E-3</v>
      </c>
      <c r="BL67" s="58">
        <v>0.127</v>
      </c>
      <c r="BM67" s="58">
        <v>1.6E-2</v>
      </c>
      <c r="BN67" s="58">
        <v>6.3070000000000004</v>
      </c>
      <c r="BO67" s="59">
        <v>0.87695000000000001</v>
      </c>
      <c r="BP67" s="59">
        <v>1.0430999999999999</v>
      </c>
      <c r="BQ67" s="58">
        <v>0.23599999999999999</v>
      </c>
      <c r="BR67" s="58">
        <v>3.7999999999999999E-2</v>
      </c>
    </row>
    <row r="68" spans="1:70" ht="15.95" customHeight="1" x14ac:dyDescent="0.25">
      <c r="A68" s="58" t="s">
        <v>79</v>
      </c>
      <c r="B68" s="58">
        <v>360.7</v>
      </c>
      <c r="C68" s="58">
        <v>4782</v>
      </c>
      <c r="D68" s="58">
        <v>566.29999999999995</v>
      </c>
      <c r="E68" s="58">
        <v>3381</v>
      </c>
      <c r="F68" s="58">
        <v>45480</v>
      </c>
      <c r="G68" s="58">
        <v>42480</v>
      </c>
      <c r="H68" s="59">
        <v>1.0370699999999999</v>
      </c>
      <c r="I68" s="59">
        <v>1.07585</v>
      </c>
      <c r="J68" s="58">
        <v>247.8</v>
      </c>
      <c r="K68" s="58">
        <v>22.94</v>
      </c>
      <c r="L68" s="58">
        <v>29.88</v>
      </c>
      <c r="M68" s="58">
        <v>2.8319999999999999</v>
      </c>
      <c r="N68" s="58">
        <v>105.8</v>
      </c>
      <c r="O68" s="58">
        <v>920</v>
      </c>
      <c r="P68" s="58">
        <v>0.44700000000000001</v>
      </c>
      <c r="Q68" s="58">
        <v>3.5979999999999999</v>
      </c>
      <c r="R68" s="58">
        <v>28.28</v>
      </c>
      <c r="S68" s="58">
        <v>37.369999999999997</v>
      </c>
      <c r="T68" s="58">
        <v>1.3129999999999999</v>
      </c>
      <c r="U68" s="59">
        <v>0.92747999999999997</v>
      </c>
      <c r="V68" s="59">
        <v>0.92679</v>
      </c>
      <c r="W68" s="58">
        <v>0.32200000000000001</v>
      </c>
      <c r="X68" s="58">
        <v>22.51</v>
      </c>
      <c r="Y68" s="58">
        <v>9.5690000000000008</v>
      </c>
      <c r="Z68" s="58">
        <v>224.4</v>
      </c>
      <c r="AA68" s="59">
        <v>0.99124999999999996</v>
      </c>
      <c r="AB68" s="59">
        <v>1.10748</v>
      </c>
      <c r="AC68" s="58">
        <v>5.8999999999999997E-2</v>
      </c>
      <c r="AD68" s="58">
        <v>0.29399999999999998</v>
      </c>
      <c r="AE68" s="58">
        <v>1E-3</v>
      </c>
      <c r="AF68" s="58">
        <v>4.0000000000000001E-3</v>
      </c>
      <c r="AG68" s="58">
        <v>5.2999999999999999E-2</v>
      </c>
      <c r="AH68" s="58">
        <v>0.14799999999999999</v>
      </c>
      <c r="AI68" s="58">
        <v>0.05</v>
      </c>
      <c r="AJ68" s="59">
        <v>0.90634999999999999</v>
      </c>
      <c r="AK68" s="59">
        <v>1.1010500000000001</v>
      </c>
      <c r="AL68" s="58">
        <v>0.23899999999999999</v>
      </c>
      <c r="AM68" s="58">
        <v>0.107</v>
      </c>
      <c r="AN68" s="58">
        <v>1E-3</v>
      </c>
      <c r="AO68" s="58">
        <v>0.113</v>
      </c>
      <c r="AP68" s="58">
        <v>33.68</v>
      </c>
      <c r="AQ68" s="58">
        <v>33.61</v>
      </c>
      <c r="AR68" s="58">
        <v>0.56100000000000005</v>
      </c>
      <c r="AS68" s="58">
        <v>1.101</v>
      </c>
      <c r="AT68" s="58">
        <v>0.13700000000000001</v>
      </c>
      <c r="AU68" s="58">
        <v>0.51</v>
      </c>
      <c r="AV68" s="58">
        <v>9.7000000000000003E-2</v>
      </c>
      <c r="AW68" s="58">
        <v>2.3E-2</v>
      </c>
      <c r="AX68" s="58">
        <v>8.8999999999999996E-2</v>
      </c>
      <c r="AY68" s="58">
        <v>1.2E-2</v>
      </c>
      <c r="AZ68" s="58">
        <v>6.0999999999999999E-2</v>
      </c>
      <c r="BA68" s="58">
        <v>1.2E-2</v>
      </c>
      <c r="BB68" s="58">
        <v>0.03</v>
      </c>
      <c r="BC68" s="58">
        <v>4.0000000000000001E-3</v>
      </c>
      <c r="BD68" s="58">
        <v>2.5999999999999999E-2</v>
      </c>
      <c r="BE68" s="58">
        <v>4.0000000000000001E-3</v>
      </c>
      <c r="BF68" s="58">
        <v>1E-3</v>
      </c>
      <c r="BG68" s="58">
        <v>5.1999999999999998E-2</v>
      </c>
      <c r="BH68" s="58">
        <v>0.06</v>
      </c>
      <c r="BI68" s="58">
        <v>6.2E-2</v>
      </c>
      <c r="BJ68" s="58">
        <v>0</v>
      </c>
      <c r="BK68" s="58">
        <v>0</v>
      </c>
      <c r="BL68" s="58">
        <v>0.128</v>
      </c>
      <c r="BM68" s="58">
        <v>8.0000000000000002E-3</v>
      </c>
      <c r="BN68" s="58">
        <v>3.133</v>
      </c>
      <c r="BO68" s="59">
        <v>0.87946000000000002</v>
      </c>
      <c r="BP68" s="59">
        <v>1.05183</v>
      </c>
      <c r="BQ68" s="58">
        <v>0.158</v>
      </c>
      <c r="BR68" s="58">
        <v>2.3E-2</v>
      </c>
    </row>
    <row r="69" spans="1:70" ht="15.95" customHeight="1" x14ac:dyDescent="0.25">
      <c r="A69" s="58" t="s">
        <v>80</v>
      </c>
      <c r="B69" s="58">
        <v>310.60000000000002</v>
      </c>
      <c r="C69" s="58">
        <v>5794</v>
      </c>
      <c r="D69" s="58">
        <v>426.1</v>
      </c>
      <c r="E69" s="58">
        <v>4605</v>
      </c>
      <c r="F69" s="58">
        <v>50730</v>
      </c>
      <c r="G69" s="58">
        <v>48610</v>
      </c>
      <c r="H69" s="59">
        <v>1.04769</v>
      </c>
      <c r="I69" s="59">
        <v>1.0748800000000001</v>
      </c>
      <c r="J69" s="58">
        <v>271.8</v>
      </c>
      <c r="K69" s="58">
        <v>14.44</v>
      </c>
      <c r="L69" s="58">
        <v>20.46</v>
      </c>
      <c r="M69" s="58">
        <v>1.883</v>
      </c>
      <c r="N69" s="58">
        <v>140.5</v>
      </c>
      <c r="O69" s="58">
        <v>638</v>
      </c>
      <c r="P69" s="58">
        <v>0.34200000000000003</v>
      </c>
      <c r="Q69" s="58">
        <v>7.569</v>
      </c>
      <c r="R69" s="58">
        <v>64.14</v>
      </c>
      <c r="S69" s="58">
        <v>47.14</v>
      </c>
      <c r="T69" s="58">
        <v>1.417</v>
      </c>
      <c r="U69" s="59">
        <v>0.94681000000000004</v>
      </c>
      <c r="V69" s="59">
        <v>0.92649999999999999</v>
      </c>
      <c r="W69" s="58">
        <v>0.19400000000000001</v>
      </c>
      <c r="X69" s="58">
        <v>3.5569999999999999</v>
      </c>
      <c r="Y69" s="58">
        <v>22.24</v>
      </c>
      <c r="Z69" s="58">
        <v>226.5</v>
      </c>
      <c r="AA69" s="59">
        <v>1.00003</v>
      </c>
      <c r="AB69" s="59">
        <v>1.09867</v>
      </c>
      <c r="AC69" s="58">
        <v>3.6999999999999998E-2</v>
      </c>
      <c r="AD69" s="58">
        <v>0.61499999999999999</v>
      </c>
      <c r="AE69" s="58">
        <v>0</v>
      </c>
      <c r="AF69" s="58">
        <v>4.0000000000000001E-3</v>
      </c>
      <c r="AG69" s="58">
        <v>5.3999999999999999E-2</v>
      </c>
      <c r="AH69" s="58">
        <v>8.5000000000000006E-2</v>
      </c>
      <c r="AI69" s="58">
        <v>0.16900000000000001</v>
      </c>
      <c r="AJ69" s="59">
        <v>0.90788999999999997</v>
      </c>
      <c r="AK69" s="59">
        <v>1.0929500000000001</v>
      </c>
      <c r="AL69" s="58">
        <v>0.10100000000000001</v>
      </c>
      <c r="AM69" s="58">
        <v>4.2999999999999997E-2</v>
      </c>
      <c r="AN69" s="58">
        <v>0</v>
      </c>
      <c r="AO69" s="58">
        <v>0.159</v>
      </c>
      <c r="AP69" s="58">
        <v>37.869999999999997</v>
      </c>
      <c r="AQ69" s="58">
        <v>37.85</v>
      </c>
      <c r="AR69" s="58">
        <v>0.33800000000000002</v>
      </c>
      <c r="AS69" s="58">
        <v>0.64900000000000002</v>
      </c>
      <c r="AT69" s="58">
        <v>8.2000000000000003E-2</v>
      </c>
      <c r="AU69" s="58">
        <v>0.30199999999999999</v>
      </c>
      <c r="AV69" s="58">
        <v>6.3E-2</v>
      </c>
      <c r="AW69" s="58">
        <v>0.02</v>
      </c>
      <c r="AX69" s="58">
        <v>5.5E-2</v>
      </c>
      <c r="AY69" s="58">
        <v>8.0000000000000002E-3</v>
      </c>
      <c r="AZ69" s="58">
        <v>3.9E-2</v>
      </c>
      <c r="BA69" s="58">
        <v>7.0000000000000001E-3</v>
      </c>
      <c r="BB69" s="58">
        <v>0.02</v>
      </c>
      <c r="BC69" s="58">
        <v>2E-3</v>
      </c>
      <c r="BD69" s="58">
        <v>1.6E-2</v>
      </c>
      <c r="BE69" s="58">
        <v>2E-3</v>
      </c>
      <c r="BF69" s="58">
        <v>1E-3</v>
      </c>
      <c r="BG69" s="58">
        <v>6.9000000000000006E-2</v>
      </c>
      <c r="BH69" s="58">
        <v>0.23400000000000001</v>
      </c>
      <c r="BI69" s="58">
        <v>0.24299999999999999</v>
      </c>
      <c r="BJ69" s="58">
        <v>0</v>
      </c>
      <c r="BK69" s="58">
        <v>0</v>
      </c>
      <c r="BL69" s="58">
        <v>0.17100000000000001</v>
      </c>
      <c r="BM69" s="58">
        <v>8.9999999999999993E-3</v>
      </c>
      <c r="BN69" s="58">
        <v>2.56</v>
      </c>
      <c r="BO69" s="59">
        <v>0.88032999999999995</v>
      </c>
      <c r="BP69" s="59">
        <v>1.04129</v>
      </c>
      <c r="BQ69" s="58">
        <v>0.1</v>
      </c>
      <c r="BR69" s="58">
        <v>1.7999999999999999E-2</v>
      </c>
    </row>
    <row r="70" spans="1:70" ht="15.95" customHeight="1" x14ac:dyDescent="0.25">
      <c r="A70" s="58" t="s">
        <v>81</v>
      </c>
      <c r="B70" s="58">
        <v>230.1</v>
      </c>
      <c r="C70" s="58">
        <v>4015</v>
      </c>
      <c r="D70" s="58">
        <v>1224</v>
      </c>
      <c r="E70" s="58">
        <v>1934</v>
      </c>
      <c r="F70" s="58">
        <v>44760</v>
      </c>
      <c r="G70" s="58">
        <v>49020</v>
      </c>
      <c r="H70" s="59">
        <v>1.0548599999999999</v>
      </c>
      <c r="I70" s="59">
        <v>1.1080700000000001</v>
      </c>
      <c r="J70" s="58">
        <v>324.2</v>
      </c>
      <c r="K70" s="58">
        <v>53.78</v>
      </c>
      <c r="L70" s="58">
        <v>55.98</v>
      </c>
      <c r="M70" s="58">
        <v>3.5649999999999999</v>
      </c>
      <c r="N70" s="58">
        <v>118.3</v>
      </c>
      <c r="O70" s="58">
        <v>1823</v>
      </c>
      <c r="P70" s="58">
        <v>0.80700000000000005</v>
      </c>
      <c r="Q70" s="58">
        <v>3.7469999999999999</v>
      </c>
      <c r="R70" s="58">
        <v>34.47</v>
      </c>
      <c r="S70" s="58">
        <v>38.950000000000003</v>
      </c>
      <c r="T70" s="58">
        <v>1.33</v>
      </c>
      <c r="U70" s="59">
        <v>0.94979000000000002</v>
      </c>
      <c r="V70" s="59">
        <v>0.94535999999999998</v>
      </c>
      <c r="W70" s="58">
        <v>0.51500000000000001</v>
      </c>
      <c r="X70" s="58">
        <v>15.98</v>
      </c>
      <c r="Y70" s="58">
        <v>42.91</v>
      </c>
      <c r="Z70" s="58">
        <v>176.6</v>
      </c>
      <c r="AA70" s="59">
        <v>1.01641</v>
      </c>
      <c r="AB70" s="59">
        <v>1.13411</v>
      </c>
      <c r="AC70" s="58">
        <v>0.157</v>
      </c>
      <c r="AD70" s="58">
        <v>0.79900000000000004</v>
      </c>
      <c r="AE70" s="58">
        <v>1E-3</v>
      </c>
      <c r="AF70" s="58">
        <v>4.0000000000000001E-3</v>
      </c>
      <c r="AG70" s="58">
        <v>4.2000000000000003E-2</v>
      </c>
      <c r="AH70" s="58">
        <v>0.376</v>
      </c>
      <c r="AI70" s="58">
        <v>0.10199999999999999</v>
      </c>
      <c r="AJ70" s="59">
        <v>0.92040999999999995</v>
      </c>
      <c r="AK70" s="59">
        <v>1.1220399999999999</v>
      </c>
      <c r="AL70" s="58">
        <v>4.2050000000000001</v>
      </c>
      <c r="AM70" s="58">
        <v>0.186</v>
      </c>
      <c r="AN70" s="58">
        <v>2E-3</v>
      </c>
      <c r="AO70" s="58">
        <v>0.47199999999999998</v>
      </c>
      <c r="AP70" s="58">
        <v>31.12</v>
      </c>
      <c r="AQ70" s="58">
        <v>31</v>
      </c>
      <c r="AR70" s="58">
        <v>1.5009999999999999</v>
      </c>
      <c r="AS70" s="58">
        <v>2.9390000000000001</v>
      </c>
      <c r="AT70" s="58">
        <v>0.35899999999999999</v>
      </c>
      <c r="AU70" s="58">
        <v>1.353</v>
      </c>
      <c r="AV70" s="58">
        <v>0.32100000000000001</v>
      </c>
      <c r="AW70" s="58">
        <v>5.1999999999999998E-2</v>
      </c>
      <c r="AX70" s="58">
        <v>0.23400000000000001</v>
      </c>
      <c r="AY70" s="58">
        <v>3.2000000000000001E-2</v>
      </c>
      <c r="AZ70" s="58">
        <v>0.17</v>
      </c>
      <c r="BA70" s="58">
        <v>3.2000000000000001E-2</v>
      </c>
      <c r="BB70" s="58">
        <v>8.6999999999999994E-2</v>
      </c>
      <c r="BC70" s="58">
        <v>1.2E-2</v>
      </c>
      <c r="BD70" s="58">
        <v>7.3999999999999996E-2</v>
      </c>
      <c r="BE70" s="58">
        <v>0.01</v>
      </c>
      <c r="BF70" s="58">
        <v>3.0000000000000001E-3</v>
      </c>
      <c r="BG70" s="58">
        <v>0.14699999999999999</v>
      </c>
      <c r="BH70" s="58">
        <v>6.0999999999999999E-2</v>
      </c>
      <c r="BI70" s="58">
        <v>6.2E-2</v>
      </c>
      <c r="BJ70" s="58">
        <v>0</v>
      </c>
      <c r="BK70" s="58">
        <v>0</v>
      </c>
      <c r="BL70" s="58">
        <v>0.13300000000000001</v>
      </c>
      <c r="BM70" s="58">
        <v>2.4E-2</v>
      </c>
      <c r="BN70" s="58">
        <v>8.2710000000000008</v>
      </c>
      <c r="BO70" s="59">
        <v>0.89249999999999996</v>
      </c>
      <c r="BP70" s="59">
        <v>1.0663899999999999</v>
      </c>
      <c r="BQ70" s="58">
        <v>0.39200000000000002</v>
      </c>
      <c r="BR70" s="58">
        <v>6.2E-2</v>
      </c>
    </row>
    <row r="71" spans="1:70" ht="15.95" customHeight="1" x14ac:dyDescent="0.25">
      <c r="A71" s="58" t="s">
        <v>82</v>
      </c>
      <c r="B71" s="58">
        <v>629.5</v>
      </c>
      <c r="C71" s="58">
        <v>5307</v>
      </c>
      <c r="D71" s="58">
        <v>1831</v>
      </c>
      <c r="E71" s="58">
        <v>3453</v>
      </c>
      <c r="F71" s="58">
        <v>44710</v>
      </c>
      <c r="G71" s="58">
        <v>38020</v>
      </c>
      <c r="H71" s="59">
        <v>1.0823499999999999</v>
      </c>
      <c r="I71" s="59">
        <v>1.13923</v>
      </c>
      <c r="J71" s="58">
        <v>301.60000000000002</v>
      </c>
      <c r="K71" s="58">
        <v>72.28</v>
      </c>
      <c r="L71" s="58">
        <v>72.290000000000006</v>
      </c>
      <c r="M71" s="58">
        <v>3.8010000000000002</v>
      </c>
      <c r="N71" s="58">
        <v>129.4</v>
      </c>
      <c r="O71" s="58">
        <v>2280</v>
      </c>
      <c r="P71" s="58">
        <v>0.81599999999999995</v>
      </c>
      <c r="Q71" s="58">
        <v>4.1340000000000003</v>
      </c>
      <c r="R71" s="58">
        <v>31.24</v>
      </c>
      <c r="S71" s="58">
        <v>25.02</v>
      </c>
      <c r="T71" s="58">
        <v>1.8839999999999999</v>
      </c>
      <c r="U71" s="59">
        <v>0.97289000000000003</v>
      </c>
      <c r="V71" s="59">
        <v>0.96131</v>
      </c>
      <c r="W71" s="58">
        <v>0.51500000000000001</v>
      </c>
      <c r="X71" s="58">
        <v>10.07</v>
      </c>
      <c r="Y71" s="58">
        <v>14.84</v>
      </c>
      <c r="Z71" s="58">
        <v>190.4</v>
      </c>
      <c r="AA71" s="59">
        <v>1.0364500000000001</v>
      </c>
      <c r="AB71" s="59">
        <v>1.15679</v>
      </c>
      <c r="AC71" s="58">
        <v>0.19400000000000001</v>
      </c>
      <c r="AD71" s="58">
        <v>0.98599999999999999</v>
      </c>
      <c r="AE71" s="58">
        <v>1E-3</v>
      </c>
      <c r="AF71" s="58">
        <v>3.0000000000000001E-3</v>
      </c>
      <c r="AG71" s="58">
        <v>4.2000000000000003E-2</v>
      </c>
      <c r="AH71" s="58">
        <v>0.36699999999999999</v>
      </c>
      <c r="AI71" s="58">
        <v>7.1999999999999995E-2</v>
      </c>
      <c r="AJ71" s="59">
        <v>0.93896000000000002</v>
      </c>
      <c r="AK71" s="59">
        <v>1.14683</v>
      </c>
      <c r="AL71" s="58">
        <v>0.16900000000000001</v>
      </c>
      <c r="AM71" s="58">
        <v>3.7999999999999999E-2</v>
      </c>
      <c r="AN71" s="58">
        <v>4.0000000000000001E-3</v>
      </c>
      <c r="AO71" s="58">
        <v>0.39200000000000002</v>
      </c>
      <c r="AP71" s="58">
        <v>42.52</v>
      </c>
      <c r="AQ71" s="58">
        <v>46.85</v>
      </c>
      <c r="AR71" s="58">
        <v>1.7889999999999999</v>
      </c>
      <c r="AS71" s="58">
        <v>3.5089999999999999</v>
      </c>
      <c r="AT71" s="58">
        <v>0.438</v>
      </c>
      <c r="AU71" s="58">
        <v>1.601</v>
      </c>
      <c r="AV71" s="58">
        <v>0.314</v>
      </c>
      <c r="AW71" s="58">
        <v>5.8999999999999997E-2</v>
      </c>
      <c r="AX71" s="58">
        <v>0.27100000000000002</v>
      </c>
      <c r="AY71" s="58">
        <v>3.6999999999999998E-2</v>
      </c>
      <c r="AZ71" s="58">
        <v>0.188</v>
      </c>
      <c r="BA71" s="58">
        <v>3.5000000000000003E-2</v>
      </c>
      <c r="BB71" s="58">
        <v>9.5000000000000001E-2</v>
      </c>
      <c r="BC71" s="58">
        <v>1.2999999999999999E-2</v>
      </c>
      <c r="BD71" s="58">
        <v>0.08</v>
      </c>
      <c r="BE71" s="58">
        <v>1.0999999999999999E-2</v>
      </c>
      <c r="BF71" s="58">
        <v>3.0000000000000001E-3</v>
      </c>
      <c r="BG71" s="58">
        <v>0.109</v>
      </c>
      <c r="BH71" s="58">
        <v>0.10199999999999999</v>
      </c>
      <c r="BI71" s="58">
        <v>0.105</v>
      </c>
      <c r="BJ71" s="58">
        <v>0</v>
      </c>
      <c r="BK71" s="58">
        <v>0</v>
      </c>
      <c r="BL71" s="58">
        <v>0.106</v>
      </c>
      <c r="BM71" s="58">
        <v>2.1999999999999999E-2</v>
      </c>
      <c r="BN71" s="58">
        <v>6.0860000000000003</v>
      </c>
      <c r="BO71" s="59">
        <v>0.90400000000000003</v>
      </c>
      <c r="BP71" s="59">
        <v>1.0817600000000001</v>
      </c>
      <c r="BQ71" s="58">
        <v>0.64800000000000002</v>
      </c>
      <c r="BR71" s="58">
        <v>7.8E-2</v>
      </c>
    </row>
    <row r="72" spans="1:70" ht="15.95" customHeight="1" x14ac:dyDescent="0.25">
      <c r="A72" s="58" t="s">
        <v>83</v>
      </c>
      <c r="B72" s="58">
        <v>376.8</v>
      </c>
      <c r="C72" s="58">
        <v>4874</v>
      </c>
      <c r="D72" s="58">
        <v>342.7</v>
      </c>
      <c r="E72" s="58">
        <v>4023</v>
      </c>
      <c r="F72" s="58">
        <v>49720</v>
      </c>
      <c r="G72" s="58">
        <v>37040</v>
      </c>
      <c r="H72" s="59">
        <v>1.09958</v>
      </c>
      <c r="I72" s="59">
        <v>1.1488799999999999</v>
      </c>
      <c r="J72" s="58">
        <v>206.2</v>
      </c>
      <c r="K72" s="58">
        <v>12.07</v>
      </c>
      <c r="L72" s="58">
        <v>24.12</v>
      </c>
      <c r="M72" s="58">
        <v>2.9569999999999999</v>
      </c>
      <c r="N72" s="58">
        <v>112.2</v>
      </c>
      <c r="O72" s="58">
        <v>526.79999999999995</v>
      </c>
      <c r="P72" s="58">
        <v>0.318</v>
      </c>
      <c r="Q72" s="58">
        <v>3.4369999999999998</v>
      </c>
      <c r="R72" s="58">
        <v>53.85</v>
      </c>
      <c r="S72" s="58">
        <v>27.63</v>
      </c>
      <c r="T72" s="58">
        <v>1.115</v>
      </c>
      <c r="U72" s="59">
        <v>0.97750000000000004</v>
      </c>
      <c r="V72" s="59">
        <v>0.97102999999999995</v>
      </c>
      <c r="W72" s="58">
        <v>0.14599999999999999</v>
      </c>
      <c r="X72" s="58">
        <v>8.8149999999999995</v>
      </c>
      <c r="Y72" s="58">
        <v>14.89</v>
      </c>
      <c r="Z72" s="58">
        <v>212.3</v>
      </c>
      <c r="AA72" s="59">
        <v>1.0439799999999999</v>
      </c>
      <c r="AB72" s="59">
        <v>1.1692100000000001</v>
      </c>
      <c r="AC72" s="58">
        <v>2.9000000000000001E-2</v>
      </c>
      <c r="AD72" s="58">
        <v>1.1619999999999999</v>
      </c>
      <c r="AE72" s="58">
        <v>1E-3</v>
      </c>
      <c r="AF72" s="58">
        <v>3.0000000000000001E-3</v>
      </c>
      <c r="AG72" s="58">
        <v>4.9000000000000002E-2</v>
      </c>
      <c r="AH72" s="58">
        <v>-3.4000000000000002E-2</v>
      </c>
      <c r="AI72" s="58">
        <v>8.4000000000000005E-2</v>
      </c>
      <c r="AJ72" s="59">
        <v>0.94457000000000002</v>
      </c>
      <c r="AK72" s="59">
        <v>1.15256</v>
      </c>
      <c r="AL72" s="58">
        <v>6.3E-2</v>
      </c>
      <c r="AM72" s="58">
        <v>2.1000000000000001E-2</v>
      </c>
      <c r="AN72" s="58">
        <v>2E-3</v>
      </c>
      <c r="AO72" s="58">
        <v>9.5000000000000001E-2</v>
      </c>
      <c r="AP72" s="58">
        <v>28.86</v>
      </c>
      <c r="AQ72" s="58">
        <v>28.92</v>
      </c>
      <c r="AR72" s="58">
        <v>0.34</v>
      </c>
      <c r="AS72" s="58">
        <v>0.66600000000000004</v>
      </c>
      <c r="AT72" s="58">
        <v>8.7999999999999995E-2</v>
      </c>
      <c r="AU72" s="58">
        <v>0.34399999999999997</v>
      </c>
      <c r="AV72" s="58">
        <v>7.5999999999999998E-2</v>
      </c>
      <c r="AW72" s="58">
        <v>1.4999999999999999E-2</v>
      </c>
      <c r="AX72" s="58">
        <v>7.4999999999999997E-2</v>
      </c>
      <c r="AY72" s="58">
        <v>1.0999999999999999E-2</v>
      </c>
      <c r="AZ72" s="58">
        <v>6.8000000000000005E-2</v>
      </c>
      <c r="BA72" s="58">
        <v>1.4E-2</v>
      </c>
      <c r="BB72" s="58">
        <v>3.5999999999999997E-2</v>
      </c>
      <c r="BC72" s="58">
        <v>5.0000000000000001E-3</v>
      </c>
      <c r="BD72" s="58">
        <v>0.03</v>
      </c>
      <c r="BE72" s="58">
        <v>4.0000000000000001E-3</v>
      </c>
      <c r="BF72" s="58">
        <v>1E-3</v>
      </c>
      <c r="BG72" s="58">
        <v>0.10100000000000001</v>
      </c>
      <c r="BH72" s="58">
        <v>0.11700000000000001</v>
      </c>
      <c r="BI72" s="58">
        <v>0.11899999999999999</v>
      </c>
      <c r="BJ72" s="58">
        <v>0</v>
      </c>
      <c r="BK72" s="58">
        <v>0</v>
      </c>
      <c r="BL72" s="58">
        <v>0.19800000000000001</v>
      </c>
      <c r="BM72" s="58">
        <v>8.9999999999999993E-3</v>
      </c>
      <c r="BN72" s="58">
        <v>0.34100000000000003</v>
      </c>
      <c r="BO72" s="59">
        <v>0.90503</v>
      </c>
      <c r="BP72" s="59">
        <v>1.0831599999999999</v>
      </c>
      <c r="BQ72" s="58">
        <v>0.09</v>
      </c>
      <c r="BR72" s="58">
        <v>1.4999999999999999E-2</v>
      </c>
    </row>
    <row r="73" spans="1:70" ht="15.95" customHeight="1" x14ac:dyDescent="0.25">
      <c r="A73" s="58" t="s">
        <v>84</v>
      </c>
      <c r="B73" s="58">
        <v>230.4</v>
      </c>
      <c r="C73" s="58">
        <v>3910</v>
      </c>
      <c r="D73" s="58">
        <v>893.7</v>
      </c>
      <c r="E73" s="58">
        <v>4400</v>
      </c>
      <c r="F73" s="58">
        <v>46910</v>
      </c>
      <c r="G73" s="58">
        <v>33390</v>
      </c>
      <c r="H73" s="59">
        <v>1.09084</v>
      </c>
      <c r="I73" s="59">
        <v>1.1324799999999999</v>
      </c>
      <c r="J73" s="58">
        <v>223.4</v>
      </c>
      <c r="K73" s="58">
        <v>36.479999999999997</v>
      </c>
      <c r="L73" s="58">
        <v>41.28</v>
      </c>
      <c r="M73" s="58">
        <v>2.9470000000000001</v>
      </c>
      <c r="N73" s="58">
        <v>135</v>
      </c>
      <c r="O73" s="58">
        <v>1155</v>
      </c>
      <c r="P73" s="58">
        <v>1.0569999999999999</v>
      </c>
      <c r="Q73" s="58">
        <v>6.6820000000000004</v>
      </c>
      <c r="R73" s="58">
        <v>29.31</v>
      </c>
      <c r="S73" s="58">
        <v>13.32</v>
      </c>
      <c r="T73" s="58">
        <v>1.6659999999999999</v>
      </c>
      <c r="U73" s="59">
        <v>0.96779999999999999</v>
      </c>
      <c r="V73" s="59">
        <v>0.96894999999999998</v>
      </c>
      <c r="W73" s="58">
        <v>0.24099999999999999</v>
      </c>
      <c r="X73" s="58">
        <v>32.06</v>
      </c>
      <c r="Y73" s="58">
        <v>22.21</v>
      </c>
      <c r="Z73" s="58">
        <v>216.5</v>
      </c>
      <c r="AA73" s="59">
        <v>1.03386</v>
      </c>
      <c r="AB73" s="59">
        <v>1.1537900000000001</v>
      </c>
      <c r="AC73" s="58">
        <v>9.4E-2</v>
      </c>
      <c r="AD73" s="58">
        <v>0.59899999999999998</v>
      </c>
      <c r="AE73" s="58">
        <v>1E-3</v>
      </c>
      <c r="AF73" s="58">
        <v>4.0000000000000001E-3</v>
      </c>
      <c r="AG73" s="58">
        <v>5.0999999999999997E-2</v>
      </c>
      <c r="AH73" s="58">
        <v>6.6000000000000003E-2</v>
      </c>
      <c r="AI73" s="58">
        <v>0.16800000000000001</v>
      </c>
      <c r="AJ73" s="59">
        <v>0.93508999999999998</v>
      </c>
      <c r="AK73" s="59">
        <v>1.14795</v>
      </c>
      <c r="AL73" s="58">
        <v>0.13800000000000001</v>
      </c>
      <c r="AM73" s="58">
        <v>4.4999999999999998E-2</v>
      </c>
      <c r="AN73" s="58">
        <v>1E-3</v>
      </c>
      <c r="AO73" s="58">
        <v>0.221</v>
      </c>
      <c r="AP73" s="58">
        <v>41.27</v>
      </c>
      <c r="AQ73" s="58">
        <v>41.06</v>
      </c>
      <c r="AR73" s="58">
        <v>0.83399999999999996</v>
      </c>
      <c r="AS73" s="58">
        <v>1.7030000000000001</v>
      </c>
      <c r="AT73" s="58">
        <v>0.215</v>
      </c>
      <c r="AU73" s="58">
        <v>0.81599999999999995</v>
      </c>
      <c r="AV73" s="58">
        <v>0.16</v>
      </c>
      <c r="AW73" s="58">
        <v>3.4000000000000002E-2</v>
      </c>
      <c r="AX73" s="58">
        <v>0.14099999999999999</v>
      </c>
      <c r="AY73" s="58">
        <v>1.9E-2</v>
      </c>
      <c r="AZ73" s="58">
        <v>9.5000000000000001E-2</v>
      </c>
      <c r="BA73" s="58">
        <v>1.7999999999999999E-2</v>
      </c>
      <c r="BB73" s="58">
        <v>4.8000000000000001E-2</v>
      </c>
      <c r="BC73" s="58">
        <v>6.0000000000000001E-3</v>
      </c>
      <c r="BD73" s="58">
        <v>3.7999999999999999E-2</v>
      </c>
      <c r="BE73" s="58">
        <v>5.0000000000000001E-3</v>
      </c>
      <c r="BF73" s="58">
        <v>2E-3</v>
      </c>
      <c r="BG73" s="58">
        <v>8.6999999999999994E-2</v>
      </c>
      <c r="BH73" s="58">
        <v>0.121</v>
      </c>
      <c r="BI73" s="58">
        <v>0.123</v>
      </c>
      <c r="BJ73" s="58">
        <v>0</v>
      </c>
      <c r="BK73" s="58">
        <v>0</v>
      </c>
      <c r="BL73" s="58">
        <v>0.11</v>
      </c>
      <c r="BM73" s="58">
        <v>1.6E-2</v>
      </c>
      <c r="BN73" s="58">
        <v>1.794</v>
      </c>
      <c r="BO73" s="59">
        <v>0.90327000000000002</v>
      </c>
      <c r="BP73" s="59">
        <v>1.08762</v>
      </c>
      <c r="BQ73" s="58">
        <v>0.26600000000000001</v>
      </c>
      <c r="BR73" s="58">
        <v>3.5000000000000003E-2</v>
      </c>
    </row>
    <row r="74" spans="1:70" ht="15.95" customHeight="1" x14ac:dyDescent="0.25">
      <c r="A74" s="58" t="s">
        <v>85</v>
      </c>
      <c r="B74" s="58">
        <v>311.8</v>
      </c>
      <c r="C74" s="58">
        <v>6202</v>
      </c>
      <c r="D74" s="58">
        <v>1080</v>
      </c>
      <c r="E74" s="58">
        <v>3443</v>
      </c>
      <c r="F74" s="58">
        <v>39370</v>
      </c>
      <c r="G74" s="58">
        <v>54120</v>
      </c>
      <c r="H74" s="59">
        <v>1.0841499999999999</v>
      </c>
      <c r="I74" s="59">
        <v>1.11843</v>
      </c>
      <c r="J74" s="58">
        <v>338.2</v>
      </c>
      <c r="K74" s="58">
        <v>45.08</v>
      </c>
      <c r="L74" s="58">
        <v>50.27</v>
      </c>
      <c r="M74" s="58">
        <v>3.4350000000000001</v>
      </c>
      <c r="N74" s="58">
        <v>176.2</v>
      </c>
      <c r="O74" s="58">
        <v>1393</v>
      </c>
      <c r="P74" s="58">
        <v>1.075</v>
      </c>
      <c r="Q74" s="58">
        <v>8.8650000000000002</v>
      </c>
      <c r="R74" s="58">
        <v>52.01</v>
      </c>
      <c r="S74" s="58">
        <v>20.12</v>
      </c>
      <c r="T74" s="58">
        <v>2.085</v>
      </c>
      <c r="U74" s="59">
        <v>0.97250000000000003</v>
      </c>
      <c r="V74" s="59">
        <v>0.95999000000000001</v>
      </c>
      <c r="W74" s="58">
        <v>0.45800000000000002</v>
      </c>
      <c r="X74" s="58">
        <v>13.07</v>
      </c>
      <c r="Y74" s="58">
        <v>13.41</v>
      </c>
      <c r="Z74" s="58">
        <v>240.7</v>
      </c>
      <c r="AA74" s="59">
        <v>1.0341100000000001</v>
      </c>
      <c r="AB74" s="59">
        <v>1.14438</v>
      </c>
      <c r="AC74" s="58">
        <v>0.11600000000000001</v>
      </c>
      <c r="AD74" s="58">
        <v>0.60399999999999998</v>
      </c>
      <c r="AE74" s="58">
        <v>1E-3</v>
      </c>
      <c r="AF74" s="58">
        <v>4.0000000000000001E-3</v>
      </c>
      <c r="AG74" s="58">
        <v>5.8000000000000003E-2</v>
      </c>
      <c r="AH74" s="58">
        <v>0.28499999999999998</v>
      </c>
      <c r="AI74" s="58">
        <v>7.1999999999999995E-2</v>
      </c>
      <c r="AJ74" s="59">
        <v>0.93705000000000005</v>
      </c>
      <c r="AK74" s="59">
        <v>1.1312599999999999</v>
      </c>
      <c r="AL74" s="58">
        <v>0.14899999999999999</v>
      </c>
      <c r="AM74" s="58">
        <v>4.9000000000000002E-2</v>
      </c>
      <c r="AN74" s="58">
        <v>2E-3</v>
      </c>
      <c r="AO74" s="58">
        <v>0.22800000000000001</v>
      </c>
      <c r="AP74" s="58">
        <v>52.87</v>
      </c>
      <c r="AQ74" s="58">
        <v>61.34</v>
      </c>
      <c r="AR74" s="58">
        <v>1.0209999999999999</v>
      </c>
      <c r="AS74" s="58">
        <v>2.0579999999999998</v>
      </c>
      <c r="AT74" s="58">
        <v>0.26100000000000001</v>
      </c>
      <c r="AU74" s="58">
        <v>0.96599999999999997</v>
      </c>
      <c r="AV74" s="58">
        <v>0.19500000000000001</v>
      </c>
      <c r="AW74" s="58">
        <v>4.2999999999999997E-2</v>
      </c>
      <c r="AX74" s="58">
        <v>0.17100000000000001</v>
      </c>
      <c r="AY74" s="58">
        <v>2.4E-2</v>
      </c>
      <c r="AZ74" s="58">
        <v>0.123</v>
      </c>
      <c r="BA74" s="58">
        <v>2.3E-2</v>
      </c>
      <c r="BB74" s="58">
        <v>6.0999999999999999E-2</v>
      </c>
      <c r="BC74" s="58">
        <v>8.0000000000000002E-3</v>
      </c>
      <c r="BD74" s="58">
        <v>4.9000000000000002E-2</v>
      </c>
      <c r="BE74" s="58">
        <v>7.0000000000000001E-3</v>
      </c>
      <c r="BF74" s="58">
        <v>2E-3</v>
      </c>
      <c r="BG74" s="58">
        <v>0.105</v>
      </c>
      <c r="BH74" s="58">
        <v>0.23</v>
      </c>
      <c r="BI74" s="58">
        <v>0.24199999999999999</v>
      </c>
      <c r="BJ74" s="58">
        <v>0</v>
      </c>
      <c r="BK74" s="58">
        <v>0</v>
      </c>
      <c r="BL74" s="58">
        <v>6.4000000000000001E-2</v>
      </c>
      <c r="BM74" s="58">
        <v>2.4E-2</v>
      </c>
      <c r="BN74" s="58">
        <v>5.95</v>
      </c>
      <c r="BO74" s="59">
        <v>0.90446000000000004</v>
      </c>
      <c r="BP74" s="59">
        <v>1.0724199999999999</v>
      </c>
      <c r="BQ74" s="58">
        <v>0.32700000000000001</v>
      </c>
      <c r="BR74" s="58">
        <v>0.05</v>
      </c>
    </row>
    <row r="75" spans="1:70" ht="15.95" customHeight="1" x14ac:dyDescent="0.25">
      <c r="A75" s="58" t="s">
        <v>86</v>
      </c>
      <c r="B75" s="58">
        <v>210.8</v>
      </c>
      <c r="C75" s="58">
        <v>4317</v>
      </c>
      <c r="D75" s="58">
        <v>432.5</v>
      </c>
      <c r="E75" s="58">
        <v>3968</v>
      </c>
      <c r="F75" s="58">
        <v>61110</v>
      </c>
      <c r="G75" s="58">
        <v>45490</v>
      </c>
      <c r="H75" s="59">
        <v>1.09548</v>
      </c>
      <c r="I75" s="59">
        <v>1.1517599999999999</v>
      </c>
      <c r="J75" s="58">
        <v>258.39999999999998</v>
      </c>
      <c r="K75" s="58">
        <v>16</v>
      </c>
      <c r="L75" s="58">
        <v>24.1</v>
      </c>
      <c r="M75" s="58">
        <v>2.4529999999999998</v>
      </c>
      <c r="N75" s="58">
        <v>114.6</v>
      </c>
      <c r="O75" s="58">
        <v>663.8</v>
      </c>
      <c r="P75" s="58">
        <v>0.38300000000000001</v>
      </c>
      <c r="Q75" s="58">
        <v>3.7959999999999998</v>
      </c>
      <c r="R75" s="58">
        <v>24.5</v>
      </c>
      <c r="S75" s="58">
        <v>19.420000000000002</v>
      </c>
      <c r="T75" s="58">
        <v>1.819</v>
      </c>
      <c r="U75" s="59">
        <v>0.97814000000000001</v>
      </c>
      <c r="V75" s="59">
        <v>0.97313000000000005</v>
      </c>
      <c r="W75" s="58">
        <v>5.3999999999999999E-2</v>
      </c>
      <c r="X75" s="58">
        <v>6.6079999999999997</v>
      </c>
      <c r="Y75" s="58">
        <v>11.66</v>
      </c>
      <c r="Z75" s="58">
        <v>219.6</v>
      </c>
      <c r="AA75" s="59">
        <v>1.03803</v>
      </c>
      <c r="AB75" s="59">
        <v>1.1660299999999999</v>
      </c>
      <c r="AC75" s="58">
        <v>4.2000000000000003E-2</v>
      </c>
      <c r="AD75" s="58">
        <v>0.56000000000000005</v>
      </c>
      <c r="AE75" s="58">
        <v>0</v>
      </c>
      <c r="AF75" s="58">
        <v>4.0000000000000001E-3</v>
      </c>
      <c r="AG75" s="58">
        <v>5.1999999999999998E-2</v>
      </c>
      <c r="AH75" s="58">
        <v>3.0000000000000001E-3</v>
      </c>
      <c r="AI75" s="58">
        <v>0.09</v>
      </c>
      <c r="AJ75" s="59">
        <v>0.93645</v>
      </c>
      <c r="AK75" s="59">
        <v>1.1478699999999999</v>
      </c>
      <c r="AL75" s="58">
        <v>7.9000000000000001E-2</v>
      </c>
      <c r="AM75" s="58">
        <v>2.5000000000000001E-2</v>
      </c>
      <c r="AN75" s="58">
        <v>-1E-3</v>
      </c>
      <c r="AO75" s="58">
        <v>8.5999999999999993E-2</v>
      </c>
      <c r="AP75" s="58">
        <v>47.24</v>
      </c>
      <c r="AQ75" s="58">
        <v>47.15</v>
      </c>
      <c r="AR75" s="58">
        <v>0.309</v>
      </c>
      <c r="AS75" s="58">
        <v>0.62</v>
      </c>
      <c r="AT75" s="58">
        <v>7.4999999999999997E-2</v>
      </c>
      <c r="AU75" s="58">
        <v>0.27700000000000002</v>
      </c>
      <c r="AV75" s="58">
        <v>5.6000000000000001E-2</v>
      </c>
      <c r="AW75" s="58">
        <v>1.7999999999999999E-2</v>
      </c>
      <c r="AX75" s="58">
        <v>0.05</v>
      </c>
      <c r="AY75" s="58">
        <v>7.0000000000000001E-3</v>
      </c>
      <c r="AZ75" s="58">
        <v>3.4000000000000002E-2</v>
      </c>
      <c r="BA75" s="58">
        <v>6.0000000000000001E-3</v>
      </c>
      <c r="BB75" s="58">
        <v>1.7999999999999999E-2</v>
      </c>
      <c r="BC75" s="58">
        <v>2E-3</v>
      </c>
      <c r="BD75" s="58">
        <v>1.4E-2</v>
      </c>
      <c r="BE75" s="58">
        <v>2E-3</v>
      </c>
      <c r="BF75" s="58">
        <v>1E-3</v>
      </c>
      <c r="BG75" s="58">
        <v>6.7000000000000004E-2</v>
      </c>
      <c r="BH75" s="58">
        <v>0.10199999999999999</v>
      </c>
      <c r="BI75" s="58">
        <v>0.10199999999999999</v>
      </c>
      <c r="BJ75" s="58">
        <v>0</v>
      </c>
      <c r="BK75" s="58">
        <v>0</v>
      </c>
      <c r="BL75" s="58">
        <v>0.114</v>
      </c>
      <c r="BM75" s="58">
        <v>0.01</v>
      </c>
      <c r="BN75" s="58">
        <v>2.5430000000000001</v>
      </c>
      <c r="BO75" s="59">
        <v>0.89802000000000004</v>
      </c>
      <c r="BP75" s="59">
        <v>1.0763499999999999</v>
      </c>
      <c r="BQ75" s="58">
        <v>8.5000000000000006E-2</v>
      </c>
      <c r="BR75" s="58">
        <v>1.4E-2</v>
      </c>
    </row>
    <row r="76" spans="1:70" ht="15.95" customHeight="1" x14ac:dyDescent="0.25">
      <c r="A76" s="58" t="s">
        <v>88</v>
      </c>
      <c r="B76" s="58">
        <v>-17.91</v>
      </c>
      <c r="C76" s="58">
        <v>1.73</v>
      </c>
      <c r="D76" s="58">
        <v>-2.2450000000000001</v>
      </c>
      <c r="E76" s="58">
        <v>18.53</v>
      </c>
      <c r="F76" s="58">
        <v>-6.0940000000000003</v>
      </c>
      <c r="G76" s="58">
        <v>-0.27800000000000002</v>
      </c>
      <c r="H76" s="59">
        <v>1.0580400000000001</v>
      </c>
      <c r="I76" s="59">
        <v>1.05888</v>
      </c>
      <c r="J76" s="58">
        <v>0.10199999999999999</v>
      </c>
      <c r="K76" s="58">
        <v>0.13600000000000001</v>
      </c>
      <c r="L76" s="58">
        <v>0.32100000000000001</v>
      </c>
      <c r="M76" s="58">
        <v>0.161</v>
      </c>
      <c r="N76" s="58">
        <v>8.4000000000000005E-2</v>
      </c>
      <c r="O76" s="58">
        <v>187.1</v>
      </c>
      <c r="P76" s="58">
        <v>-2.4E-2</v>
      </c>
      <c r="Q76" s="58">
        <v>0.06</v>
      </c>
      <c r="R76" s="58">
        <v>0.255</v>
      </c>
      <c r="S76" s="58">
        <v>-1.5429999999999999</v>
      </c>
      <c r="T76" s="58">
        <v>-2E-3</v>
      </c>
      <c r="U76" s="59">
        <v>0.99541000000000002</v>
      </c>
      <c r="V76" s="59">
        <v>0.93454999999999999</v>
      </c>
      <c r="W76" s="58">
        <v>8.9999999999999993E-3</v>
      </c>
      <c r="X76" s="58">
        <v>-7.2999999999999995E-2</v>
      </c>
      <c r="Y76" s="58">
        <v>0</v>
      </c>
      <c r="Z76" s="58">
        <v>-1.4999999999999999E-2</v>
      </c>
      <c r="AA76" s="59">
        <v>1.0190600000000001</v>
      </c>
      <c r="AB76" s="59">
        <v>1.0874600000000001</v>
      </c>
      <c r="AC76" s="58">
        <v>-1E-3</v>
      </c>
      <c r="AD76" s="58">
        <v>-8.0000000000000002E-3</v>
      </c>
      <c r="AE76" s="58">
        <v>0</v>
      </c>
      <c r="AF76" s="58">
        <v>0</v>
      </c>
      <c r="AG76" s="58">
        <v>1E-3</v>
      </c>
      <c r="AH76" s="58">
        <v>-4.2000000000000003E-2</v>
      </c>
      <c r="AI76" s="58">
        <v>2E-3</v>
      </c>
      <c r="AJ76" s="59">
        <v>0.92588999999999999</v>
      </c>
      <c r="AK76" s="59">
        <v>1.09198</v>
      </c>
      <c r="AL76" s="58">
        <v>1.6E-2</v>
      </c>
      <c r="AM76" s="58">
        <v>4.0000000000000001E-3</v>
      </c>
      <c r="AN76" s="58">
        <v>0</v>
      </c>
      <c r="AO76" s="58">
        <v>1E-3</v>
      </c>
      <c r="AP76" s="58">
        <v>-5.0000000000000001E-3</v>
      </c>
      <c r="AQ76" s="58">
        <v>-4.0000000000000001E-3</v>
      </c>
      <c r="AR76" s="58">
        <v>8.9999999999999993E-3</v>
      </c>
      <c r="AS76" s="58">
        <v>-1.0999999999999999E-2</v>
      </c>
      <c r="AT76" s="58">
        <v>0</v>
      </c>
      <c r="AU76" s="58">
        <v>-1E-3</v>
      </c>
      <c r="AV76" s="58">
        <v>0</v>
      </c>
      <c r="AW76" s="58">
        <v>0</v>
      </c>
      <c r="AX76" s="58">
        <v>0</v>
      </c>
      <c r="AY76" s="58">
        <v>0</v>
      </c>
      <c r="AZ76" s="58">
        <v>0</v>
      </c>
      <c r="BA76" s="58">
        <v>0</v>
      </c>
      <c r="BB76" s="58">
        <v>0</v>
      </c>
      <c r="BC76" s="58">
        <v>0</v>
      </c>
      <c r="BD76" s="58">
        <v>0</v>
      </c>
      <c r="BE76" s="58">
        <v>0</v>
      </c>
      <c r="BF76" s="58">
        <v>0</v>
      </c>
      <c r="BG76" s="58">
        <v>1E-3</v>
      </c>
      <c r="BH76" s="58">
        <v>0</v>
      </c>
      <c r="BI76" s="58">
        <v>0</v>
      </c>
      <c r="BJ76" s="58">
        <v>0</v>
      </c>
      <c r="BK76" s="58">
        <v>0</v>
      </c>
      <c r="BL76" s="58">
        <v>0.42</v>
      </c>
      <c r="BM76" s="58">
        <v>0</v>
      </c>
      <c r="BN76" s="58">
        <v>4.7E-2</v>
      </c>
      <c r="BO76" s="59">
        <v>0.91796</v>
      </c>
      <c r="BP76" s="59">
        <v>1.0616099999999999</v>
      </c>
      <c r="BQ76" s="58">
        <v>2E-3</v>
      </c>
      <c r="BR76" s="58">
        <v>0</v>
      </c>
    </row>
    <row r="77" spans="1:70" ht="15.95" customHeight="1" x14ac:dyDescent="0.25">
      <c r="A77" s="58" t="s">
        <v>93</v>
      </c>
      <c r="B77" s="58">
        <v>29.63</v>
      </c>
      <c r="C77" s="58">
        <v>11350</v>
      </c>
      <c r="D77" s="58">
        <v>446.8</v>
      </c>
      <c r="E77" s="58">
        <v>3163</v>
      </c>
      <c r="F77" s="58">
        <v>62510</v>
      </c>
      <c r="G77" s="58">
        <v>39910</v>
      </c>
      <c r="H77" s="59">
        <v>1.1125799999999999</v>
      </c>
      <c r="I77" s="59">
        <v>1.1633500000000001</v>
      </c>
      <c r="J77" s="58">
        <v>221.3</v>
      </c>
      <c r="K77" s="58">
        <v>15.17</v>
      </c>
      <c r="L77" s="58">
        <v>20.16</v>
      </c>
      <c r="M77" s="58">
        <v>3.07</v>
      </c>
      <c r="N77" s="58">
        <v>253.2</v>
      </c>
      <c r="O77" s="58">
        <v>627.20000000000005</v>
      </c>
      <c r="P77" s="58">
        <v>0.16500000000000001</v>
      </c>
      <c r="Q77" s="58">
        <v>1.43</v>
      </c>
      <c r="R77" s="58">
        <v>8.7859999999999996</v>
      </c>
      <c r="S77" s="58">
        <v>37.19</v>
      </c>
      <c r="T77" s="58">
        <v>9.0259999999999998</v>
      </c>
      <c r="U77" s="59">
        <v>1.0089300000000001</v>
      </c>
      <c r="V77" s="59">
        <v>0.99578</v>
      </c>
      <c r="W77" s="58">
        <v>0.67600000000000005</v>
      </c>
      <c r="X77" s="58">
        <v>9.0730000000000004</v>
      </c>
      <c r="Y77" s="58">
        <v>41.77</v>
      </c>
      <c r="Z77" s="58">
        <v>138.5</v>
      </c>
      <c r="AA77" s="59">
        <v>1.10754</v>
      </c>
      <c r="AB77" s="59">
        <v>1.22299</v>
      </c>
      <c r="AC77" s="58">
        <v>4.4999999999999998E-2</v>
      </c>
      <c r="AD77" s="58">
        <v>9.7000000000000003E-2</v>
      </c>
      <c r="AE77" s="58">
        <v>0</v>
      </c>
      <c r="AF77" s="58">
        <v>3.0000000000000001E-3</v>
      </c>
      <c r="AG77" s="58">
        <v>3.5999999999999997E-2</v>
      </c>
      <c r="AH77" s="58">
        <v>-7.3999999999999996E-2</v>
      </c>
      <c r="AI77" s="58">
        <v>0.11</v>
      </c>
      <c r="AJ77" s="59">
        <v>0.95852999999999999</v>
      </c>
      <c r="AK77" s="59">
        <v>1.15055</v>
      </c>
      <c r="AL77" s="58">
        <v>0.95599999999999996</v>
      </c>
      <c r="AM77" s="58">
        <v>4.3999999999999997E-2</v>
      </c>
      <c r="AN77" s="58">
        <v>2E-3</v>
      </c>
      <c r="AO77" s="58">
        <v>0.14000000000000001</v>
      </c>
      <c r="AP77" s="58">
        <v>245.8</v>
      </c>
      <c r="AQ77" s="58">
        <v>287.8</v>
      </c>
      <c r="AR77" s="58">
        <v>19.66</v>
      </c>
      <c r="AS77" s="58">
        <v>21.41</v>
      </c>
      <c r="AT77" s="58">
        <v>4.0129999999999999</v>
      </c>
      <c r="AU77" s="58">
        <v>15.21</v>
      </c>
      <c r="AV77" s="58">
        <v>2.5129999999999999</v>
      </c>
      <c r="AW77" s="58">
        <v>0.45100000000000001</v>
      </c>
      <c r="AX77" s="58">
        <v>2.2949999999999999</v>
      </c>
      <c r="AY77" s="58">
        <v>0.26400000000000001</v>
      </c>
      <c r="AZ77" s="58">
        <v>1.1850000000000001</v>
      </c>
      <c r="BA77" s="58">
        <v>0.215</v>
      </c>
      <c r="BB77" s="58">
        <v>0.52300000000000002</v>
      </c>
      <c r="BC77" s="58">
        <v>5.7000000000000002E-2</v>
      </c>
      <c r="BD77" s="58">
        <v>0.29099999999999998</v>
      </c>
      <c r="BE77" s="58">
        <v>0.04</v>
      </c>
      <c r="BF77" s="58">
        <v>1E-3</v>
      </c>
      <c r="BG77" s="58">
        <v>1.4E-2</v>
      </c>
      <c r="BH77" s="58">
        <v>1E-3</v>
      </c>
      <c r="BI77" s="58">
        <v>0</v>
      </c>
      <c r="BJ77" s="58">
        <v>0</v>
      </c>
      <c r="BK77" s="58">
        <v>0</v>
      </c>
      <c r="BL77" s="58">
        <v>6.9000000000000006E-2</v>
      </c>
      <c r="BM77" s="58">
        <v>4.4999999999999998E-2</v>
      </c>
      <c r="BN77" s="58">
        <v>1.909</v>
      </c>
      <c r="BO77" s="59">
        <v>0.91100000000000003</v>
      </c>
      <c r="BP77" s="59">
        <v>1.07806</v>
      </c>
      <c r="BQ77" s="58">
        <v>8.5999999999999993E-2</v>
      </c>
      <c r="BR77" s="58">
        <v>1.9E-2</v>
      </c>
    </row>
    <row r="78" spans="1:70" ht="15.95" customHeight="1" x14ac:dyDescent="0.25">
      <c r="A78" s="58" t="s">
        <v>90</v>
      </c>
      <c r="B78" s="58">
        <v>174.5</v>
      </c>
      <c r="C78" s="58">
        <v>375.1</v>
      </c>
      <c r="D78" s="58">
        <v>378.9</v>
      </c>
      <c r="E78" s="58">
        <v>148.80000000000001</v>
      </c>
      <c r="F78" s="58">
        <v>394.5</v>
      </c>
      <c r="G78" s="58">
        <v>221.6</v>
      </c>
      <c r="H78" s="59">
        <v>1.07972</v>
      </c>
      <c r="I78" s="59">
        <v>1.0694399999999999</v>
      </c>
      <c r="J78" s="58">
        <v>223.3</v>
      </c>
      <c r="K78" s="58">
        <v>179.5</v>
      </c>
      <c r="L78" s="58">
        <v>152.30000000000001</v>
      </c>
      <c r="M78" s="58">
        <v>3.5329999999999999</v>
      </c>
      <c r="N78" s="58">
        <v>30.13</v>
      </c>
      <c r="O78" s="58">
        <v>411.4</v>
      </c>
      <c r="P78" s="58">
        <v>3.0619999999999998</v>
      </c>
      <c r="Q78" s="58">
        <v>3.3180000000000001</v>
      </c>
      <c r="R78" s="58">
        <v>3.367</v>
      </c>
      <c r="S78" s="58">
        <v>1.304</v>
      </c>
      <c r="T78" s="58">
        <v>1.089</v>
      </c>
      <c r="U78" s="59">
        <v>1.0456700000000001</v>
      </c>
      <c r="V78" s="59">
        <v>0.9667</v>
      </c>
      <c r="W78" s="58">
        <v>1.581</v>
      </c>
      <c r="X78" s="58">
        <v>1.7450000000000001</v>
      </c>
      <c r="Y78" s="58">
        <v>7.7089999999999996</v>
      </c>
      <c r="Z78" s="58">
        <v>3.1280000000000001</v>
      </c>
      <c r="AA78" s="59">
        <v>1.03807</v>
      </c>
      <c r="AB78" s="59">
        <v>1.0874900000000001</v>
      </c>
      <c r="AC78" s="58">
        <v>0.97899999999999998</v>
      </c>
      <c r="AD78" s="58">
        <v>3.0880000000000001</v>
      </c>
      <c r="AE78" s="58">
        <v>0.23400000000000001</v>
      </c>
      <c r="AF78" s="58">
        <v>0.23499999999999999</v>
      </c>
      <c r="AG78" s="58">
        <v>0.17899999999999999</v>
      </c>
      <c r="AH78" s="58">
        <v>2.7629999999999999</v>
      </c>
      <c r="AI78" s="58">
        <v>3.077</v>
      </c>
      <c r="AJ78" s="59">
        <v>0.94640999999999997</v>
      </c>
      <c r="AK78" s="59">
        <v>1.0906</v>
      </c>
      <c r="AL78" s="58">
        <v>0.219</v>
      </c>
      <c r="AM78" s="58">
        <v>0.224</v>
      </c>
      <c r="AN78" s="58">
        <v>0.24399999999999999</v>
      </c>
      <c r="AO78" s="58">
        <v>1.3779999999999999</v>
      </c>
      <c r="AP78" s="58">
        <v>13.74</v>
      </c>
      <c r="AQ78" s="58">
        <v>13.91</v>
      </c>
      <c r="AR78" s="58">
        <v>0.39700000000000002</v>
      </c>
      <c r="AS78" s="58">
        <v>0.378</v>
      </c>
      <c r="AT78" s="58">
        <v>0.39600000000000002</v>
      </c>
      <c r="AU78" s="58">
        <v>0.38700000000000001</v>
      </c>
      <c r="AV78" s="58">
        <v>0.39</v>
      </c>
      <c r="AW78" s="58">
        <v>0.39300000000000002</v>
      </c>
      <c r="AX78" s="58">
        <v>0.39</v>
      </c>
      <c r="AY78" s="58">
        <v>0.39200000000000002</v>
      </c>
      <c r="AZ78" s="58">
        <v>0.38800000000000001</v>
      </c>
      <c r="BA78" s="58">
        <v>0.39600000000000002</v>
      </c>
      <c r="BB78" s="58">
        <v>0.38900000000000001</v>
      </c>
      <c r="BC78" s="58">
        <v>0.39500000000000002</v>
      </c>
      <c r="BD78" s="58">
        <v>0.39300000000000002</v>
      </c>
      <c r="BE78" s="58">
        <v>0.39400000000000002</v>
      </c>
      <c r="BF78" s="58">
        <v>0.214</v>
      </c>
      <c r="BG78" s="58">
        <v>1.3919999999999999</v>
      </c>
      <c r="BH78" s="58">
        <v>1.4690000000000001</v>
      </c>
      <c r="BI78" s="58">
        <v>1.5049999999999999</v>
      </c>
      <c r="BJ78" s="58">
        <v>0.191</v>
      </c>
      <c r="BK78" s="58">
        <v>0.19500000000000001</v>
      </c>
      <c r="BL78" s="58">
        <v>0.313</v>
      </c>
      <c r="BM78" s="58">
        <v>9.0259999999999998</v>
      </c>
      <c r="BN78" s="58">
        <v>1.4730000000000001</v>
      </c>
      <c r="BO78" s="59">
        <v>0.94359999999999999</v>
      </c>
      <c r="BP78" s="59">
        <v>1.07731</v>
      </c>
      <c r="BQ78" s="58">
        <v>0.39500000000000002</v>
      </c>
      <c r="BR78" s="58">
        <v>1.7569999999999999</v>
      </c>
    </row>
    <row r="79" spans="1:70" ht="15.95" customHeight="1" x14ac:dyDescent="0.25">
      <c r="A79" s="58" t="s">
        <v>69</v>
      </c>
      <c r="B79" s="58">
        <v>-14.02</v>
      </c>
      <c r="C79" s="58">
        <v>-4.2000000000000003E-2</v>
      </c>
      <c r="D79" s="58">
        <v>-0.44500000000000001</v>
      </c>
      <c r="E79" s="58">
        <v>-9.2010000000000005</v>
      </c>
      <c r="F79" s="58">
        <v>1.474</v>
      </c>
      <c r="G79" s="58">
        <v>-2.5249999999999999</v>
      </c>
      <c r="H79" s="59">
        <v>1.05986</v>
      </c>
      <c r="I79" s="59">
        <v>1.0505</v>
      </c>
      <c r="J79" s="58">
        <v>-0.08</v>
      </c>
      <c r="K79" s="58">
        <v>-1.9E-2</v>
      </c>
      <c r="L79" s="58">
        <v>1.9E-2</v>
      </c>
      <c r="M79" s="58">
        <v>-3.0000000000000001E-3</v>
      </c>
      <c r="N79" s="58">
        <v>-5.1999999999999998E-2</v>
      </c>
      <c r="O79" s="58">
        <v>-1.4999999999999999E-2</v>
      </c>
      <c r="P79" s="58">
        <v>-6.0000000000000001E-3</v>
      </c>
      <c r="Q79" s="58">
        <v>-2E-3</v>
      </c>
      <c r="R79" s="58">
        <v>-2.1000000000000001E-2</v>
      </c>
      <c r="S79" s="58">
        <v>-4.4850000000000003</v>
      </c>
      <c r="T79" s="58">
        <v>-1E-3</v>
      </c>
      <c r="U79" s="59">
        <v>1.0268699999999999</v>
      </c>
      <c r="V79" s="59">
        <v>0.95133999999999996</v>
      </c>
      <c r="W79" s="58">
        <v>4.7E-2</v>
      </c>
      <c r="X79" s="58">
        <v>-2.7E-2</v>
      </c>
      <c r="Y79" s="58">
        <v>3.0000000000000001E-3</v>
      </c>
      <c r="Z79" s="58">
        <v>-1.2999999999999999E-2</v>
      </c>
      <c r="AA79" s="59">
        <v>1.02399</v>
      </c>
      <c r="AB79" s="59">
        <v>1.0753200000000001</v>
      </c>
      <c r="AC79" s="58">
        <v>3.0000000000000001E-3</v>
      </c>
      <c r="AD79" s="58">
        <v>-2E-3</v>
      </c>
      <c r="AE79" s="58">
        <v>0</v>
      </c>
      <c r="AF79" s="58">
        <v>0</v>
      </c>
      <c r="AG79" s="58">
        <v>0</v>
      </c>
      <c r="AH79" s="58">
        <v>1.07</v>
      </c>
      <c r="AI79" s="58">
        <v>0</v>
      </c>
      <c r="AJ79" s="59">
        <v>0.93350999999999995</v>
      </c>
      <c r="AK79" s="59">
        <v>1.0819099999999999</v>
      </c>
      <c r="AL79" s="58">
        <v>-8.0000000000000002E-3</v>
      </c>
      <c r="AM79" s="58">
        <v>0</v>
      </c>
      <c r="AN79" s="58">
        <v>0</v>
      </c>
      <c r="AO79" s="58">
        <v>0</v>
      </c>
      <c r="AP79" s="58">
        <v>-2E-3</v>
      </c>
      <c r="AQ79" s="58">
        <v>-1E-3</v>
      </c>
      <c r="AR79" s="58">
        <v>0</v>
      </c>
      <c r="AS79" s="58">
        <v>-1.2999999999999999E-2</v>
      </c>
      <c r="AT79" s="58">
        <v>0</v>
      </c>
      <c r="AU79" s="58">
        <v>0</v>
      </c>
      <c r="AV79" s="58">
        <v>0</v>
      </c>
      <c r="AW79" s="58">
        <v>0</v>
      </c>
      <c r="AX79" s="58">
        <v>0</v>
      </c>
      <c r="AY79" s="58">
        <v>0</v>
      </c>
      <c r="AZ79" s="58">
        <v>0</v>
      </c>
      <c r="BA79" s="58">
        <v>0</v>
      </c>
      <c r="BB79" s="58">
        <v>0</v>
      </c>
      <c r="BC79" s="58">
        <v>0</v>
      </c>
      <c r="BD79" s="58">
        <v>0</v>
      </c>
      <c r="BE79" s="58">
        <v>0</v>
      </c>
      <c r="BF79" s="58">
        <v>0</v>
      </c>
      <c r="BG79" s="58">
        <v>-3.0000000000000001E-3</v>
      </c>
      <c r="BH79" s="58">
        <v>0</v>
      </c>
      <c r="BI79" s="58">
        <v>0</v>
      </c>
      <c r="BJ79" s="58">
        <v>0</v>
      </c>
      <c r="BK79" s="58">
        <v>0</v>
      </c>
      <c r="BL79" s="58">
        <v>2.4E-2</v>
      </c>
      <c r="BM79" s="58">
        <v>1E-3</v>
      </c>
      <c r="BN79" s="58">
        <v>-1E-3</v>
      </c>
      <c r="BO79" s="59">
        <v>0.93352999999999997</v>
      </c>
      <c r="BP79" s="59">
        <v>1.07236</v>
      </c>
      <c r="BQ79" s="58">
        <v>0</v>
      </c>
      <c r="BR79" s="58">
        <v>0</v>
      </c>
    </row>
    <row r="81" spans="1:70" s="54" customFormat="1" ht="15.95" customHeight="1" thickBot="1" x14ac:dyDescent="0.3">
      <c r="A81" s="54" t="s">
        <v>154</v>
      </c>
      <c r="B81" s="54" t="s">
        <v>0</v>
      </c>
      <c r="C81" s="54" t="s">
        <v>1</v>
      </c>
      <c r="D81" s="54" t="s">
        <v>2</v>
      </c>
      <c r="E81" s="54" t="s">
        <v>3</v>
      </c>
      <c r="F81" s="54" t="s">
        <v>4</v>
      </c>
      <c r="G81" s="54" t="s">
        <v>5</v>
      </c>
      <c r="H81" s="55" t="s">
        <v>6</v>
      </c>
      <c r="I81" s="55" t="s">
        <v>7</v>
      </c>
      <c r="J81" s="54" t="s">
        <v>8</v>
      </c>
      <c r="K81" s="54" t="s">
        <v>9</v>
      </c>
      <c r="L81" s="54" t="s">
        <v>10</v>
      </c>
      <c r="M81" s="54" t="s">
        <v>11</v>
      </c>
      <c r="N81" s="54" t="s">
        <v>12</v>
      </c>
      <c r="O81" s="54" t="s">
        <v>13</v>
      </c>
      <c r="P81" s="54" t="s">
        <v>14</v>
      </c>
      <c r="Q81" s="54" t="s">
        <v>15</v>
      </c>
      <c r="R81" s="54" t="s">
        <v>16</v>
      </c>
      <c r="S81" s="54" t="s">
        <v>17</v>
      </c>
      <c r="T81" s="54" t="s">
        <v>18</v>
      </c>
      <c r="U81" s="55" t="s">
        <v>19</v>
      </c>
      <c r="V81" s="55" t="s">
        <v>20</v>
      </c>
      <c r="W81" s="54" t="s">
        <v>21</v>
      </c>
      <c r="X81" s="54" t="s">
        <v>22</v>
      </c>
      <c r="Y81" s="54" t="s">
        <v>23</v>
      </c>
      <c r="Z81" s="54" t="s">
        <v>24</v>
      </c>
      <c r="AA81" s="55" t="s">
        <v>25</v>
      </c>
      <c r="AB81" s="55" t="s">
        <v>26</v>
      </c>
      <c r="AC81" s="54" t="s">
        <v>27</v>
      </c>
      <c r="AD81" s="54" t="s">
        <v>28</v>
      </c>
      <c r="AE81" s="54" t="s">
        <v>29</v>
      </c>
      <c r="AF81" s="54" t="s">
        <v>30</v>
      </c>
      <c r="AG81" s="54" t="s">
        <v>31</v>
      </c>
      <c r="AH81" s="54" t="s">
        <v>32</v>
      </c>
      <c r="AI81" s="54" t="s">
        <v>33</v>
      </c>
      <c r="AJ81" s="55" t="s">
        <v>34</v>
      </c>
      <c r="AK81" s="55" t="s">
        <v>35</v>
      </c>
      <c r="AL81" s="54" t="s">
        <v>36</v>
      </c>
      <c r="AM81" s="54" t="s">
        <v>37</v>
      </c>
      <c r="AN81" s="54" t="s">
        <v>38</v>
      </c>
      <c r="AO81" s="54" t="s">
        <v>39</v>
      </c>
      <c r="AP81" s="54" t="s">
        <v>40</v>
      </c>
      <c r="AQ81" s="54" t="s">
        <v>41</v>
      </c>
      <c r="AR81" s="54" t="s">
        <v>42</v>
      </c>
      <c r="AS81" s="54" t="s">
        <v>43</v>
      </c>
      <c r="AT81" s="54" t="s">
        <v>44</v>
      </c>
      <c r="AU81" s="54" t="s">
        <v>45</v>
      </c>
      <c r="AV81" s="54" t="s">
        <v>46</v>
      </c>
      <c r="AW81" s="54" t="s">
        <v>47</v>
      </c>
      <c r="AX81" s="54" t="s">
        <v>48</v>
      </c>
      <c r="AY81" s="54" t="s">
        <v>49</v>
      </c>
      <c r="AZ81" s="54" t="s">
        <v>50</v>
      </c>
      <c r="BA81" s="54" t="s">
        <v>51</v>
      </c>
      <c r="BB81" s="54" t="s">
        <v>52</v>
      </c>
      <c r="BC81" s="54" t="s">
        <v>53</v>
      </c>
      <c r="BD81" s="54" t="s">
        <v>54</v>
      </c>
      <c r="BE81" s="54" t="s">
        <v>55</v>
      </c>
      <c r="BF81" s="54" t="s">
        <v>56</v>
      </c>
      <c r="BG81" s="54" t="s">
        <v>57</v>
      </c>
      <c r="BH81" s="54" t="s">
        <v>58</v>
      </c>
      <c r="BI81" s="54" t="s">
        <v>59</v>
      </c>
      <c r="BJ81" s="54" t="s">
        <v>60</v>
      </c>
      <c r="BK81" s="54" t="s">
        <v>61</v>
      </c>
      <c r="BL81" s="54" t="s">
        <v>62</v>
      </c>
      <c r="BM81" s="54" t="s">
        <v>63</v>
      </c>
      <c r="BN81" s="54" t="s">
        <v>64</v>
      </c>
      <c r="BO81" s="55" t="s">
        <v>65</v>
      </c>
      <c r="BP81" s="55" t="s">
        <v>66</v>
      </c>
      <c r="BQ81" s="54" t="s">
        <v>67</v>
      </c>
      <c r="BR81" s="54" t="s">
        <v>68</v>
      </c>
    </row>
    <row r="82" spans="1:70" s="56" customFormat="1" ht="15.95" customHeight="1" x14ac:dyDescent="0.25">
      <c r="B82" s="56" t="s">
        <v>169</v>
      </c>
      <c r="C82" s="56" t="s">
        <v>169</v>
      </c>
      <c r="D82" s="56" t="s">
        <v>169</v>
      </c>
      <c r="E82" s="56" t="s">
        <v>169</v>
      </c>
      <c r="F82" s="56" t="s">
        <v>169</v>
      </c>
      <c r="G82" s="56" t="s">
        <v>169</v>
      </c>
      <c r="H82" s="56" t="s">
        <v>171</v>
      </c>
      <c r="I82" s="56" t="s">
        <v>171</v>
      </c>
      <c r="J82" s="56" t="s">
        <v>169</v>
      </c>
      <c r="K82" s="56" t="s">
        <v>169</v>
      </c>
      <c r="L82" s="56" t="s">
        <v>169</v>
      </c>
      <c r="M82" s="56" t="s">
        <v>169</v>
      </c>
      <c r="N82" s="56" t="s">
        <v>169</v>
      </c>
      <c r="O82" s="56" t="s">
        <v>169</v>
      </c>
      <c r="P82" s="56" t="s">
        <v>169</v>
      </c>
      <c r="Q82" s="56" t="s">
        <v>169</v>
      </c>
      <c r="R82" s="56" t="s">
        <v>169</v>
      </c>
      <c r="S82" s="56" t="s">
        <v>169</v>
      </c>
      <c r="T82" s="56" t="s">
        <v>169</v>
      </c>
      <c r="U82" s="56" t="s">
        <v>171</v>
      </c>
      <c r="V82" s="56" t="s">
        <v>171</v>
      </c>
      <c r="W82" s="56" t="s">
        <v>169</v>
      </c>
      <c r="X82" s="56" t="s">
        <v>169</v>
      </c>
      <c r="Y82" s="56" t="s">
        <v>169</v>
      </c>
      <c r="Z82" s="56" t="s">
        <v>169</v>
      </c>
      <c r="AA82" s="56" t="s">
        <v>171</v>
      </c>
      <c r="AB82" s="56" t="s">
        <v>171</v>
      </c>
      <c r="AC82" s="56" t="s">
        <v>169</v>
      </c>
      <c r="AD82" s="56" t="s">
        <v>169</v>
      </c>
      <c r="AE82" s="56" t="s">
        <v>169</v>
      </c>
      <c r="AF82" s="56" t="s">
        <v>169</v>
      </c>
      <c r="AG82" s="56" t="s">
        <v>169</v>
      </c>
      <c r="AH82" s="56" t="s">
        <v>169</v>
      </c>
      <c r="AI82" s="56" t="s">
        <v>169</v>
      </c>
      <c r="AJ82" s="56" t="s">
        <v>171</v>
      </c>
      <c r="AK82" s="56" t="s">
        <v>171</v>
      </c>
      <c r="AL82" s="56" t="s">
        <v>169</v>
      </c>
      <c r="AM82" s="56" t="s">
        <v>169</v>
      </c>
      <c r="AN82" s="56" t="s">
        <v>169</v>
      </c>
      <c r="AO82" s="56" t="s">
        <v>169</v>
      </c>
      <c r="AP82" s="56" t="s">
        <v>169</v>
      </c>
      <c r="AQ82" s="56" t="s">
        <v>169</v>
      </c>
      <c r="AR82" s="56" t="s">
        <v>169</v>
      </c>
      <c r="AS82" s="56" t="s">
        <v>169</v>
      </c>
      <c r="AT82" s="56" t="s">
        <v>169</v>
      </c>
      <c r="AU82" s="56" t="s">
        <v>169</v>
      </c>
      <c r="AV82" s="56" t="s">
        <v>169</v>
      </c>
      <c r="AW82" s="56" t="s">
        <v>169</v>
      </c>
      <c r="AX82" s="56" t="s">
        <v>169</v>
      </c>
      <c r="AY82" s="56" t="s">
        <v>169</v>
      </c>
      <c r="AZ82" s="56" t="s">
        <v>169</v>
      </c>
      <c r="BA82" s="56" t="s">
        <v>169</v>
      </c>
      <c r="BB82" s="56" t="s">
        <v>169</v>
      </c>
      <c r="BC82" s="56" t="s">
        <v>169</v>
      </c>
      <c r="BD82" s="56" t="s">
        <v>169</v>
      </c>
      <c r="BE82" s="56" t="s">
        <v>169</v>
      </c>
      <c r="BF82" s="56" t="s">
        <v>169</v>
      </c>
      <c r="BG82" s="56" t="s">
        <v>169</v>
      </c>
      <c r="BH82" s="56" t="s">
        <v>169</v>
      </c>
      <c r="BI82" s="56" t="s">
        <v>169</v>
      </c>
      <c r="BJ82" s="56" t="s">
        <v>169</v>
      </c>
      <c r="BK82" s="56" t="s">
        <v>169</v>
      </c>
      <c r="BL82" s="56" t="s">
        <v>169</v>
      </c>
      <c r="BM82" s="56" t="s">
        <v>169</v>
      </c>
      <c r="BN82" s="56" t="s">
        <v>169</v>
      </c>
      <c r="BO82" s="56" t="s">
        <v>171</v>
      </c>
      <c r="BP82" s="56" t="s">
        <v>171</v>
      </c>
      <c r="BQ82" s="56" t="s">
        <v>169</v>
      </c>
      <c r="BR82" s="56" t="s">
        <v>169</v>
      </c>
    </row>
    <row r="83" spans="1:70" ht="15.95" customHeight="1" x14ac:dyDescent="0.25">
      <c r="A83" s="58" t="s">
        <v>69</v>
      </c>
      <c r="B83" s="58">
        <f>B3/1000</f>
        <v>1.15E-3</v>
      </c>
      <c r="C83" s="58">
        <f t="shared" ref="C83:G83" si="0">C3/1000</f>
        <v>-3.5000000000000004E-5</v>
      </c>
      <c r="D83" s="58">
        <f t="shared" si="0"/>
        <v>1.0399999999999999E-4</v>
      </c>
      <c r="E83" s="58">
        <f t="shared" si="0"/>
        <v>3.4200000000000002E-4</v>
      </c>
      <c r="F83" s="58">
        <f t="shared" si="0"/>
        <v>2.0590000000000001E-3</v>
      </c>
      <c r="G83" s="58">
        <f t="shared" si="0"/>
        <v>-2.96E-3</v>
      </c>
      <c r="H83" s="59">
        <v>1</v>
      </c>
      <c r="I83" s="59">
        <v>1</v>
      </c>
      <c r="J83" s="58">
        <f>J3/1000</f>
        <v>-5.0000000000000004E-6</v>
      </c>
      <c r="K83" s="58">
        <f t="shared" ref="K83:T83" si="1">K3/1000</f>
        <v>6.9999999999999999E-6</v>
      </c>
      <c r="L83" s="58">
        <f t="shared" si="1"/>
        <v>-1.11E-4</v>
      </c>
      <c r="M83" s="58">
        <f t="shared" si="1"/>
        <v>1.7999999999999997E-5</v>
      </c>
      <c r="N83" s="58">
        <f t="shared" si="1"/>
        <v>-2.1999999999999999E-5</v>
      </c>
      <c r="O83" s="58">
        <f t="shared" si="1"/>
        <v>1.9999999999999999E-6</v>
      </c>
      <c r="P83" s="58">
        <f t="shared" si="1"/>
        <v>9.9999999999999995E-7</v>
      </c>
      <c r="Q83" s="58">
        <f t="shared" si="1"/>
        <v>3.0000000000000001E-6</v>
      </c>
      <c r="R83" s="58">
        <f t="shared" si="1"/>
        <v>2.1999999999999999E-5</v>
      </c>
      <c r="S83" s="58">
        <f t="shared" si="1"/>
        <v>-3.6160000000000003E-3</v>
      </c>
      <c r="T83" s="58">
        <f t="shared" si="1"/>
        <v>9.9999999999999995E-7</v>
      </c>
      <c r="U83" s="59">
        <v>1</v>
      </c>
      <c r="V83" s="59">
        <v>1</v>
      </c>
      <c r="W83" s="58">
        <f>W3/1000</f>
        <v>-6.0000000000000002E-6</v>
      </c>
      <c r="X83" s="58">
        <f t="shared" ref="X83:Z83" si="2">X3/1000</f>
        <v>-2.1799999999999999E-4</v>
      </c>
      <c r="Y83" s="58">
        <f t="shared" si="2"/>
        <v>0</v>
      </c>
      <c r="Z83" s="58">
        <f t="shared" si="2"/>
        <v>-9.9999999999999995E-7</v>
      </c>
      <c r="AA83" s="59">
        <v>1</v>
      </c>
      <c r="AB83" s="59">
        <v>1</v>
      </c>
      <c r="AC83" s="58">
        <f>AC3/1000</f>
        <v>0</v>
      </c>
      <c r="AD83" s="58">
        <f t="shared" ref="AD83:AI83" si="3">AD3/1000</f>
        <v>1.9999999999999999E-6</v>
      </c>
      <c r="AE83" s="58">
        <f t="shared" si="3"/>
        <v>0</v>
      </c>
      <c r="AF83" s="58">
        <f t="shared" si="3"/>
        <v>0</v>
      </c>
      <c r="AG83" s="58">
        <f t="shared" si="3"/>
        <v>0</v>
      </c>
      <c r="AH83" s="58">
        <f t="shared" si="3"/>
        <v>3.8000000000000002E-5</v>
      </c>
      <c r="AI83" s="58">
        <f t="shared" si="3"/>
        <v>0</v>
      </c>
      <c r="AJ83" s="59">
        <v>1</v>
      </c>
      <c r="AK83" s="59">
        <v>1</v>
      </c>
      <c r="AL83" s="58">
        <f>AM3/1000</f>
        <v>0</v>
      </c>
      <c r="AM83" s="58">
        <f t="shared" ref="AM83:BN83" si="4">AN3/1000</f>
        <v>9.9999999999999995E-7</v>
      </c>
      <c r="AN83" s="58">
        <f t="shared" si="4"/>
        <v>0</v>
      </c>
      <c r="AO83" s="58">
        <f t="shared" si="4"/>
        <v>-9.9999999999999995E-7</v>
      </c>
      <c r="AP83" s="58">
        <f t="shared" si="4"/>
        <v>9.9999999999999995E-7</v>
      </c>
      <c r="AQ83" s="58">
        <f t="shared" si="4"/>
        <v>0</v>
      </c>
      <c r="AR83" s="58">
        <f t="shared" si="4"/>
        <v>2.9E-5</v>
      </c>
      <c r="AS83" s="58">
        <f t="shared" si="4"/>
        <v>0</v>
      </c>
      <c r="AT83" s="58">
        <f t="shared" si="4"/>
        <v>0</v>
      </c>
      <c r="AU83" s="58">
        <f t="shared" si="4"/>
        <v>0</v>
      </c>
      <c r="AV83" s="58">
        <f t="shared" si="4"/>
        <v>0</v>
      </c>
      <c r="AW83" s="58">
        <f t="shared" si="4"/>
        <v>0</v>
      </c>
      <c r="AX83" s="58">
        <f t="shared" si="4"/>
        <v>0</v>
      </c>
      <c r="AY83" s="58">
        <f t="shared" si="4"/>
        <v>0</v>
      </c>
      <c r="AZ83" s="58">
        <f t="shared" si="4"/>
        <v>0</v>
      </c>
      <c r="BA83" s="58">
        <f t="shared" si="4"/>
        <v>0</v>
      </c>
      <c r="BB83" s="58">
        <f t="shared" si="4"/>
        <v>0</v>
      </c>
      <c r="BC83" s="58">
        <f t="shared" si="4"/>
        <v>0</v>
      </c>
      <c r="BD83" s="58">
        <f t="shared" si="4"/>
        <v>0</v>
      </c>
      <c r="BE83" s="58">
        <f t="shared" si="4"/>
        <v>0</v>
      </c>
      <c r="BF83" s="58">
        <f t="shared" si="4"/>
        <v>0</v>
      </c>
      <c r="BG83" s="58">
        <f t="shared" si="4"/>
        <v>0</v>
      </c>
      <c r="BH83" s="58">
        <f t="shared" si="4"/>
        <v>0</v>
      </c>
      <c r="BI83" s="58">
        <f t="shared" si="4"/>
        <v>0</v>
      </c>
      <c r="BJ83" s="58">
        <f t="shared" si="4"/>
        <v>0</v>
      </c>
      <c r="BK83" s="58">
        <f t="shared" si="4"/>
        <v>9.9999999999999995E-7</v>
      </c>
      <c r="BL83" s="58">
        <f t="shared" si="4"/>
        <v>0</v>
      </c>
      <c r="BM83" s="58">
        <f t="shared" si="4"/>
        <v>9.9999999999999995E-7</v>
      </c>
      <c r="BN83" s="58">
        <f t="shared" si="4"/>
        <v>1E-3</v>
      </c>
      <c r="BO83" s="59">
        <v>1</v>
      </c>
      <c r="BP83" s="59">
        <v>1</v>
      </c>
      <c r="BQ83" s="58">
        <f>BQ3/1000</f>
        <v>0</v>
      </c>
      <c r="BR83" s="58">
        <f>BR3/1000</f>
        <v>0</v>
      </c>
    </row>
    <row r="84" spans="1:70" ht="15.95" customHeight="1" x14ac:dyDescent="0.25">
      <c r="A84" s="58" t="s">
        <v>69</v>
      </c>
      <c r="B84" s="58">
        <f t="shared" ref="B84:G84" si="5">B4/1000</f>
        <v>0</v>
      </c>
      <c r="C84" s="58">
        <f t="shared" si="5"/>
        <v>0</v>
      </c>
      <c r="D84" s="58">
        <f t="shared" si="5"/>
        <v>0</v>
      </c>
      <c r="E84" s="58">
        <f t="shared" si="5"/>
        <v>0</v>
      </c>
      <c r="F84" s="58">
        <f t="shared" si="5"/>
        <v>0</v>
      </c>
      <c r="G84" s="58">
        <f t="shared" si="5"/>
        <v>0</v>
      </c>
      <c r="H84" s="59">
        <v>1</v>
      </c>
      <c r="I84" s="59">
        <v>1</v>
      </c>
      <c r="J84" s="58">
        <f t="shared" ref="J84:T84" si="6">J4/1000</f>
        <v>0</v>
      </c>
      <c r="K84" s="58">
        <f t="shared" si="6"/>
        <v>0</v>
      </c>
      <c r="L84" s="58">
        <f t="shared" si="6"/>
        <v>0</v>
      </c>
      <c r="M84" s="58">
        <f t="shared" si="6"/>
        <v>0</v>
      </c>
      <c r="N84" s="58">
        <f t="shared" si="6"/>
        <v>0</v>
      </c>
      <c r="O84" s="58">
        <f t="shared" si="6"/>
        <v>0</v>
      </c>
      <c r="P84" s="58">
        <f t="shared" si="6"/>
        <v>0</v>
      </c>
      <c r="Q84" s="58">
        <f t="shared" si="6"/>
        <v>0</v>
      </c>
      <c r="R84" s="58">
        <f t="shared" si="6"/>
        <v>0</v>
      </c>
      <c r="S84" s="58">
        <f t="shared" si="6"/>
        <v>-3.179E-3</v>
      </c>
      <c r="T84" s="58">
        <f t="shared" si="6"/>
        <v>0</v>
      </c>
      <c r="U84" s="59">
        <v>1</v>
      </c>
      <c r="V84" s="59">
        <v>1</v>
      </c>
      <c r="W84" s="58">
        <f t="shared" ref="W84:Z84" si="7">W4/1000</f>
        <v>0</v>
      </c>
      <c r="X84" s="58">
        <f t="shared" si="7"/>
        <v>0</v>
      </c>
      <c r="Y84" s="58">
        <f t="shared" si="7"/>
        <v>0</v>
      </c>
      <c r="Z84" s="58">
        <f t="shared" si="7"/>
        <v>0</v>
      </c>
      <c r="AA84" s="59">
        <v>1</v>
      </c>
      <c r="AB84" s="59">
        <v>1</v>
      </c>
      <c r="AC84" s="58">
        <f t="shared" ref="AC84:AI84" si="8">AC4/1000</f>
        <v>0</v>
      </c>
      <c r="AD84" s="58">
        <f t="shared" si="8"/>
        <v>0</v>
      </c>
      <c r="AE84" s="58">
        <f t="shared" si="8"/>
        <v>0</v>
      </c>
      <c r="AF84" s="58">
        <f t="shared" si="8"/>
        <v>0</v>
      </c>
      <c r="AG84" s="58">
        <f t="shared" si="8"/>
        <v>0</v>
      </c>
      <c r="AH84" s="58">
        <f t="shared" si="8"/>
        <v>0</v>
      </c>
      <c r="AI84" s="58">
        <f t="shared" si="8"/>
        <v>0</v>
      </c>
      <c r="AJ84" s="59">
        <v>1</v>
      </c>
      <c r="AK84" s="59">
        <v>1</v>
      </c>
      <c r="AL84" s="58">
        <f t="shared" ref="AL84:BN84" si="9">AM4/1000</f>
        <v>0</v>
      </c>
      <c r="AM84" s="58">
        <f t="shared" si="9"/>
        <v>0</v>
      </c>
      <c r="AN84" s="58">
        <f t="shared" si="9"/>
        <v>0</v>
      </c>
      <c r="AO84" s="58">
        <f t="shared" si="9"/>
        <v>0</v>
      </c>
      <c r="AP84" s="58">
        <f t="shared" si="9"/>
        <v>0</v>
      </c>
      <c r="AQ84" s="58">
        <f t="shared" si="9"/>
        <v>0</v>
      </c>
      <c r="AR84" s="58">
        <f t="shared" si="9"/>
        <v>0</v>
      </c>
      <c r="AS84" s="58">
        <f t="shared" si="9"/>
        <v>0</v>
      </c>
      <c r="AT84" s="58">
        <f t="shared" si="9"/>
        <v>0</v>
      </c>
      <c r="AU84" s="58">
        <f t="shared" si="9"/>
        <v>0</v>
      </c>
      <c r="AV84" s="58">
        <f t="shared" si="9"/>
        <v>0</v>
      </c>
      <c r="AW84" s="58">
        <f t="shared" si="9"/>
        <v>0</v>
      </c>
      <c r="AX84" s="58">
        <f t="shared" si="9"/>
        <v>0</v>
      </c>
      <c r="AY84" s="58">
        <f t="shared" si="9"/>
        <v>0</v>
      </c>
      <c r="AZ84" s="58">
        <f t="shared" si="9"/>
        <v>0</v>
      </c>
      <c r="BA84" s="58">
        <f t="shared" si="9"/>
        <v>0</v>
      </c>
      <c r="BB84" s="58">
        <f t="shared" si="9"/>
        <v>0</v>
      </c>
      <c r="BC84" s="58">
        <f t="shared" si="9"/>
        <v>0</v>
      </c>
      <c r="BD84" s="58">
        <f t="shared" si="9"/>
        <v>0</v>
      </c>
      <c r="BE84" s="58">
        <f t="shared" si="9"/>
        <v>0</v>
      </c>
      <c r="BF84" s="58">
        <f t="shared" si="9"/>
        <v>0</v>
      </c>
      <c r="BG84" s="58">
        <f t="shared" si="9"/>
        <v>0</v>
      </c>
      <c r="BH84" s="58">
        <f t="shared" si="9"/>
        <v>0</v>
      </c>
      <c r="BI84" s="58">
        <f t="shared" si="9"/>
        <v>0</v>
      </c>
      <c r="BJ84" s="58">
        <f t="shared" si="9"/>
        <v>0</v>
      </c>
      <c r="BK84" s="58">
        <f t="shared" si="9"/>
        <v>0</v>
      </c>
      <c r="BL84" s="58">
        <f t="shared" si="9"/>
        <v>0</v>
      </c>
      <c r="BM84" s="58">
        <f t="shared" si="9"/>
        <v>0</v>
      </c>
      <c r="BN84" s="58">
        <f t="shared" si="9"/>
        <v>1E-3</v>
      </c>
      <c r="BO84" s="59">
        <v>1</v>
      </c>
      <c r="BP84" s="59">
        <v>1</v>
      </c>
      <c r="BQ84" s="58">
        <f t="shared" ref="BQ84:BR84" si="10">BQ4/1000</f>
        <v>0</v>
      </c>
      <c r="BR84" s="58">
        <f t="shared" si="10"/>
        <v>0</v>
      </c>
    </row>
    <row r="85" spans="1:70" ht="15.95" customHeight="1" x14ac:dyDescent="0.25">
      <c r="A85" s="58" t="s">
        <v>155</v>
      </c>
      <c r="B85" s="58">
        <f t="shared" ref="B85:G85" si="11">B5/1000</f>
        <v>1.8440000000000002E-2</v>
      </c>
      <c r="C85" s="58">
        <f t="shared" si="11"/>
        <v>1.4789999999999999E-2</v>
      </c>
      <c r="D85" s="58">
        <f t="shared" si="11"/>
        <v>2.23E-2</v>
      </c>
      <c r="E85" s="58">
        <f t="shared" si="11"/>
        <v>1.2800000000000001E-2</v>
      </c>
      <c r="F85" s="58">
        <f t="shared" si="11"/>
        <v>1.129E-2</v>
      </c>
      <c r="G85" s="58">
        <f t="shared" si="11"/>
        <v>7.077E-3</v>
      </c>
      <c r="H85" s="59">
        <v>0.98026000000000002</v>
      </c>
      <c r="I85" s="59">
        <v>1.00238</v>
      </c>
      <c r="J85" s="58">
        <f t="shared" ref="J85:T85" si="12">J5/1000</f>
        <v>8.2850000000000007E-3</v>
      </c>
      <c r="K85" s="58">
        <f t="shared" si="12"/>
        <v>6.7970000000000001E-3</v>
      </c>
      <c r="L85" s="58">
        <f t="shared" si="12"/>
        <v>7.2690000000000003E-3</v>
      </c>
      <c r="M85" s="58">
        <f t="shared" si="12"/>
        <v>2.42E-4</v>
      </c>
      <c r="N85" s="58">
        <f t="shared" si="12"/>
        <v>1.359E-3</v>
      </c>
      <c r="O85" s="58">
        <f t="shared" si="12"/>
        <v>1.8319999999999999E-2</v>
      </c>
      <c r="P85" s="58">
        <f t="shared" si="12"/>
        <v>1.0899999999999999E-4</v>
      </c>
      <c r="Q85" s="58">
        <f t="shared" si="12"/>
        <v>1.4199999999999998E-4</v>
      </c>
      <c r="R85" s="58">
        <f t="shared" si="12"/>
        <v>4.8000000000000001E-5</v>
      </c>
      <c r="S85" s="58">
        <f t="shared" si="12"/>
        <v>1.4E-5</v>
      </c>
      <c r="T85" s="58">
        <f t="shared" si="12"/>
        <v>4.3999999999999999E-5</v>
      </c>
      <c r="U85" s="59">
        <v>0.97628999999999999</v>
      </c>
      <c r="V85" s="59">
        <v>0.99409999999999998</v>
      </c>
      <c r="W85" s="58">
        <f t="shared" ref="W85:Z85" si="13">W5/1000</f>
        <v>5.3999999999999998E-5</v>
      </c>
      <c r="X85" s="58">
        <f t="shared" si="13"/>
        <v>7.7000000000000001E-5</v>
      </c>
      <c r="Y85" s="58">
        <f t="shared" si="13"/>
        <v>3.4499999999999998E-4</v>
      </c>
      <c r="Z85" s="58">
        <f t="shared" si="13"/>
        <v>1.4799999999999999E-4</v>
      </c>
      <c r="AA85" s="59">
        <v>0.99221999999999999</v>
      </c>
      <c r="AB85" s="59">
        <v>0.99970000000000003</v>
      </c>
      <c r="AC85" s="58">
        <f t="shared" ref="AC85:AI85" si="14">AC5/1000</f>
        <v>4.6999999999999997E-5</v>
      </c>
      <c r="AD85" s="58">
        <f t="shared" si="14"/>
        <v>1.3700000000000002E-4</v>
      </c>
      <c r="AE85" s="58">
        <f t="shared" si="14"/>
        <v>1.1E-5</v>
      </c>
      <c r="AF85" s="58">
        <f t="shared" si="14"/>
        <v>1.1E-5</v>
      </c>
      <c r="AG85" s="58">
        <f t="shared" si="14"/>
        <v>7.9999999999999996E-6</v>
      </c>
      <c r="AH85" s="58">
        <f t="shared" si="14"/>
        <v>5.0699999999999996E-4</v>
      </c>
      <c r="AI85" s="58">
        <f t="shared" si="14"/>
        <v>1.3300000000000001E-4</v>
      </c>
      <c r="AJ85" s="59">
        <v>0.98653000000000002</v>
      </c>
      <c r="AK85" s="59">
        <v>1.00525</v>
      </c>
      <c r="AL85" s="58">
        <f t="shared" ref="AL85:BN85" si="15">AM5/1000</f>
        <v>1.1E-5</v>
      </c>
      <c r="AM85" s="58">
        <f t="shared" si="15"/>
        <v>1.2999999999999999E-5</v>
      </c>
      <c r="AN85" s="58">
        <f t="shared" si="15"/>
        <v>6.3E-5</v>
      </c>
      <c r="AO85" s="58">
        <f t="shared" si="15"/>
        <v>6.1799999999999995E-4</v>
      </c>
      <c r="AP85" s="58">
        <f t="shared" si="15"/>
        <v>6.3299999999999999E-4</v>
      </c>
      <c r="AQ85" s="58">
        <f t="shared" si="15"/>
        <v>2.0000000000000002E-5</v>
      </c>
      <c r="AR85" s="58">
        <f t="shared" si="15"/>
        <v>1.4E-5</v>
      </c>
      <c r="AS85" s="58">
        <f t="shared" si="15"/>
        <v>1.7999999999999997E-5</v>
      </c>
      <c r="AT85" s="58">
        <f t="shared" si="15"/>
        <v>1.9000000000000001E-5</v>
      </c>
      <c r="AU85" s="58">
        <f t="shared" si="15"/>
        <v>1.7E-5</v>
      </c>
      <c r="AV85" s="58">
        <f t="shared" si="15"/>
        <v>1.7E-5</v>
      </c>
      <c r="AW85" s="58">
        <f t="shared" si="15"/>
        <v>1.9000000000000001E-5</v>
      </c>
      <c r="AX85" s="58">
        <f t="shared" si="15"/>
        <v>1.7E-5</v>
      </c>
      <c r="AY85" s="58">
        <f t="shared" si="15"/>
        <v>1.7E-5</v>
      </c>
      <c r="AZ85" s="58">
        <f t="shared" si="15"/>
        <v>1.7999999999999997E-5</v>
      </c>
      <c r="BA85" s="58">
        <f t="shared" si="15"/>
        <v>1.7E-5</v>
      </c>
      <c r="BB85" s="58">
        <f t="shared" si="15"/>
        <v>1.7999999999999997E-5</v>
      </c>
      <c r="BC85" s="58">
        <f t="shared" si="15"/>
        <v>1.7999999999999997E-5</v>
      </c>
      <c r="BD85" s="58">
        <f t="shared" si="15"/>
        <v>1.7999999999999997E-5</v>
      </c>
      <c r="BE85" s="58">
        <f t="shared" si="15"/>
        <v>1.0000000000000001E-5</v>
      </c>
      <c r="BF85" s="58">
        <f t="shared" si="15"/>
        <v>6.3999999999999997E-5</v>
      </c>
      <c r="BG85" s="58">
        <f t="shared" si="15"/>
        <v>6.6000000000000005E-5</v>
      </c>
      <c r="BH85" s="58">
        <f t="shared" si="15"/>
        <v>6.7000000000000002E-5</v>
      </c>
      <c r="BI85" s="58">
        <f t="shared" si="15"/>
        <v>7.9999999999999996E-6</v>
      </c>
      <c r="BJ85" s="58">
        <f t="shared" si="15"/>
        <v>1.0000000000000001E-5</v>
      </c>
      <c r="BK85" s="58">
        <f t="shared" si="15"/>
        <v>6.0000000000000002E-6</v>
      </c>
      <c r="BL85" s="58">
        <f t="shared" si="15"/>
        <v>4.0200000000000001E-4</v>
      </c>
      <c r="BM85" s="58">
        <f t="shared" si="15"/>
        <v>6.900000000000001E-5</v>
      </c>
      <c r="BN85" s="58">
        <f t="shared" si="15"/>
        <v>9.8518E-4</v>
      </c>
      <c r="BO85" s="59">
        <v>0.98517999999999994</v>
      </c>
      <c r="BP85" s="59">
        <v>0.99424999999999997</v>
      </c>
      <c r="BQ85" s="58">
        <f t="shared" ref="BQ85:BR85" si="16">BQ5/1000</f>
        <v>2.0000000000000002E-5</v>
      </c>
      <c r="BR85" s="58">
        <f t="shared" si="16"/>
        <v>8.0000000000000007E-5</v>
      </c>
    </row>
    <row r="86" spans="1:70" ht="15.95" customHeight="1" x14ac:dyDescent="0.25">
      <c r="A86" s="58" t="s">
        <v>156</v>
      </c>
      <c r="B86" s="58">
        <f t="shared" ref="B86:G86" si="17">B6/1000</f>
        <v>4.5840000000000006E-2</v>
      </c>
      <c r="C86" s="58">
        <f t="shared" si="17"/>
        <v>7.3029999999999998E-2</v>
      </c>
      <c r="D86" s="58">
        <f t="shared" si="17"/>
        <v>7.8670000000000004E-2</v>
      </c>
      <c r="E86" s="58">
        <f t="shared" si="17"/>
        <v>3.9759999999999997E-2</v>
      </c>
      <c r="F86" s="58">
        <f t="shared" si="17"/>
        <v>8.1549999999999997E-2</v>
      </c>
      <c r="G86" s="58">
        <f t="shared" si="17"/>
        <v>3.9159999999999993E-2</v>
      </c>
      <c r="H86" s="59">
        <v>1.00298</v>
      </c>
      <c r="I86" s="59">
        <v>0.99351</v>
      </c>
      <c r="J86" s="58">
        <f t="shared" ref="J86:T86" si="18">J6/1000</f>
        <v>4.1340000000000002E-2</v>
      </c>
      <c r="K86" s="58">
        <f t="shared" si="18"/>
        <v>3.8520000000000006E-2</v>
      </c>
      <c r="L86" s="58">
        <f t="shared" si="18"/>
        <v>3.4799999999999998E-2</v>
      </c>
      <c r="M86" s="58">
        <f t="shared" si="18"/>
        <v>8.3999999999999993E-4</v>
      </c>
      <c r="N86" s="58">
        <f t="shared" si="18"/>
        <v>6.6799999999999993E-3</v>
      </c>
      <c r="O86" s="58">
        <f t="shared" si="18"/>
        <v>8.5760000000000003E-2</v>
      </c>
      <c r="P86" s="58">
        <f t="shared" si="18"/>
        <v>6.4700000000000001E-4</v>
      </c>
      <c r="Q86" s="58">
        <f t="shared" si="18"/>
        <v>7.1299999999999998E-4</v>
      </c>
      <c r="R86" s="58">
        <f t="shared" si="18"/>
        <v>6.4400000000000004E-4</v>
      </c>
      <c r="S86" s="58">
        <f t="shared" si="18"/>
        <v>3.01E-4</v>
      </c>
      <c r="T86" s="58">
        <f t="shared" si="18"/>
        <v>2.2700000000000002E-4</v>
      </c>
      <c r="U86" s="59">
        <v>1.01248</v>
      </c>
      <c r="V86" s="59">
        <v>0.99141999999999997</v>
      </c>
      <c r="W86" s="58">
        <f t="shared" ref="W86:Z86" si="19">W6/1000</f>
        <v>4.17E-4</v>
      </c>
      <c r="X86" s="58">
        <f t="shared" si="19"/>
        <v>4.64E-4</v>
      </c>
      <c r="Y86" s="58">
        <f t="shared" si="19"/>
        <v>1.702E-3</v>
      </c>
      <c r="Z86" s="58">
        <f t="shared" si="19"/>
        <v>6.8999999999999997E-4</v>
      </c>
      <c r="AA86" s="59">
        <v>1.00593</v>
      </c>
      <c r="AB86" s="59">
        <v>0.98856999999999995</v>
      </c>
      <c r="AC86" s="58">
        <f t="shared" ref="AC86:AI86" si="20">AC6/1000</f>
        <v>2.2900000000000001E-4</v>
      </c>
      <c r="AD86" s="58">
        <f t="shared" si="20"/>
        <v>7.0199999999999993E-4</v>
      </c>
      <c r="AE86" s="58">
        <f t="shared" si="20"/>
        <v>5.1999999999999997E-5</v>
      </c>
      <c r="AF86" s="58">
        <f t="shared" si="20"/>
        <v>5.3999999999999998E-5</v>
      </c>
      <c r="AG86" s="58">
        <f t="shared" si="20"/>
        <v>4.0000000000000003E-5</v>
      </c>
      <c r="AH86" s="58">
        <f t="shared" si="20"/>
        <v>1.7050000000000001E-3</v>
      </c>
      <c r="AI86" s="58">
        <f t="shared" si="20"/>
        <v>6.9499999999999998E-4</v>
      </c>
      <c r="AJ86" s="59">
        <v>1.00973</v>
      </c>
      <c r="AK86" s="59">
        <v>0.99687000000000003</v>
      </c>
      <c r="AL86" s="58">
        <f t="shared" ref="AL86:BN86" si="21">AM6/1000</f>
        <v>5.5999999999999999E-5</v>
      </c>
      <c r="AM86" s="58">
        <f t="shared" si="21"/>
        <v>5.5000000000000002E-5</v>
      </c>
      <c r="AN86" s="58">
        <f t="shared" si="21"/>
        <v>3.1199999999999999E-4</v>
      </c>
      <c r="AO86" s="58">
        <f t="shared" si="21"/>
        <v>3.114E-3</v>
      </c>
      <c r="AP86" s="58">
        <f t="shared" si="21"/>
        <v>3.13E-3</v>
      </c>
      <c r="AQ86" s="58">
        <f t="shared" si="21"/>
        <v>9.2E-5</v>
      </c>
      <c r="AR86" s="58">
        <f t="shared" si="21"/>
        <v>8.1000000000000004E-5</v>
      </c>
      <c r="AS86" s="58">
        <f t="shared" si="21"/>
        <v>8.9999999999999992E-5</v>
      </c>
      <c r="AT86" s="58">
        <f t="shared" si="21"/>
        <v>8.7000000000000001E-5</v>
      </c>
      <c r="AU86" s="58">
        <f t="shared" si="21"/>
        <v>8.8999999999999995E-5</v>
      </c>
      <c r="AV86" s="58">
        <f t="shared" si="21"/>
        <v>8.7999999999999998E-5</v>
      </c>
      <c r="AW86" s="58">
        <f t="shared" si="21"/>
        <v>8.599999999999999E-5</v>
      </c>
      <c r="AX86" s="58">
        <f t="shared" si="21"/>
        <v>8.7999999999999998E-5</v>
      </c>
      <c r="AY86" s="58">
        <f t="shared" si="21"/>
        <v>8.8999999999999995E-5</v>
      </c>
      <c r="AZ86" s="58">
        <f t="shared" si="21"/>
        <v>8.8999999999999995E-5</v>
      </c>
      <c r="BA86" s="58">
        <f t="shared" si="21"/>
        <v>8.9999999999999992E-5</v>
      </c>
      <c r="BB86" s="58">
        <f t="shared" si="21"/>
        <v>8.8999999999999995E-5</v>
      </c>
      <c r="BC86" s="58">
        <f t="shared" si="21"/>
        <v>8.7000000000000001E-5</v>
      </c>
      <c r="BD86" s="58">
        <f t="shared" si="21"/>
        <v>8.7999999999999998E-5</v>
      </c>
      <c r="BE86" s="58">
        <f t="shared" si="21"/>
        <v>4.6999999999999997E-5</v>
      </c>
      <c r="BF86" s="58">
        <f t="shared" si="21"/>
        <v>3.1100000000000002E-4</v>
      </c>
      <c r="BG86" s="58">
        <f t="shared" si="21"/>
        <v>3.3500000000000001E-4</v>
      </c>
      <c r="BH86" s="58">
        <f t="shared" si="21"/>
        <v>3.3100000000000002E-4</v>
      </c>
      <c r="BI86" s="58">
        <f t="shared" si="21"/>
        <v>4.2000000000000004E-5</v>
      </c>
      <c r="BJ86" s="58">
        <f t="shared" si="21"/>
        <v>4.4999999999999996E-5</v>
      </c>
      <c r="BK86" s="58">
        <f t="shared" si="21"/>
        <v>1.1E-5</v>
      </c>
      <c r="BL86" s="58">
        <f t="shared" si="21"/>
        <v>2.0070000000000001E-3</v>
      </c>
      <c r="BM86" s="58">
        <f t="shared" si="21"/>
        <v>3.3500000000000001E-4</v>
      </c>
      <c r="BN86" s="58">
        <f t="shared" si="21"/>
        <v>9.9560000000000013E-4</v>
      </c>
      <c r="BO86" s="59">
        <v>0.99560000000000004</v>
      </c>
      <c r="BP86" s="59">
        <v>0.98902999999999996</v>
      </c>
      <c r="BQ86" s="58">
        <f t="shared" ref="BQ86:BR86" si="22">BQ6/1000</f>
        <v>8.8999999999999995E-5</v>
      </c>
      <c r="BR86" s="58">
        <f t="shared" si="22"/>
        <v>3.9899999999999999E-4</v>
      </c>
    </row>
    <row r="87" spans="1:70" ht="15.95" customHeight="1" x14ac:dyDescent="0.25">
      <c r="A87" s="58" t="s">
        <v>157</v>
      </c>
      <c r="B87" s="58">
        <f t="shared" ref="B87:G87" si="23">B7/1000</f>
        <v>9.5469999999999999E-2</v>
      </c>
      <c r="C87" s="58">
        <f t="shared" si="23"/>
        <v>0.14499999999999999</v>
      </c>
      <c r="D87" s="58">
        <f t="shared" si="23"/>
        <v>0.16300000000000001</v>
      </c>
      <c r="E87" s="58">
        <f t="shared" si="23"/>
        <v>7.2639999999999996E-2</v>
      </c>
      <c r="F87" s="58">
        <f t="shared" si="23"/>
        <v>0.16019999999999998</v>
      </c>
      <c r="G87" s="58">
        <f t="shared" si="23"/>
        <v>9.3090000000000006E-2</v>
      </c>
      <c r="H87" s="59">
        <v>1.0284199999999999</v>
      </c>
      <c r="I87" s="59">
        <v>1.00003</v>
      </c>
      <c r="J87" s="58">
        <f t="shared" ref="J87:T87" si="24">J7/1000</f>
        <v>8.165E-2</v>
      </c>
      <c r="K87" s="58">
        <f t="shared" si="24"/>
        <v>7.1480000000000002E-2</v>
      </c>
      <c r="L87" s="58">
        <f t="shared" si="24"/>
        <v>6.812E-2</v>
      </c>
      <c r="M87" s="58">
        <f t="shared" si="24"/>
        <v>1.5770000000000001E-3</v>
      </c>
      <c r="N87" s="58">
        <f t="shared" si="24"/>
        <v>1.3220000000000001E-2</v>
      </c>
      <c r="O87" s="58">
        <f t="shared" si="24"/>
        <v>0.16969999999999999</v>
      </c>
      <c r="P87" s="58">
        <f t="shared" si="24"/>
        <v>1.322E-3</v>
      </c>
      <c r="Q87" s="58">
        <f t="shared" si="24"/>
        <v>1.503E-3</v>
      </c>
      <c r="R87" s="58">
        <f t="shared" si="24"/>
        <v>1.392E-3</v>
      </c>
      <c r="S87" s="58">
        <f t="shared" si="24"/>
        <v>1.5449999999999999E-3</v>
      </c>
      <c r="T87" s="58">
        <f t="shared" si="24"/>
        <v>4.46E-4</v>
      </c>
      <c r="U87" s="59">
        <v>1.02058</v>
      </c>
      <c r="V87" s="59">
        <v>0.99248999999999998</v>
      </c>
      <c r="W87" s="58">
        <f t="shared" ref="W87:Z87" si="25">W7/1000</f>
        <v>6.8000000000000005E-4</v>
      </c>
      <c r="X87" s="58">
        <f t="shared" si="25"/>
        <v>7.3099999999999999E-4</v>
      </c>
      <c r="Y87" s="58">
        <f t="shared" si="25"/>
        <v>3.3769999999999998E-3</v>
      </c>
      <c r="Z87" s="58">
        <f t="shared" si="25"/>
        <v>1.3720000000000002E-3</v>
      </c>
      <c r="AA87" s="59">
        <v>1.0321800000000001</v>
      </c>
      <c r="AB87" s="59">
        <v>1.0018</v>
      </c>
      <c r="AC87" s="58">
        <f t="shared" ref="AC87:AI87" si="26">AC7/1000</f>
        <v>4.5600000000000003E-4</v>
      </c>
      <c r="AD87" s="58">
        <f t="shared" si="26"/>
        <v>1.41E-3</v>
      </c>
      <c r="AE87" s="58">
        <f t="shared" si="26"/>
        <v>1.0899999999999999E-4</v>
      </c>
      <c r="AF87" s="58">
        <f t="shared" si="26"/>
        <v>1.0499999999999999E-4</v>
      </c>
      <c r="AG87" s="58">
        <f t="shared" si="26"/>
        <v>7.7999999999999999E-5</v>
      </c>
      <c r="AH87" s="58">
        <f t="shared" si="26"/>
        <v>4.4059999999999993E-3</v>
      </c>
      <c r="AI87" s="58">
        <f t="shared" si="26"/>
        <v>1.3460000000000002E-3</v>
      </c>
      <c r="AJ87" s="59">
        <v>1.02867</v>
      </c>
      <c r="AK87" s="59">
        <v>1.00448</v>
      </c>
      <c r="AL87" s="58">
        <f t="shared" ref="AL87:BN87" si="27">AM7/1000</f>
        <v>1.07E-4</v>
      </c>
      <c r="AM87" s="58">
        <f t="shared" si="27"/>
        <v>1.08E-4</v>
      </c>
      <c r="AN87" s="58">
        <f t="shared" si="27"/>
        <v>6.1899999999999998E-4</v>
      </c>
      <c r="AO87" s="58">
        <f t="shared" si="27"/>
        <v>6.1780000000000003E-3</v>
      </c>
      <c r="AP87" s="58">
        <f t="shared" si="27"/>
        <v>6.2240000000000004E-3</v>
      </c>
      <c r="AQ87" s="58">
        <f t="shared" si="27"/>
        <v>1.84E-4</v>
      </c>
      <c r="AR87" s="58">
        <f t="shared" si="27"/>
        <v>1.7100000000000001E-4</v>
      </c>
      <c r="AS87" s="58">
        <f t="shared" si="27"/>
        <v>1.7799999999999999E-4</v>
      </c>
      <c r="AT87" s="58">
        <f t="shared" si="27"/>
        <v>1.76E-4</v>
      </c>
      <c r="AU87" s="58">
        <f t="shared" si="27"/>
        <v>1.6700000000000002E-4</v>
      </c>
      <c r="AV87" s="58">
        <f t="shared" si="27"/>
        <v>1.7699999999999999E-4</v>
      </c>
      <c r="AW87" s="58">
        <f t="shared" si="27"/>
        <v>1.6900000000000002E-4</v>
      </c>
      <c r="AX87" s="58">
        <f t="shared" si="27"/>
        <v>1.74E-4</v>
      </c>
      <c r="AY87" s="58">
        <f t="shared" si="27"/>
        <v>1.7299999999999998E-4</v>
      </c>
      <c r="AZ87" s="58">
        <f t="shared" si="27"/>
        <v>1.74E-4</v>
      </c>
      <c r="BA87" s="58">
        <f t="shared" si="27"/>
        <v>1.7199999999999998E-4</v>
      </c>
      <c r="BB87" s="58">
        <f t="shared" si="27"/>
        <v>1.74E-4</v>
      </c>
      <c r="BC87" s="58">
        <f t="shared" si="27"/>
        <v>1.75E-4</v>
      </c>
      <c r="BD87" s="58">
        <f t="shared" si="27"/>
        <v>1.75E-4</v>
      </c>
      <c r="BE87" s="58">
        <f t="shared" si="27"/>
        <v>9.2999999999999997E-5</v>
      </c>
      <c r="BF87" s="58">
        <f t="shared" si="27"/>
        <v>6.1799999999999995E-4</v>
      </c>
      <c r="BG87" s="58">
        <f t="shared" si="27"/>
        <v>6.4800000000000003E-4</v>
      </c>
      <c r="BH87" s="58">
        <f t="shared" si="27"/>
        <v>6.5800000000000006E-4</v>
      </c>
      <c r="BI87" s="58">
        <f t="shared" si="27"/>
        <v>8.2000000000000001E-5</v>
      </c>
      <c r="BJ87" s="58">
        <f t="shared" si="27"/>
        <v>9.1000000000000003E-5</v>
      </c>
      <c r="BK87" s="58">
        <f t="shared" si="27"/>
        <v>2.9999999999999997E-5</v>
      </c>
      <c r="BL87" s="58">
        <f t="shared" si="27"/>
        <v>3.9760000000000004E-3</v>
      </c>
      <c r="BM87" s="58">
        <f t="shared" si="27"/>
        <v>6.7000000000000002E-4</v>
      </c>
      <c r="BN87" s="58">
        <f t="shared" si="27"/>
        <v>1.0027999999999999E-3</v>
      </c>
      <c r="BO87" s="59">
        <v>1.0027999999999999</v>
      </c>
      <c r="BP87" s="59">
        <v>0.99617</v>
      </c>
      <c r="BQ87" s="58">
        <f t="shared" ref="BQ87:BR87" si="28">BQ7/1000</f>
        <v>1.7699999999999999E-4</v>
      </c>
      <c r="BR87" s="58">
        <f t="shared" si="28"/>
        <v>7.9100000000000004E-4</v>
      </c>
    </row>
    <row r="88" spans="1:70" ht="15.95" customHeight="1" x14ac:dyDescent="0.25">
      <c r="A88" s="58" t="s">
        <v>151</v>
      </c>
      <c r="B88" s="58">
        <f t="shared" ref="B88:G88" si="29">B8/1000</f>
        <v>0.38010000000000005</v>
      </c>
      <c r="C88" s="58">
        <f t="shared" si="29"/>
        <v>0.76939999999999997</v>
      </c>
      <c r="D88" s="58">
        <f t="shared" si="29"/>
        <v>0.75790000000000002</v>
      </c>
      <c r="E88" s="58">
        <f t="shared" si="29"/>
        <v>0.33929999999999999</v>
      </c>
      <c r="F88" s="58">
        <f t="shared" si="29"/>
        <v>0.73650000000000004</v>
      </c>
      <c r="G88" s="58">
        <f t="shared" si="29"/>
        <v>0.45750000000000002</v>
      </c>
      <c r="H88" s="59">
        <v>1.05447</v>
      </c>
      <c r="I88" s="59">
        <v>1.0070600000000001</v>
      </c>
      <c r="J88" s="58">
        <f t="shared" ref="J88:T88" si="30">J8/1000</f>
        <v>0.44719999999999999</v>
      </c>
      <c r="K88" s="58">
        <f t="shared" si="30"/>
        <v>0.36060000000000003</v>
      </c>
      <c r="L88" s="58">
        <f t="shared" si="30"/>
        <v>0.33110000000000001</v>
      </c>
      <c r="M88" s="58">
        <f t="shared" si="30"/>
        <v>7.3730000000000002E-3</v>
      </c>
      <c r="N88" s="58">
        <f t="shared" si="30"/>
        <v>6.4209999999999989E-2</v>
      </c>
      <c r="O88" s="58">
        <f t="shared" si="30"/>
        <v>0.85109999999999997</v>
      </c>
      <c r="P88" s="58">
        <f t="shared" si="30"/>
        <v>6.5750000000000001E-3</v>
      </c>
      <c r="Q88" s="58">
        <f t="shared" si="30"/>
        <v>7.0679999999999996E-3</v>
      </c>
      <c r="R88" s="58">
        <f t="shared" si="30"/>
        <v>6.9439999999999997E-3</v>
      </c>
      <c r="S88" s="58">
        <f t="shared" si="30"/>
        <v>9.8589999999999997E-3</v>
      </c>
      <c r="T88" s="58">
        <f t="shared" si="30"/>
        <v>2.2240000000000003E-3</v>
      </c>
      <c r="U88" s="59">
        <v>1.0457799999999999</v>
      </c>
      <c r="V88" s="59">
        <v>0.98828000000000005</v>
      </c>
      <c r="W88" s="58">
        <f t="shared" ref="W88:Z88" si="31">W8/1000</f>
        <v>3.2200000000000002E-3</v>
      </c>
      <c r="X88" s="58">
        <f t="shared" si="31"/>
        <v>3.3450000000000003E-3</v>
      </c>
      <c r="Y88" s="58">
        <f t="shared" si="31"/>
        <v>1.6410000000000001E-2</v>
      </c>
      <c r="Z88" s="58">
        <f t="shared" si="31"/>
        <v>6.7099999999999998E-3</v>
      </c>
      <c r="AA88" s="59">
        <v>1.0676000000000001</v>
      </c>
      <c r="AB88" s="59">
        <v>1.0121800000000001</v>
      </c>
      <c r="AC88" s="58">
        <f t="shared" ref="AC88:AI88" si="32">AC8/1000</f>
        <v>2.209E-3</v>
      </c>
      <c r="AD88" s="58">
        <f t="shared" si="32"/>
        <v>6.9370000000000005E-3</v>
      </c>
      <c r="AE88" s="58">
        <f t="shared" si="32"/>
        <v>5.1100000000000006E-4</v>
      </c>
      <c r="AF88" s="58">
        <f t="shared" si="32"/>
        <v>5.1599999999999997E-4</v>
      </c>
      <c r="AG88" s="58">
        <f t="shared" si="32"/>
        <v>4.1299999999999996E-4</v>
      </c>
      <c r="AH88" s="58">
        <f t="shared" si="32"/>
        <v>1.873E-2</v>
      </c>
      <c r="AI88" s="58">
        <f t="shared" si="32"/>
        <v>6.7089999999999997E-3</v>
      </c>
      <c r="AJ88" s="59">
        <v>1.04695</v>
      </c>
      <c r="AK88" s="59">
        <v>0.99675000000000002</v>
      </c>
      <c r="AL88" s="58">
        <f t="shared" ref="AL88:BN88" si="33">AM8/1000</f>
        <v>4.9200000000000003E-4</v>
      </c>
      <c r="AM88" s="58">
        <f t="shared" si="33"/>
        <v>5.3499999999999999E-4</v>
      </c>
      <c r="AN88" s="58">
        <f t="shared" si="33"/>
        <v>3.0800000000000003E-3</v>
      </c>
      <c r="AO88" s="58">
        <f t="shared" si="33"/>
        <v>3.031E-2</v>
      </c>
      <c r="AP88" s="58">
        <f t="shared" si="33"/>
        <v>3.0339999999999999E-2</v>
      </c>
      <c r="AQ88" s="58">
        <f t="shared" si="33"/>
        <v>8.8699999999999998E-4</v>
      </c>
      <c r="AR88" s="58">
        <f t="shared" si="33"/>
        <v>8.7199999999999995E-4</v>
      </c>
      <c r="AS88" s="58">
        <f t="shared" si="33"/>
        <v>8.7199999999999995E-4</v>
      </c>
      <c r="AT88" s="58">
        <f t="shared" si="33"/>
        <v>8.7500000000000002E-4</v>
      </c>
      <c r="AU88" s="58">
        <f t="shared" si="33"/>
        <v>8.7399999999999999E-4</v>
      </c>
      <c r="AV88" s="58">
        <f t="shared" si="33"/>
        <v>8.5800000000000004E-4</v>
      </c>
      <c r="AW88" s="58">
        <f t="shared" si="33"/>
        <v>8.5399999999999994E-4</v>
      </c>
      <c r="AX88" s="58">
        <f t="shared" si="33"/>
        <v>8.6600000000000002E-4</v>
      </c>
      <c r="AY88" s="58">
        <f t="shared" si="33"/>
        <v>8.5099999999999998E-4</v>
      </c>
      <c r="AZ88" s="58">
        <f t="shared" si="33"/>
        <v>8.6799999999999996E-4</v>
      </c>
      <c r="BA88" s="58">
        <f t="shared" si="33"/>
        <v>8.5399999999999994E-4</v>
      </c>
      <c r="BB88" s="58">
        <f t="shared" si="33"/>
        <v>8.6899999999999998E-4</v>
      </c>
      <c r="BC88" s="58">
        <f t="shared" si="33"/>
        <v>8.5999999999999998E-4</v>
      </c>
      <c r="BD88" s="58">
        <f t="shared" si="33"/>
        <v>8.6499999999999999E-4</v>
      </c>
      <c r="BE88" s="58">
        <f t="shared" si="33"/>
        <v>4.7799999999999996E-4</v>
      </c>
      <c r="BF88" s="58">
        <f t="shared" si="33"/>
        <v>3.078E-3</v>
      </c>
      <c r="BG88" s="58">
        <f t="shared" si="33"/>
        <v>3.2719999999999997E-3</v>
      </c>
      <c r="BH88" s="58">
        <f t="shared" si="33"/>
        <v>3.2910000000000001E-3</v>
      </c>
      <c r="BI88" s="58">
        <f t="shared" si="33"/>
        <v>4.1399999999999998E-4</v>
      </c>
      <c r="BJ88" s="58">
        <f t="shared" si="33"/>
        <v>4.6200000000000001E-4</v>
      </c>
      <c r="BK88" s="58">
        <f t="shared" si="33"/>
        <v>4.86E-4</v>
      </c>
      <c r="BL88" s="58">
        <f t="shared" si="33"/>
        <v>1.9519999999999999E-2</v>
      </c>
      <c r="BM88" s="58">
        <f t="shared" si="33"/>
        <v>3.251E-3</v>
      </c>
      <c r="BN88" s="58">
        <f t="shared" si="33"/>
        <v>1.0167800000000001E-3</v>
      </c>
      <c r="BO88" s="59">
        <v>1.01678</v>
      </c>
      <c r="BP88" s="59">
        <v>0.98682000000000003</v>
      </c>
      <c r="BQ88" s="58">
        <f t="shared" ref="BQ88:BR88" si="34">BQ8/1000</f>
        <v>8.6799999999999996E-4</v>
      </c>
      <c r="BR88" s="58">
        <f t="shared" si="34"/>
        <v>3.9060000000000002E-3</v>
      </c>
    </row>
    <row r="89" spans="1:70" ht="15.95" customHeight="1" x14ac:dyDescent="0.25">
      <c r="A89" s="58" t="s">
        <v>152</v>
      </c>
      <c r="B89" s="58">
        <f t="shared" ref="B89:G89" si="35">B9/1000</f>
        <v>0.749</v>
      </c>
      <c r="C89" s="58">
        <f t="shared" si="35"/>
        <v>1.548</v>
      </c>
      <c r="D89" s="58">
        <f t="shared" si="35"/>
        <v>1.5069999999999999</v>
      </c>
      <c r="E89" s="58">
        <f t="shared" si="35"/>
        <v>0.68240000000000001</v>
      </c>
      <c r="F89" s="58">
        <f t="shared" si="35"/>
        <v>1.4930000000000001</v>
      </c>
      <c r="G89" s="58">
        <f t="shared" si="35"/>
        <v>0.88120000000000009</v>
      </c>
      <c r="H89" s="59">
        <v>1.0884799999999999</v>
      </c>
      <c r="I89" s="59">
        <v>1.0165599999999999</v>
      </c>
      <c r="J89" s="58">
        <f t="shared" ref="J89:T89" si="36">J9/1000</f>
        <v>0.90720000000000001</v>
      </c>
      <c r="K89" s="58">
        <f t="shared" si="36"/>
        <v>0.72539999999999993</v>
      </c>
      <c r="L89" s="58">
        <f t="shared" si="36"/>
        <v>0.6714</v>
      </c>
      <c r="M89" s="58">
        <f t="shared" si="36"/>
        <v>1.486E-2</v>
      </c>
      <c r="N89" s="58">
        <f t="shared" si="36"/>
        <v>0.14069999999999999</v>
      </c>
      <c r="O89" s="58">
        <f t="shared" si="36"/>
        <v>1.6559999999999999</v>
      </c>
      <c r="P89" s="58">
        <f t="shared" si="36"/>
        <v>1.3380000000000001E-2</v>
      </c>
      <c r="Q89" s="58">
        <f t="shared" si="36"/>
        <v>1.4320000000000001E-2</v>
      </c>
      <c r="R89" s="58">
        <f t="shared" si="36"/>
        <v>1.4070000000000001E-2</v>
      </c>
      <c r="S89" s="58">
        <f t="shared" si="36"/>
        <v>1.3689999999999999E-2</v>
      </c>
      <c r="T89" s="58">
        <f t="shared" si="36"/>
        <v>4.4900000000000001E-3</v>
      </c>
      <c r="U89" s="59">
        <v>1.07524</v>
      </c>
      <c r="V89" s="59">
        <v>1.0000100000000001</v>
      </c>
      <c r="W89" s="58">
        <f t="shared" ref="W89:Z89" si="37">W9/1000</f>
        <v>6.4599999999999996E-3</v>
      </c>
      <c r="X89" s="58">
        <f t="shared" si="37"/>
        <v>6.7019999999999996E-3</v>
      </c>
      <c r="Y89" s="58">
        <f t="shared" si="37"/>
        <v>3.3340000000000002E-2</v>
      </c>
      <c r="Z89" s="58">
        <f t="shared" si="37"/>
        <v>1.3640000000000001E-2</v>
      </c>
      <c r="AA89" s="59">
        <v>1.0868800000000001</v>
      </c>
      <c r="AB89" s="59">
        <v>1.01698</v>
      </c>
      <c r="AC89" s="58">
        <f t="shared" ref="AC89:AI89" si="38">AC9/1000</f>
        <v>4.5590000000000006E-3</v>
      </c>
      <c r="AD89" s="58">
        <f t="shared" si="38"/>
        <v>1.418E-2</v>
      </c>
      <c r="AE89" s="58">
        <f t="shared" si="38"/>
        <v>1.0549999999999999E-3</v>
      </c>
      <c r="AF89" s="58">
        <f t="shared" si="38"/>
        <v>1.0629999999999999E-3</v>
      </c>
      <c r="AG89" s="58">
        <f t="shared" si="38"/>
        <v>8.4499999999999994E-4</v>
      </c>
      <c r="AH89" s="58">
        <f t="shared" si="38"/>
        <v>4.6170000000000003E-2</v>
      </c>
      <c r="AI89" s="58">
        <f t="shared" si="38"/>
        <v>1.366E-2</v>
      </c>
      <c r="AJ89" s="59">
        <v>1.06595</v>
      </c>
      <c r="AK89" s="59">
        <v>0.99863999999999997</v>
      </c>
      <c r="AL89" s="58">
        <f t="shared" ref="AL89:BN89" si="39">AM9/1000</f>
        <v>1.0069999999999999E-3</v>
      </c>
      <c r="AM89" s="58">
        <f t="shared" si="39"/>
        <v>1.0329999999999998E-3</v>
      </c>
      <c r="AN89" s="58">
        <f t="shared" si="39"/>
        <v>6.2220000000000001E-3</v>
      </c>
      <c r="AO89" s="58">
        <f t="shared" si="39"/>
        <v>6.1630000000000004E-2</v>
      </c>
      <c r="AP89" s="58">
        <f t="shared" si="39"/>
        <v>6.1280000000000001E-2</v>
      </c>
      <c r="AQ89" s="58">
        <f t="shared" si="39"/>
        <v>1.7960000000000001E-3</v>
      </c>
      <c r="AR89" s="58">
        <f t="shared" si="39"/>
        <v>1.7780000000000001E-3</v>
      </c>
      <c r="AS89" s="58">
        <f t="shared" si="39"/>
        <v>1.7900000000000001E-3</v>
      </c>
      <c r="AT89" s="58">
        <f t="shared" si="39"/>
        <v>1.7809999999999998E-3</v>
      </c>
      <c r="AU89" s="58">
        <f t="shared" si="39"/>
        <v>1.7780000000000001E-3</v>
      </c>
      <c r="AV89" s="58">
        <f t="shared" si="39"/>
        <v>1.7629999999999998E-3</v>
      </c>
      <c r="AW89" s="58">
        <f t="shared" si="39"/>
        <v>1.7520000000000001E-3</v>
      </c>
      <c r="AX89" s="58">
        <f t="shared" si="39"/>
        <v>1.768E-3</v>
      </c>
      <c r="AY89" s="58">
        <f t="shared" si="39"/>
        <v>1.7539999999999999E-3</v>
      </c>
      <c r="AZ89" s="58">
        <f t="shared" si="39"/>
        <v>1.7749999999999999E-3</v>
      </c>
      <c r="BA89" s="58">
        <f t="shared" si="39"/>
        <v>1.751E-3</v>
      </c>
      <c r="BB89" s="58">
        <f t="shared" si="39"/>
        <v>1.769E-3</v>
      </c>
      <c r="BC89" s="58">
        <f t="shared" si="39"/>
        <v>1.7549999999999998E-3</v>
      </c>
      <c r="BD89" s="58">
        <f t="shared" si="39"/>
        <v>1.784E-3</v>
      </c>
      <c r="BE89" s="58">
        <f t="shared" si="39"/>
        <v>9.7900000000000005E-4</v>
      </c>
      <c r="BF89" s="58">
        <f t="shared" si="39"/>
        <v>6.4029999999999998E-3</v>
      </c>
      <c r="BG89" s="58">
        <f t="shared" si="39"/>
        <v>6.6509999999999998E-3</v>
      </c>
      <c r="BH89" s="58">
        <f t="shared" si="39"/>
        <v>6.6969999999999998E-3</v>
      </c>
      <c r="BI89" s="58">
        <f t="shared" si="39"/>
        <v>8.1499999999999997E-4</v>
      </c>
      <c r="BJ89" s="58">
        <f t="shared" si="39"/>
        <v>9.1100000000000003E-4</v>
      </c>
      <c r="BK89" s="58">
        <f t="shared" si="39"/>
        <v>8.7399999999999999E-4</v>
      </c>
      <c r="BL89" s="58">
        <f t="shared" si="39"/>
        <v>3.9469999999999998E-2</v>
      </c>
      <c r="BM89" s="58">
        <f t="shared" si="39"/>
        <v>6.679E-3</v>
      </c>
      <c r="BN89" s="58">
        <f t="shared" si="39"/>
        <v>1.0284599999999999E-3</v>
      </c>
      <c r="BO89" s="59">
        <v>1.0284599999999999</v>
      </c>
      <c r="BP89" s="59">
        <v>0.98087000000000002</v>
      </c>
      <c r="BQ89" s="58">
        <f t="shared" ref="BQ89:BR89" si="40">BQ9/1000</f>
        <v>1.771E-3</v>
      </c>
      <c r="BR89" s="58">
        <f t="shared" si="40"/>
        <v>7.9520000000000007E-3</v>
      </c>
    </row>
    <row r="90" spans="1:70" ht="15.95" customHeight="1" x14ac:dyDescent="0.25">
      <c r="A90" s="58" t="s">
        <v>153</v>
      </c>
      <c r="B90" s="58">
        <f t="shared" ref="B90:G90" si="41">B10/1000</f>
        <v>6.4279999999999999</v>
      </c>
      <c r="C90" s="58">
        <f t="shared" si="41"/>
        <v>13.63</v>
      </c>
      <c r="D90" s="58">
        <f t="shared" si="41"/>
        <v>13.18</v>
      </c>
      <c r="E90" s="58">
        <f t="shared" si="41"/>
        <v>6.4630000000000001</v>
      </c>
      <c r="F90" s="58">
        <f t="shared" si="41"/>
        <v>13.25</v>
      </c>
      <c r="G90" s="58">
        <f t="shared" si="41"/>
        <v>8.1549999999999994</v>
      </c>
      <c r="H90" s="59">
        <v>1.2299</v>
      </c>
      <c r="I90" s="59">
        <v>1.1201300000000001</v>
      </c>
      <c r="J90" s="58">
        <f t="shared" ref="J90:T90" si="42">J10/1000</f>
        <v>8.1530000000000005</v>
      </c>
      <c r="K90" s="58">
        <f t="shared" si="42"/>
        <v>6.4770000000000003</v>
      </c>
      <c r="L90" s="58">
        <f t="shared" si="42"/>
        <v>6.484</v>
      </c>
      <c r="M90" s="58">
        <f t="shared" si="42"/>
        <v>0.13200000000000001</v>
      </c>
      <c r="N90" s="58">
        <f t="shared" si="42"/>
        <v>1.2849999999999999</v>
      </c>
      <c r="O90" s="58">
        <f t="shared" si="42"/>
        <v>14.27</v>
      </c>
      <c r="P90" s="58">
        <f t="shared" si="42"/>
        <v>0.13119999999999998</v>
      </c>
      <c r="Q90" s="58">
        <f t="shared" si="42"/>
        <v>0.13169999999999998</v>
      </c>
      <c r="R90" s="58">
        <f t="shared" si="42"/>
        <v>0.13190000000000002</v>
      </c>
      <c r="S90" s="58">
        <f t="shared" si="42"/>
        <v>0.13250000000000001</v>
      </c>
      <c r="T90" s="58">
        <f t="shared" si="42"/>
        <v>4.2659999999999997E-2</v>
      </c>
      <c r="U90" s="59">
        <v>1.1010599999999999</v>
      </c>
      <c r="V90" s="59">
        <v>1.0179800000000001</v>
      </c>
      <c r="W90" s="58">
        <f t="shared" ref="W90:Z90" si="43">W10/1000</f>
        <v>6.3090000000000007E-2</v>
      </c>
      <c r="X90" s="58">
        <f t="shared" si="43"/>
        <v>6.3060000000000005E-2</v>
      </c>
      <c r="Y90" s="58">
        <f t="shared" si="43"/>
        <v>0.32200000000000001</v>
      </c>
      <c r="Z90" s="58">
        <f t="shared" si="43"/>
        <v>0.1293</v>
      </c>
      <c r="AA90" s="59">
        <v>1.2475099999999999</v>
      </c>
      <c r="AB90" s="59">
        <v>1.1266700000000001</v>
      </c>
      <c r="AC90" s="58">
        <f t="shared" ref="AC90:AI90" si="44">AC10/1000</f>
        <v>4.1659999999999996E-2</v>
      </c>
      <c r="AD90" s="58">
        <f t="shared" si="44"/>
        <v>0.12990000000000002</v>
      </c>
      <c r="AE90" s="58">
        <f t="shared" si="44"/>
        <v>9.9039999999999996E-3</v>
      </c>
      <c r="AF90" s="58">
        <f t="shared" si="44"/>
        <v>9.9030000000000003E-3</v>
      </c>
      <c r="AG90" s="58">
        <f t="shared" si="44"/>
        <v>9.9299999999999996E-3</v>
      </c>
      <c r="AH90" s="58">
        <f t="shared" si="44"/>
        <v>0.4078</v>
      </c>
      <c r="AI90" s="58">
        <f t="shared" si="44"/>
        <v>0.13159999999999999</v>
      </c>
      <c r="AJ90" s="59">
        <v>1.09144</v>
      </c>
      <c r="AK90" s="59">
        <v>0.99773999999999996</v>
      </c>
      <c r="AL90" s="58">
        <f t="shared" ref="AL90:BN90" si="45">AM10/1000</f>
        <v>9.9100000000000004E-3</v>
      </c>
      <c r="AM90" s="58">
        <f t="shared" si="45"/>
        <v>9.9049999999999989E-3</v>
      </c>
      <c r="AN90" s="58">
        <f t="shared" si="45"/>
        <v>6.3409999999999994E-2</v>
      </c>
      <c r="AO90" s="58">
        <f t="shared" si="45"/>
        <v>0.64910000000000001</v>
      </c>
      <c r="AP90" s="58">
        <f t="shared" si="45"/>
        <v>0.64910000000000001</v>
      </c>
      <c r="AQ90" s="58">
        <f t="shared" si="45"/>
        <v>1.7680000000000001E-2</v>
      </c>
      <c r="AR90" s="58">
        <f t="shared" si="45"/>
        <v>1.7680000000000001E-2</v>
      </c>
      <c r="AS90" s="58">
        <f t="shared" si="45"/>
        <v>1.7680000000000001E-2</v>
      </c>
      <c r="AT90" s="58">
        <f t="shared" si="45"/>
        <v>1.7680000000000001E-2</v>
      </c>
      <c r="AU90" s="58">
        <f t="shared" si="45"/>
        <v>1.7680000000000001E-2</v>
      </c>
      <c r="AV90" s="58">
        <f t="shared" si="45"/>
        <v>1.7690000000000001E-2</v>
      </c>
      <c r="AW90" s="58">
        <f t="shared" si="45"/>
        <v>1.7690000000000001E-2</v>
      </c>
      <c r="AX90" s="58">
        <f t="shared" si="45"/>
        <v>1.7690000000000001E-2</v>
      </c>
      <c r="AY90" s="58">
        <f t="shared" si="45"/>
        <v>1.7690000000000001E-2</v>
      </c>
      <c r="AZ90" s="58">
        <f t="shared" si="45"/>
        <v>1.7690000000000001E-2</v>
      </c>
      <c r="BA90" s="58">
        <f t="shared" si="45"/>
        <v>1.7690000000000001E-2</v>
      </c>
      <c r="BB90" s="58">
        <f t="shared" si="45"/>
        <v>1.7690000000000001E-2</v>
      </c>
      <c r="BC90" s="58">
        <f t="shared" si="45"/>
        <v>1.7690000000000001E-2</v>
      </c>
      <c r="BD90" s="58">
        <f t="shared" si="45"/>
        <v>1.7680000000000001E-2</v>
      </c>
      <c r="BE90" s="58">
        <f t="shared" si="45"/>
        <v>9.9129999999999999E-3</v>
      </c>
      <c r="BF90" s="58">
        <f t="shared" si="45"/>
        <v>6.5019999999999994E-2</v>
      </c>
      <c r="BG90" s="58">
        <f t="shared" si="45"/>
        <v>6.6450000000000009E-2</v>
      </c>
      <c r="BH90" s="58">
        <f t="shared" si="45"/>
        <v>6.6450000000000009E-2</v>
      </c>
      <c r="BI90" s="58">
        <f t="shared" si="45"/>
        <v>9.9329999999999991E-3</v>
      </c>
      <c r="BJ90" s="58">
        <f t="shared" si="45"/>
        <v>9.9209999999999993E-3</v>
      </c>
      <c r="BK90" s="58">
        <f t="shared" si="45"/>
        <v>9.9239999999999988E-3</v>
      </c>
      <c r="BL90" s="58">
        <f t="shared" si="45"/>
        <v>0.4219</v>
      </c>
      <c r="BM90" s="58">
        <f t="shared" si="45"/>
        <v>6.5340000000000009E-2</v>
      </c>
      <c r="BN90" s="58">
        <f t="shared" si="45"/>
        <v>1.0230699999999998E-3</v>
      </c>
      <c r="BO90" s="59">
        <v>1.0230699999999999</v>
      </c>
      <c r="BP90" s="59">
        <v>0.98233999999999999</v>
      </c>
      <c r="BQ90" s="58">
        <f t="shared" ref="BQ90:BR90" si="46">BQ10/1000</f>
        <v>1.7690000000000001E-2</v>
      </c>
      <c r="BR90" s="58">
        <f t="shared" si="46"/>
        <v>8.3599999999999994E-2</v>
      </c>
    </row>
    <row r="91" spans="1:70" ht="15.95" customHeight="1" x14ac:dyDescent="0.25">
      <c r="A91" s="58" t="s">
        <v>70</v>
      </c>
      <c r="B91" s="58">
        <f t="shared" ref="B91:G91" si="47">B11/1000</f>
        <v>3.88E-4</v>
      </c>
      <c r="C91" s="58">
        <f t="shared" si="47"/>
        <v>6.0000000000000002E-6</v>
      </c>
      <c r="D91" s="58">
        <f t="shared" si="47"/>
        <v>-7.1999999999999988E-5</v>
      </c>
      <c r="E91" s="58">
        <f t="shared" si="47"/>
        <v>-3.581E-3</v>
      </c>
      <c r="F91" s="58">
        <f t="shared" si="47"/>
        <v>-4.0990000000000002E-3</v>
      </c>
      <c r="G91" s="58">
        <f t="shared" si="47"/>
        <v>-1.542E-3</v>
      </c>
      <c r="H91" s="59">
        <v>1.09579</v>
      </c>
      <c r="I91" s="59">
        <v>1.03287</v>
      </c>
      <c r="J91" s="58">
        <f t="shared" ref="J91:T91" si="48">J11/1000</f>
        <v>2.0000000000000002E-5</v>
      </c>
      <c r="K91" s="58">
        <f t="shared" si="48"/>
        <v>2.5900000000000001E-4</v>
      </c>
      <c r="L91" s="58">
        <f t="shared" si="48"/>
        <v>-2.9999999999999997E-5</v>
      </c>
      <c r="M91" s="58">
        <f t="shared" si="48"/>
        <v>-1.0000000000000001E-5</v>
      </c>
      <c r="N91" s="58">
        <f t="shared" si="48"/>
        <v>-5.0000000000000002E-5</v>
      </c>
      <c r="O91" s="58">
        <f t="shared" si="48"/>
        <v>1.7799999999999999E-4</v>
      </c>
      <c r="P91" s="58">
        <f t="shared" si="48"/>
        <v>-9.9999999999999995E-7</v>
      </c>
      <c r="Q91" s="58">
        <f t="shared" si="48"/>
        <v>-9.9999999999999995E-7</v>
      </c>
      <c r="R91" s="58">
        <f t="shared" si="48"/>
        <v>-1.9999999999999999E-6</v>
      </c>
      <c r="S91" s="58">
        <f t="shared" si="48"/>
        <v>-4.4169999999999999E-3</v>
      </c>
      <c r="T91" s="58">
        <f t="shared" si="48"/>
        <v>0</v>
      </c>
      <c r="U91" s="59">
        <v>1.1077900000000001</v>
      </c>
      <c r="V91" s="59">
        <v>1.01139</v>
      </c>
      <c r="W91" s="58">
        <f t="shared" ref="W91:Z91" si="49">W11/1000</f>
        <v>1.1E-5</v>
      </c>
      <c r="X91" s="58">
        <f t="shared" si="49"/>
        <v>-8.2000000000000001E-5</v>
      </c>
      <c r="Y91" s="58">
        <f t="shared" si="49"/>
        <v>1.9000000000000001E-5</v>
      </c>
      <c r="Z91" s="58">
        <f t="shared" si="49"/>
        <v>-1.2E-5</v>
      </c>
      <c r="AA91" s="59">
        <v>1.1150899999999999</v>
      </c>
      <c r="AB91" s="59">
        <v>1.0272300000000001</v>
      </c>
      <c r="AC91" s="58">
        <f t="shared" ref="AC91:AI91" si="50">AC11/1000</f>
        <v>9.9999999999999995E-7</v>
      </c>
      <c r="AD91" s="58">
        <f t="shared" si="50"/>
        <v>4.7699999999999999E-4</v>
      </c>
      <c r="AE91" s="58">
        <f t="shared" si="50"/>
        <v>0</v>
      </c>
      <c r="AF91" s="58">
        <f t="shared" si="50"/>
        <v>0</v>
      </c>
      <c r="AG91" s="58">
        <f t="shared" si="50"/>
        <v>9.9999999999999995E-7</v>
      </c>
      <c r="AH91" s="58">
        <f t="shared" si="50"/>
        <v>5.0229999999999997E-3</v>
      </c>
      <c r="AI91" s="58">
        <f t="shared" si="50"/>
        <v>9.9999999999999995E-7</v>
      </c>
      <c r="AJ91" s="59">
        <v>1.07751</v>
      </c>
      <c r="AK91" s="59">
        <v>1.0266200000000001</v>
      </c>
      <c r="AL91" s="58">
        <f t="shared" ref="AL91:BN91" si="51">AM11/1000</f>
        <v>0</v>
      </c>
      <c r="AM91" s="58">
        <f t="shared" si="51"/>
        <v>9.9999999999999995E-7</v>
      </c>
      <c r="AN91" s="58">
        <f t="shared" si="51"/>
        <v>3.0000000000000001E-6</v>
      </c>
      <c r="AO91" s="58">
        <f t="shared" si="51"/>
        <v>3.9999999999999998E-6</v>
      </c>
      <c r="AP91" s="58">
        <f t="shared" si="51"/>
        <v>3.9999999999999998E-6</v>
      </c>
      <c r="AQ91" s="58">
        <f t="shared" si="51"/>
        <v>0</v>
      </c>
      <c r="AR91" s="58">
        <f t="shared" si="51"/>
        <v>-1.2999999999999999E-5</v>
      </c>
      <c r="AS91" s="58">
        <f t="shared" si="51"/>
        <v>0</v>
      </c>
      <c r="AT91" s="58">
        <f t="shared" si="51"/>
        <v>0</v>
      </c>
      <c r="AU91" s="58">
        <f t="shared" si="51"/>
        <v>0</v>
      </c>
      <c r="AV91" s="58">
        <f t="shared" si="51"/>
        <v>0</v>
      </c>
      <c r="AW91" s="58">
        <f t="shared" si="51"/>
        <v>0</v>
      </c>
      <c r="AX91" s="58">
        <f t="shared" si="51"/>
        <v>0</v>
      </c>
      <c r="AY91" s="58">
        <f t="shared" si="51"/>
        <v>0</v>
      </c>
      <c r="AZ91" s="58">
        <f t="shared" si="51"/>
        <v>0</v>
      </c>
      <c r="BA91" s="58">
        <f t="shared" si="51"/>
        <v>0</v>
      </c>
      <c r="BB91" s="58">
        <f t="shared" si="51"/>
        <v>0</v>
      </c>
      <c r="BC91" s="58">
        <f t="shared" si="51"/>
        <v>0</v>
      </c>
      <c r="BD91" s="58">
        <f t="shared" si="51"/>
        <v>0</v>
      </c>
      <c r="BE91" s="58">
        <f t="shared" si="51"/>
        <v>0</v>
      </c>
      <c r="BF91" s="58">
        <f t="shared" si="51"/>
        <v>7.4999999999999993E-5</v>
      </c>
      <c r="BG91" s="58">
        <f t="shared" si="51"/>
        <v>9.9999999999999995E-7</v>
      </c>
      <c r="BH91" s="58">
        <f t="shared" si="51"/>
        <v>9.9999999999999995E-7</v>
      </c>
      <c r="BI91" s="58">
        <f t="shared" si="51"/>
        <v>9.9999999999999995E-7</v>
      </c>
      <c r="BJ91" s="58">
        <f t="shared" si="51"/>
        <v>9.9999999999999995E-7</v>
      </c>
      <c r="BK91" s="58">
        <f t="shared" si="51"/>
        <v>1.4999999999999999E-5</v>
      </c>
      <c r="BL91" s="58">
        <f t="shared" si="51"/>
        <v>6.0000000000000002E-6</v>
      </c>
      <c r="BM91" s="58">
        <f t="shared" si="51"/>
        <v>1.9999999999999999E-6</v>
      </c>
      <c r="BN91" s="58">
        <f t="shared" si="51"/>
        <v>1.0379300000000001E-3</v>
      </c>
      <c r="BO91" s="59">
        <v>1.03793</v>
      </c>
      <c r="BP91" s="59">
        <v>1.0175000000000001</v>
      </c>
      <c r="BQ91" s="58">
        <f t="shared" ref="BQ91:BR91" si="52">BQ11/1000</f>
        <v>0</v>
      </c>
      <c r="BR91" s="58">
        <f t="shared" si="52"/>
        <v>1.9999999999999999E-6</v>
      </c>
    </row>
    <row r="92" spans="1:70" ht="15.95" customHeight="1" x14ac:dyDescent="0.25">
      <c r="A92" s="58" t="s">
        <v>71</v>
      </c>
      <c r="B92" s="58">
        <f t="shared" ref="B92:G92" si="53">B12/1000</f>
        <v>0.37330000000000002</v>
      </c>
      <c r="C92" s="58">
        <f t="shared" si="53"/>
        <v>0.75660000000000005</v>
      </c>
      <c r="D92" s="58">
        <f t="shared" si="53"/>
        <v>0.75539999999999996</v>
      </c>
      <c r="E92" s="58">
        <f t="shared" si="53"/>
        <v>0.32419999999999999</v>
      </c>
      <c r="F92" s="58">
        <f t="shared" si="53"/>
        <v>0.73539999999999994</v>
      </c>
      <c r="G92" s="58">
        <f t="shared" si="53"/>
        <v>0.43919999999999998</v>
      </c>
      <c r="H92" s="59">
        <v>1.1596599999999999</v>
      </c>
      <c r="I92" s="59">
        <v>1.0988899999999999</v>
      </c>
      <c r="J92" s="58">
        <f t="shared" ref="J92:T92" si="54">J12/1000</f>
        <v>0.44800000000000001</v>
      </c>
      <c r="K92" s="58">
        <f t="shared" si="54"/>
        <v>0.35719999999999996</v>
      </c>
      <c r="L92" s="58">
        <f t="shared" si="54"/>
        <v>0.31710000000000005</v>
      </c>
      <c r="M92" s="58">
        <f t="shared" si="54"/>
        <v>7.0039999999999998E-3</v>
      </c>
      <c r="N92" s="58">
        <f t="shared" si="54"/>
        <v>6.13E-2</v>
      </c>
      <c r="O92" s="58">
        <f t="shared" si="54"/>
        <v>0.85580000000000001</v>
      </c>
      <c r="P92" s="58">
        <f t="shared" si="54"/>
        <v>6.4189999999999994E-3</v>
      </c>
      <c r="Q92" s="58">
        <f t="shared" si="54"/>
        <v>6.9690000000000004E-3</v>
      </c>
      <c r="R92" s="58">
        <f t="shared" si="54"/>
        <v>6.8550000000000008E-3</v>
      </c>
      <c r="S92" s="58">
        <f t="shared" si="54"/>
        <v>9.4909999999999994E-3</v>
      </c>
      <c r="T92" s="58">
        <f t="shared" si="54"/>
        <v>2.1930000000000001E-3</v>
      </c>
      <c r="U92" s="59">
        <v>1.1736599999999999</v>
      </c>
      <c r="V92" s="59">
        <v>1.03545</v>
      </c>
      <c r="W92" s="58">
        <f t="shared" ref="W92:Z92" si="55">W12/1000</f>
        <v>3.0219999999999999E-3</v>
      </c>
      <c r="X92" s="58">
        <f t="shared" si="55"/>
        <v>3.1329999999999999E-3</v>
      </c>
      <c r="Y92" s="58">
        <f t="shared" si="55"/>
        <v>1.575E-2</v>
      </c>
      <c r="Z92" s="58">
        <f t="shared" si="55"/>
        <v>6.3659999999999993E-3</v>
      </c>
      <c r="AA92" s="59">
        <v>1.1882999999999999</v>
      </c>
      <c r="AB92" s="59">
        <v>1.1008500000000001</v>
      </c>
      <c r="AC92" s="58">
        <f t="shared" ref="AC92:AI92" si="56">AC12/1000</f>
        <v>2.1289999999999998E-3</v>
      </c>
      <c r="AD92" s="58">
        <f t="shared" si="56"/>
        <v>6.6299999999999996E-3</v>
      </c>
      <c r="AE92" s="58">
        <f t="shared" si="56"/>
        <v>4.9299999999999995E-4</v>
      </c>
      <c r="AF92" s="58">
        <f t="shared" si="56"/>
        <v>5.0500000000000002E-4</v>
      </c>
      <c r="AG92" s="58">
        <f t="shared" si="56"/>
        <v>3.9800000000000002E-4</v>
      </c>
      <c r="AH92" s="58">
        <f t="shared" si="56"/>
        <v>1.8010000000000002E-2</v>
      </c>
      <c r="AI92" s="58">
        <f t="shared" si="56"/>
        <v>6.4099999999999999E-3</v>
      </c>
      <c r="AJ92" s="59">
        <v>1.11551</v>
      </c>
      <c r="AK92" s="59">
        <v>1.08199</v>
      </c>
      <c r="AL92" s="58">
        <f t="shared" ref="AL92:BN92" si="57">AM12/1000</f>
        <v>4.6300000000000003E-4</v>
      </c>
      <c r="AM92" s="58">
        <f t="shared" si="57"/>
        <v>4.75E-4</v>
      </c>
      <c r="AN92" s="58">
        <f t="shared" si="57"/>
        <v>2.8879999999999999E-3</v>
      </c>
      <c r="AO92" s="58">
        <f t="shared" si="57"/>
        <v>2.8369999999999999E-2</v>
      </c>
      <c r="AP92" s="58">
        <f t="shared" si="57"/>
        <v>2.8459999999999999E-2</v>
      </c>
      <c r="AQ92" s="58">
        <f t="shared" si="57"/>
        <v>8.3699999999999996E-4</v>
      </c>
      <c r="AR92" s="58">
        <f t="shared" si="57"/>
        <v>8.1299999999999992E-4</v>
      </c>
      <c r="AS92" s="58">
        <f t="shared" si="57"/>
        <v>8.1699999999999991E-4</v>
      </c>
      <c r="AT92" s="58">
        <f t="shared" si="57"/>
        <v>8.1499999999999997E-4</v>
      </c>
      <c r="AU92" s="58">
        <f t="shared" si="57"/>
        <v>8.1399999999999994E-4</v>
      </c>
      <c r="AV92" s="58">
        <f t="shared" si="57"/>
        <v>8.070000000000001E-4</v>
      </c>
      <c r="AW92" s="58">
        <f t="shared" si="57"/>
        <v>8.1299999999999992E-4</v>
      </c>
      <c r="AX92" s="58">
        <f t="shared" si="57"/>
        <v>8.1499999999999997E-4</v>
      </c>
      <c r="AY92" s="58">
        <f t="shared" si="57"/>
        <v>8.070000000000001E-4</v>
      </c>
      <c r="AZ92" s="58">
        <f t="shared" si="57"/>
        <v>8.1499999999999997E-4</v>
      </c>
      <c r="BA92" s="58">
        <f t="shared" si="57"/>
        <v>8.0000000000000004E-4</v>
      </c>
      <c r="BB92" s="58">
        <f t="shared" si="57"/>
        <v>8.0900000000000004E-4</v>
      </c>
      <c r="BC92" s="58">
        <f t="shared" si="57"/>
        <v>8.0400000000000003E-4</v>
      </c>
      <c r="BD92" s="58">
        <f t="shared" si="57"/>
        <v>8.070000000000001E-4</v>
      </c>
      <c r="BE92" s="58">
        <f t="shared" si="57"/>
        <v>4.44E-4</v>
      </c>
      <c r="BF92" s="58">
        <f t="shared" si="57"/>
        <v>2.8830000000000001E-3</v>
      </c>
      <c r="BG92" s="58">
        <f t="shared" si="57"/>
        <v>3.0439999999999998E-3</v>
      </c>
      <c r="BH92" s="58">
        <f t="shared" si="57"/>
        <v>3.1440000000000001E-3</v>
      </c>
      <c r="BI92" s="58">
        <f t="shared" si="57"/>
        <v>3.8700000000000003E-4</v>
      </c>
      <c r="BJ92" s="58">
        <f t="shared" si="57"/>
        <v>4.2999999999999999E-4</v>
      </c>
      <c r="BK92" s="58">
        <f t="shared" si="57"/>
        <v>4.6999999999999999E-4</v>
      </c>
      <c r="BL92" s="58">
        <f t="shared" si="57"/>
        <v>1.8710000000000001E-2</v>
      </c>
      <c r="BM92" s="58">
        <f t="shared" si="57"/>
        <v>3.032E-3</v>
      </c>
      <c r="BN92" s="58">
        <f t="shared" si="57"/>
        <v>1.0449600000000002E-3</v>
      </c>
      <c r="BO92" s="59">
        <v>1.0449600000000001</v>
      </c>
      <c r="BP92" s="59">
        <v>1.06159</v>
      </c>
      <c r="BQ92" s="58">
        <f t="shared" ref="BQ92:BR92" si="58">BQ12/1000</f>
        <v>8.2799999999999996E-4</v>
      </c>
      <c r="BR92" s="58">
        <f t="shared" si="58"/>
        <v>3.5819999999999997E-3</v>
      </c>
    </row>
    <row r="93" spans="1:70" ht="15.95" customHeight="1" x14ac:dyDescent="0.25">
      <c r="A93" s="58" t="s">
        <v>72</v>
      </c>
      <c r="B93" s="58">
        <f t="shared" ref="B93:G93" si="59">B13/1000</f>
        <v>0.32850000000000001</v>
      </c>
      <c r="C93" s="58">
        <f t="shared" si="59"/>
        <v>5.7990000000000004</v>
      </c>
      <c r="D93" s="58">
        <f t="shared" si="59"/>
        <v>0.33910000000000001</v>
      </c>
      <c r="E93" s="58">
        <f t="shared" si="59"/>
        <v>2.7480000000000002</v>
      </c>
      <c r="F93" s="58">
        <f t="shared" si="59"/>
        <v>42.72</v>
      </c>
      <c r="G93" s="58">
        <f t="shared" si="59"/>
        <v>54.26</v>
      </c>
      <c r="H93" s="59">
        <v>1.2986899999999999</v>
      </c>
      <c r="I93" s="59">
        <v>1.1355999999999999</v>
      </c>
      <c r="J93" s="58">
        <f t="shared" ref="J93:T93" si="60">J13/1000</f>
        <v>0.29070000000000001</v>
      </c>
      <c r="K93" s="58">
        <f t="shared" si="60"/>
        <v>1.3089999999999999E-2</v>
      </c>
      <c r="L93" s="58">
        <f t="shared" si="60"/>
        <v>2.5649999999999999E-2</v>
      </c>
      <c r="M93" s="58">
        <f t="shared" si="60"/>
        <v>3.1680000000000002E-3</v>
      </c>
      <c r="N93" s="58">
        <f t="shared" si="60"/>
        <v>0.1022</v>
      </c>
      <c r="O93" s="58">
        <f t="shared" si="60"/>
        <v>0.39900000000000002</v>
      </c>
      <c r="P93" s="58">
        <f t="shared" si="60"/>
        <v>2.8000000000000003E-4</v>
      </c>
      <c r="Q93" s="58">
        <f t="shared" si="60"/>
        <v>3.4380000000000001E-3</v>
      </c>
      <c r="R93" s="58">
        <f t="shared" si="60"/>
        <v>4.7329999999999997E-2</v>
      </c>
      <c r="S93" s="58">
        <f t="shared" si="60"/>
        <v>5.2749999999999998E-2</v>
      </c>
      <c r="T93" s="58">
        <f t="shared" si="60"/>
        <v>1.0560000000000001E-3</v>
      </c>
      <c r="U93" s="59">
        <v>1.1798900000000001</v>
      </c>
      <c r="V93" s="59">
        <v>1.01115</v>
      </c>
      <c r="W93" s="58">
        <f t="shared" ref="W93:Z93" si="61">W13/1000</f>
        <v>1.84E-4</v>
      </c>
      <c r="X93" s="58">
        <f t="shared" si="61"/>
        <v>1.065E-2</v>
      </c>
      <c r="Y93" s="58">
        <f t="shared" si="61"/>
        <v>2.461E-2</v>
      </c>
      <c r="Z93" s="58">
        <f t="shared" si="61"/>
        <v>0.22359999999999999</v>
      </c>
      <c r="AA93" s="59">
        <v>1.2782800000000001</v>
      </c>
      <c r="AB93" s="59">
        <v>1.1553</v>
      </c>
      <c r="AC93" s="58">
        <f t="shared" ref="AC93:AI93" si="62">AC13/1000</f>
        <v>5.7000000000000003E-5</v>
      </c>
      <c r="AD93" s="58">
        <f t="shared" si="62"/>
        <v>1.121E-3</v>
      </c>
      <c r="AE93" s="58">
        <f t="shared" si="62"/>
        <v>9.9999999999999995E-7</v>
      </c>
      <c r="AF93" s="58">
        <f t="shared" si="62"/>
        <v>3.9999999999999998E-6</v>
      </c>
      <c r="AG93" s="58">
        <f t="shared" si="62"/>
        <v>6.3E-5</v>
      </c>
      <c r="AH93" s="58">
        <f t="shared" si="62"/>
        <v>8.5700000000000001E-4</v>
      </c>
      <c r="AI93" s="58">
        <f t="shared" si="62"/>
        <v>2.8000000000000003E-4</v>
      </c>
      <c r="AJ93" s="59">
        <v>1.1836</v>
      </c>
      <c r="AK93" s="59">
        <v>1.12391</v>
      </c>
      <c r="AL93" s="58">
        <f t="shared" ref="AL93:BN93" si="63">AM13/1000</f>
        <v>4.2000000000000004E-5</v>
      </c>
      <c r="AM93" s="58">
        <f t="shared" si="63"/>
        <v>9.9999999999999995E-7</v>
      </c>
      <c r="AN93" s="58">
        <f t="shared" si="63"/>
        <v>3.8400000000000001E-4</v>
      </c>
      <c r="AO93" s="58">
        <f t="shared" si="63"/>
        <v>2.7269999999999999E-2</v>
      </c>
      <c r="AP93" s="58">
        <f t="shared" si="63"/>
        <v>2.734E-2</v>
      </c>
      <c r="AQ93" s="58">
        <f t="shared" si="63"/>
        <v>3.57E-4</v>
      </c>
      <c r="AR93" s="58">
        <f t="shared" si="63"/>
        <v>6.730000000000001E-4</v>
      </c>
      <c r="AS93" s="58">
        <f t="shared" si="63"/>
        <v>8.2000000000000001E-5</v>
      </c>
      <c r="AT93" s="58">
        <f t="shared" si="63"/>
        <v>3.01E-4</v>
      </c>
      <c r="AU93" s="58">
        <f t="shared" si="63"/>
        <v>5.5999999999999999E-5</v>
      </c>
      <c r="AV93" s="58">
        <f t="shared" si="63"/>
        <v>1.4E-5</v>
      </c>
      <c r="AW93" s="58">
        <f t="shared" si="63"/>
        <v>5.1E-5</v>
      </c>
      <c r="AX93" s="58">
        <f t="shared" si="63"/>
        <v>6.9999999999999999E-6</v>
      </c>
      <c r="AY93" s="58">
        <f t="shared" si="63"/>
        <v>3.6999999999999998E-5</v>
      </c>
      <c r="AZ93" s="58">
        <f t="shared" si="63"/>
        <v>6.9999999999999999E-6</v>
      </c>
      <c r="BA93" s="58">
        <f t="shared" si="63"/>
        <v>2.0000000000000002E-5</v>
      </c>
      <c r="BB93" s="58">
        <f t="shared" si="63"/>
        <v>3.0000000000000001E-6</v>
      </c>
      <c r="BC93" s="58">
        <f t="shared" si="63"/>
        <v>1.7999999999999997E-5</v>
      </c>
      <c r="BD93" s="58">
        <f t="shared" si="63"/>
        <v>3.0000000000000001E-6</v>
      </c>
      <c r="BE93" s="58">
        <f t="shared" si="63"/>
        <v>9.9999999999999995E-7</v>
      </c>
      <c r="BF93" s="58">
        <f t="shared" si="63"/>
        <v>1.6200000000000001E-4</v>
      </c>
      <c r="BG93" s="58">
        <f t="shared" si="63"/>
        <v>3.8299999999999999E-4</v>
      </c>
      <c r="BH93" s="58">
        <f t="shared" si="63"/>
        <v>3.9200000000000004E-4</v>
      </c>
      <c r="BI93" s="58">
        <f t="shared" si="63"/>
        <v>9.9999999999999995E-7</v>
      </c>
      <c r="BJ93" s="58">
        <f t="shared" si="63"/>
        <v>9.9999999999999995E-7</v>
      </c>
      <c r="BK93" s="58">
        <f t="shared" si="63"/>
        <v>1.8900000000000001E-4</v>
      </c>
      <c r="BL93" s="58">
        <f t="shared" si="63"/>
        <v>5.0000000000000004E-6</v>
      </c>
      <c r="BM93" s="58">
        <f t="shared" si="63"/>
        <v>1.8730000000000001E-3</v>
      </c>
      <c r="BN93" s="58">
        <f t="shared" si="63"/>
        <v>1.03579E-3</v>
      </c>
      <c r="BO93" s="59">
        <v>1.03579</v>
      </c>
      <c r="BP93" s="59">
        <v>1.04765</v>
      </c>
      <c r="BQ93" s="58">
        <f t="shared" ref="BQ93:BR93" si="64">BQ13/1000</f>
        <v>1.07E-4</v>
      </c>
      <c r="BR93" s="58">
        <f t="shared" si="64"/>
        <v>2.1000000000000002E-5</v>
      </c>
    </row>
    <row r="94" spans="1:70" ht="15.95" customHeight="1" x14ac:dyDescent="0.25">
      <c r="A94" s="58" t="s">
        <v>73</v>
      </c>
      <c r="B94" s="58">
        <f t="shared" ref="B94:G94" si="65">B14/1000</f>
        <v>0.20349999999999999</v>
      </c>
      <c r="C94" s="58">
        <f t="shared" si="65"/>
        <v>4.96</v>
      </c>
      <c r="D94" s="58">
        <f t="shared" si="65"/>
        <v>0.32380000000000003</v>
      </c>
      <c r="E94" s="58">
        <f t="shared" si="65"/>
        <v>3.4009999999999998</v>
      </c>
      <c r="F94" s="58">
        <f t="shared" si="65"/>
        <v>55.95</v>
      </c>
      <c r="G94" s="58">
        <f t="shared" si="65"/>
        <v>41.3</v>
      </c>
      <c r="H94" s="59">
        <v>1.2097899999999999</v>
      </c>
      <c r="I94" s="59">
        <v>1.09263</v>
      </c>
      <c r="J94" s="58">
        <f t="shared" ref="J94:T94" si="66">J14/1000</f>
        <v>0.22440000000000002</v>
      </c>
      <c r="K94" s="58">
        <f t="shared" si="66"/>
        <v>1.1380000000000001E-2</v>
      </c>
      <c r="L94" s="58">
        <f t="shared" si="66"/>
        <v>2.6780000000000002E-2</v>
      </c>
      <c r="M94" s="58">
        <f t="shared" si="66"/>
        <v>3.6059999999999998E-3</v>
      </c>
      <c r="N94" s="58">
        <f t="shared" si="66"/>
        <v>9.534999999999999E-2</v>
      </c>
      <c r="O94" s="58">
        <f t="shared" si="66"/>
        <v>0.38239999999999996</v>
      </c>
      <c r="P94" s="58">
        <f t="shared" si="66"/>
        <v>3.2299999999999999E-4</v>
      </c>
      <c r="Q94" s="58">
        <f t="shared" si="66"/>
        <v>2.3830000000000001E-3</v>
      </c>
      <c r="R94" s="58">
        <f t="shared" si="66"/>
        <v>2.3890000000000002E-2</v>
      </c>
      <c r="S94" s="58">
        <f t="shared" si="66"/>
        <v>1.078E-2</v>
      </c>
      <c r="T94" s="58">
        <f t="shared" si="66"/>
        <v>7.5100000000000004E-4</v>
      </c>
      <c r="U94" s="59">
        <v>1.1189499999999999</v>
      </c>
      <c r="V94" s="59">
        <v>0.98748000000000002</v>
      </c>
      <c r="W94" s="58">
        <f t="shared" ref="W94:Z94" si="67">W14/1000</f>
        <v>8.599999999999999E-5</v>
      </c>
      <c r="X94" s="58">
        <f t="shared" si="67"/>
        <v>1.294E-2</v>
      </c>
      <c r="Y94" s="58">
        <f t="shared" si="67"/>
        <v>2.3100000000000002E-2</v>
      </c>
      <c r="Z94" s="58">
        <f t="shared" si="67"/>
        <v>0.1118</v>
      </c>
      <c r="AA94" s="59">
        <v>1.20112</v>
      </c>
      <c r="AB94" s="59">
        <v>1.1119300000000001</v>
      </c>
      <c r="AC94" s="58">
        <f t="shared" ref="AC94:AI94" si="68">AC14/1000</f>
        <v>5.5999999999999999E-5</v>
      </c>
      <c r="AD94" s="58">
        <f t="shared" si="68"/>
        <v>9.2600000000000007E-4</v>
      </c>
      <c r="AE94" s="58">
        <f t="shared" si="68"/>
        <v>9.9999999999999995E-7</v>
      </c>
      <c r="AF94" s="58">
        <f t="shared" si="68"/>
        <v>3.0000000000000001E-6</v>
      </c>
      <c r="AG94" s="58">
        <f t="shared" si="68"/>
        <v>3.1999999999999999E-5</v>
      </c>
      <c r="AH94" s="58">
        <f t="shared" si="68"/>
        <v>2.3999999999999998E-4</v>
      </c>
      <c r="AI94" s="58">
        <f t="shared" si="68"/>
        <v>1.5900000000000002E-4</v>
      </c>
      <c r="AJ94" s="59">
        <v>1.1215299999999999</v>
      </c>
      <c r="AK94" s="59">
        <v>1.0903400000000001</v>
      </c>
      <c r="AL94" s="58">
        <f t="shared" ref="AL94:BN94" si="69">AM14/1000</f>
        <v>4.6999999999999997E-5</v>
      </c>
      <c r="AM94" s="58">
        <f t="shared" si="69"/>
        <v>3.0000000000000001E-6</v>
      </c>
      <c r="AN94" s="58">
        <f t="shared" si="69"/>
        <v>3.0899999999999998E-4</v>
      </c>
      <c r="AO94" s="58">
        <f t="shared" si="69"/>
        <v>1.9399999999999997E-2</v>
      </c>
      <c r="AP94" s="58">
        <f t="shared" si="69"/>
        <v>1.9449999999999999E-2</v>
      </c>
      <c r="AQ94" s="58">
        <f t="shared" si="69"/>
        <v>2.8000000000000003E-4</v>
      </c>
      <c r="AR94" s="58">
        <f t="shared" si="69"/>
        <v>5.4100000000000003E-4</v>
      </c>
      <c r="AS94" s="58">
        <f t="shared" si="69"/>
        <v>6.7000000000000002E-5</v>
      </c>
      <c r="AT94" s="58">
        <f t="shared" si="69"/>
        <v>2.4600000000000002E-4</v>
      </c>
      <c r="AU94" s="58">
        <f t="shared" si="69"/>
        <v>4.6999999999999997E-5</v>
      </c>
      <c r="AV94" s="58">
        <f t="shared" si="69"/>
        <v>1.2E-5</v>
      </c>
      <c r="AW94" s="58">
        <f t="shared" si="69"/>
        <v>4.2000000000000004E-5</v>
      </c>
      <c r="AX94" s="58">
        <f t="shared" si="69"/>
        <v>6.0000000000000002E-6</v>
      </c>
      <c r="AY94" s="58">
        <f t="shared" si="69"/>
        <v>3.1999999999999999E-5</v>
      </c>
      <c r="AZ94" s="58">
        <f t="shared" si="69"/>
        <v>6.0000000000000002E-6</v>
      </c>
      <c r="BA94" s="58">
        <f t="shared" si="69"/>
        <v>1.7E-5</v>
      </c>
      <c r="BB94" s="58">
        <f t="shared" si="69"/>
        <v>1.9999999999999999E-6</v>
      </c>
      <c r="BC94" s="58">
        <f t="shared" si="69"/>
        <v>1.5999999999999999E-5</v>
      </c>
      <c r="BD94" s="58">
        <f t="shared" si="69"/>
        <v>1.9999999999999999E-6</v>
      </c>
      <c r="BE94" s="58">
        <f t="shared" si="69"/>
        <v>9.9999999999999995E-7</v>
      </c>
      <c r="BF94" s="58">
        <f t="shared" si="69"/>
        <v>1.1999999999999999E-4</v>
      </c>
      <c r="BG94" s="58">
        <f t="shared" si="69"/>
        <v>3.4300000000000004E-4</v>
      </c>
      <c r="BH94" s="58">
        <f t="shared" si="69"/>
        <v>3.5499999999999996E-4</v>
      </c>
      <c r="BI94" s="58">
        <f t="shared" si="69"/>
        <v>0</v>
      </c>
      <c r="BJ94" s="58">
        <f t="shared" si="69"/>
        <v>0</v>
      </c>
      <c r="BK94" s="58">
        <f t="shared" si="69"/>
        <v>2.0000000000000001E-4</v>
      </c>
      <c r="BL94" s="58">
        <f t="shared" si="69"/>
        <v>7.9999999999999996E-6</v>
      </c>
      <c r="BM94" s="58">
        <f t="shared" si="69"/>
        <v>1.6279999999999999E-3</v>
      </c>
      <c r="BN94" s="58">
        <f t="shared" si="69"/>
        <v>1.0024999999999999E-3</v>
      </c>
      <c r="BO94" s="59">
        <v>1.0024999999999999</v>
      </c>
      <c r="BP94" s="59">
        <v>1.03782</v>
      </c>
      <c r="BQ94" s="58">
        <f t="shared" ref="BQ94:BR94" si="70">BQ14/1000</f>
        <v>6.7000000000000002E-5</v>
      </c>
      <c r="BR94" s="58">
        <f t="shared" si="70"/>
        <v>1.7999999999999997E-5</v>
      </c>
    </row>
    <row r="95" spans="1:70" ht="15.95" customHeight="1" x14ac:dyDescent="0.25">
      <c r="A95" s="58" t="s">
        <v>74</v>
      </c>
      <c r="B95" s="58">
        <f t="shared" ref="B95:G95" si="71">B15/1000</f>
        <v>0.13669999999999999</v>
      </c>
      <c r="C95" s="58">
        <f t="shared" si="71"/>
        <v>4.0490000000000004</v>
      </c>
      <c r="D95" s="58">
        <f t="shared" si="71"/>
        <v>0.33789999999999998</v>
      </c>
      <c r="E95" s="58">
        <f t="shared" si="71"/>
        <v>2.8149999999999999</v>
      </c>
      <c r="F95" s="58">
        <f t="shared" si="71"/>
        <v>56.59</v>
      </c>
      <c r="G95" s="58">
        <f t="shared" si="71"/>
        <v>34.9</v>
      </c>
      <c r="H95" s="59">
        <v>1.2309699999999999</v>
      </c>
      <c r="I95" s="59">
        <v>1.1269199999999999</v>
      </c>
      <c r="J95" s="58">
        <f t="shared" ref="J95:T95" si="72">J15/1000</f>
        <v>0.19640000000000002</v>
      </c>
      <c r="K95" s="58">
        <f t="shared" si="72"/>
        <v>1.1259999999999999E-2</v>
      </c>
      <c r="L95" s="58">
        <f t="shared" si="72"/>
        <v>2.5579999999999999E-2</v>
      </c>
      <c r="M95" s="58">
        <f t="shared" si="72"/>
        <v>3.199E-3</v>
      </c>
      <c r="N95" s="58">
        <f t="shared" si="72"/>
        <v>9.4439999999999996E-2</v>
      </c>
      <c r="O95" s="58">
        <f t="shared" si="72"/>
        <v>0.40360000000000001</v>
      </c>
      <c r="P95" s="58">
        <f t="shared" si="72"/>
        <v>3.9300000000000001E-4</v>
      </c>
      <c r="Q95" s="58">
        <f t="shared" si="72"/>
        <v>5.9480000000000002E-3</v>
      </c>
      <c r="R95" s="58">
        <f t="shared" si="72"/>
        <v>3.2340000000000001E-2</v>
      </c>
      <c r="S95" s="58">
        <f t="shared" si="72"/>
        <v>9.0790000000000003E-3</v>
      </c>
      <c r="T95" s="58">
        <f t="shared" si="72"/>
        <v>2.6499999999999999E-4</v>
      </c>
      <c r="U95" s="59">
        <v>1.11405</v>
      </c>
      <c r="V95" s="59">
        <v>1.0040500000000001</v>
      </c>
      <c r="W95" s="58">
        <f t="shared" ref="W95:Z95" si="73">W15/1000</f>
        <v>1.0399999999999999E-4</v>
      </c>
      <c r="X95" s="58">
        <f t="shared" si="73"/>
        <v>7.698E-3</v>
      </c>
      <c r="Y95" s="58">
        <f t="shared" si="73"/>
        <v>3.3770000000000001E-2</v>
      </c>
      <c r="Z95" s="58">
        <f t="shared" si="73"/>
        <v>8.1269999999999995E-2</v>
      </c>
      <c r="AA95" s="59">
        <v>1.20408</v>
      </c>
      <c r="AB95" s="59">
        <v>1.1451100000000001</v>
      </c>
      <c r="AC95" s="58">
        <f t="shared" ref="AC95:AI95" si="74">AC15/1000</f>
        <v>4.8000000000000001E-5</v>
      </c>
      <c r="AD95" s="58">
        <f t="shared" si="74"/>
        <v>4.0000000000000002E-4</v>
      </c>
      <c r="AE95" s="58">
        <f t="shared" si="74"/>
        <v>9.9999999999999995E-7</v>
      </c>
      <c r="AF95" s="58">
        <f t="shared" si="74"/>
        <v>1.9999999999999999E-6</v>
      </c>
      <c r="AG95" s="58">
        <f t="shared" si="74"/>
        <v>2.3E-5</v>
      </c>
      <c r="AH95" s="58">
        <f t="shared" si="74"/>
        <v>1.5099999999999998E-4</v>
      </c>
      <c r="AI95" s="58">
        <f t="shared" si="74"/>
        <v>8.2000000000000001E-5</v>
      </c>
      <c r="AJ95" s="59">
        <v>1.11981</v>
      </c>
      <c r="AK95" s="59">
        <v>1.12517</v>
      </c>
      <c r="AL95" s="58">
        <f t="shared" ref="AL95:BN95" si="75">AM15/1000</f>
        <v>4.2000000000000004E-5</v>
      </c>
      <c r="AM95" s="58">
        <f t="shared" si="75"/>
        <v>0</v>
      </c>
      <c r="AN95" s="58">
        <f t="shared" si="75"/>
        <v>2.4699999999999999E-4</v>
      </c>
      <c r="AO95" s="58">
        <f t="shared" si="75"/>
        <v>5.901E-3</v>
      </c>
      <c r="AP95" s="58">
        <f t="shared" si="75"/>
        <v>5.9360000000000003E-3</v>
      </c>
      <c r="AQ95" s="58">
        <f t="shared" si="75"/>
        <v>2.8799999999999995E-4</v>
      </c>
      <c r="AR95" s="58">
        <f t="shared" si="75"/>
        <v>5.53E-4</v>
      </c>
      <c r="AS95" s="58">
        <f t="shared" si="75"/>
        <v>6.900000000000001E-5</v>
      </c>
      <c r="AT95" s="58">
        <f t="shared" si="75"/>
        <v>2.5500000000000002E-4</v>
      </c>
      <c r="AU95" s="58">
        <f t="shared" si="75"/>
        <v>4.9000000000000005E-5</v>
      </c>
      <c r="AV95" s="58">
        <f t="shared" si="75"/>
        <v>1.0000000000000001E-5</v>
      </c>
      <c r="AW95" s="58">
        <f t="shared" si="75"/>
        <v>4.2999999999999995E-5</v>
      </c>
      <c r="AX95" s="58">
        <f t="shared" si="75"/>
        <v>6.0000000000000002E-6</v>
      </c>
      <c r="AY95" s="58">
        <f t="shared" si="75"/>
        <v>3.1000000000000001E-5</v>
      </c>
      <c r="AZ95" s="58">
        <f t="shared" si="75"/>
        <v>6.0000000000000002E-6</v>
      </c>
      <c r="BA95" s="58">
        <f t="shared" si="75"/>
        <v>1.7E-5</v>
      </c>
      <c r="BB95" s="58">
        <f t="shared" si="75"/>
        <v>1.9999999999999999E-6</v>
      </c>
      <c r="BC95" s="58">
        <f t="shared" si="75"/>
        <v>1.4E-5</v>
      </c>
      <c r="BD95" s="58">
        <f t="shared" si="75"/>
        <v>1.9999999999999999E-6</v>
      </c>
      <c r="BE95" s="58">
        <f t="shared" si="75"/>
        <v>9.9999999999999995E-7</v>
      </c>
      <c r="BF95" s="58">
        <f t="shared" si="75"/>
        <v>9.7E-5</v>
      </c>
      <c r="BG95" s="58">
        <f t="shared" si="75"/>
        <v>2.3400000000000002E-4</v>
      </c>
      <c r="BH95" s="58">
        <f t="shared" si="75"/>
        <v>2.42E-4</v>
      </c>
      <c r="BI95" s="58">
        <f t="shared" si="75"/>
        <v>0</v>
      </c>
      <c r="BJ95" s="58">
        <f t="shared" si="75"/>
        <v>0</v>
      </c>
      <c r="BK95" s="58">
        <f t="shared" si="75"/>
        <v>1.4199999999999998E-4</v>
      </c>
      <c r="BL95" s="58">
        <f t="shared" si="75"/>
        <v>3.9999999999999998E-6</v>
      </c>
      <c r="BM95" s="58">
        <f t="shared" si="75"/>
        <v>6.8000000000000005E-4</v>
      </c>
      <c r="BN95" s="58">
        <f t="shared" si="75"/>
        <v>9.9730999999999995E-4</v>
      </c>
      <c r="BO95" s="59">
        <v>0.99731000000000003</v>
      </c>
      <c r="BP95" s="59">
        <v>1.0577700000000001</v>
      </c>
      <c r="BQ95" s="58">
        <f t="shared" ref="BQ95:BR95" si="76">BQ15/1000</f>
        <v>8.1000000000000004E-5</v>
      </c>
      <c r="BR95" s="58">
        <f t="shared" si="76"/>
        <v>1.7E-5</v>
      </c>
    </row>
    <row r="96" spans="1:70" ht="15.95" customHeight="1" x14ac:dyDescent="0.25">
      <c r="A96" s="58" t="s">
        <v>75</v>
      </c>
      <c r="B96" s="58">
        <f t="shared" ref="B96:G96" si="77">B16/1000</f>
        <v>0.18990000000000001</v>
      </c>
      <c r="C96" s="58">
        <f t="shared" si="77"/>
        <v>3.9990000000000001</v>
      </c>
      <c r="D96" s="58">
        <f t="shared" si="77"/>
        <v>0.26380000000000003</v>
      </c>
      <c r="E96" s="58">
        <f t="shared" si="77"/>
        <v>2.6440000000000001</v>
      </c>
      <c r="F96" s="58">
        <f t="shared" si="77"/>
        <v>77.77</v>
      </c>
      <c r="G96" s="58">
        <f t="shared" si="77"/>
        <v>26.22</v>
      </c>
      <c r="H96" s="59">
        <v>1.25549</v>
      </c>
      <c r="I96" s="59">
        <v>1.16791</v>
      </c>
      <c r="J96" s="58">
        <f t="shared" ref="J96:T96" si="78">J16/1000</f>
        <v>0.12429999999999999</v>
      </c>
      <c r="K96" s="58">
        <f t="shared" si="78"/>
        <v>1.038E-2</v>
      </c>
      <c r="L96" s="58">
        <f t="shared" si="78"/>
        <v>2.793E-2</v>
      </c>
      <c r="M96" s="58">
        <f t="shared" si="78"/>
        <v>3.9709999999999997E-3</v>
      </c>
      <c r="N96" s="58">
        <f t="shared" si="78"/>
        <v>4.0619999999999996E-2</v>
      </c>
      <c r="O96" s="58">
        <f t="shared" si="78"/>
        <v>0.33500000000000002</v>
      </c>
      <c r="P96" s="58">
        <f t="shared" si="78"/>
        <v>2.2000000000000001E-4</v>
      </c>
      <c r="Q96" s="58">
        <f t="shared" si="78"/>
        <v>2.379E-3</v>
      </c>
      <c r="R96" s="58">
        <f t="shared" si="78"/>
        <v>1.5310000000000001E-2</v>
      </c>
      <c r="S96" s="58">
        <f t="shared" si="78"/>
        <v>8.2100000000000003E-3</v>
      </c>
      <c r="T96" s="58">
        <f t="shared" si="78"/>
        <v>8.61E-4</v>
      </c>
      <c r="U96" s="59">
        <v>1.1423399999999999</v>
      </c>
      <c r="V96" s="59">
        <v>1.03291</v>
      </c>
      <c r="W96" s="58">
        <f t="shared" ref="W96:Z96" si="79">W16/1000</f>
        <v>1.11E-4</v>
      </c>
      <c r="X96" s="58">
        <f t="shared" si="79"/>
        <v>2.6320000000000002E-3</v>
      </c>
      <c r="Y96" s="58">
        <f t="shared" si="79"/>
        <v>1.018E-2</v>
      </c>
      <c r="Z96" s="58">
        <f t="shared" si="79"/>
        <v>0.29220000000000002</v>
      </c>
      <c r="AA96" s="59">
        <v>1.2208300000000001</v>
      </c>
      <c r="AB96" s="59">
        <v>1.1735100000000001</v>
      </c>
      <c r="AC96" s="58">
        <f t="shared" ref="AC96:AI96" si="80">AC16/1000</f>
        <v>4.3999999999999999E-5</v>
      </c>
      <c r="AD96" s="58">
        <f t="shared" si="80"/>
        <v>8.2299999999999995E-4</v>
      </c>
      <c r="AE96" s="58">
        <f t="shared" si="80"/>
        <v>1.9999999999999999E-6</v>
      </c>
      <c r="AF96" s="58">
        <f t="shared" si="80"/>
        <v>6.0000000000000002E-6</v>
      </c>
      <c r="AG96" s="58">
        <f t="shared" si="80"/>
        <v>7.3999999999999996E-5</v>
      </c>
      <c r="AH96" s="58">
        <f t="shared" si="80"/>
        <v>1.4799999999999999E-4</v>
      </c>
      <c r="AI96" s="58">
        <f t="shared" si="80"/>
        <v>7.7999999999999999E-5</v>
      </c>
      <c r="AJ96" s="59">
        <v>1.1276299999999999</v>
      </c>
      <c r="AK96" s="59">
        <v>1.14838</v>
      </c>
      <c r="AL96" s="58">
        <f t="shared" ref="AL96:BN96" si="81">AM16/1000</f>
        <v>4.6999999999999997E-5</v>
      </c>
      <c r="AM96" s="58">
        <f t="shared" si="81"/>
        <v>3.0000000000000001E-6</v>
      </c>
      <c r="AN96" s="58">
        <f t="shared" si="81"/>
        <v>7.0000000000000007E-5</v>
      </c>
      <c r="AO96" s="58">
        <f t="shared" si="81"/>
        <v>2.215E-2</v>
      </c>
      <c r="AP96" s="58">
        <f t="shared" si="81"/>
        <v>2.2260000000000002E-2</v>
      </c>
      <c r="AQ96" s="58">
        <f t="shared" si="81"/>
        <v>2.92E-4</v>
      </c>
      <c r="AR96" s="58">
        <f t="shared" si="81"/>
        <v>5.4300000000000008E-4</v>
      </c>
      <c r="AS96" s="58">
        <f t="shared" si="81"/>
        <v>6.5000000000000008E-5</v>
      </c>
      <c r="AT96" s="58">
        <f t="shared" si="81"/>
        <v>2.3999999999999998E-4</v>
      </c>
      <c r="AU96" s="58">
        <f t="shared" si="81"/>
        <v>4.6E-5</v>
      </c>
      <c r="AV96" s="58">
        <f t="shared" si="81"/>
        <v>1.2E-5</v>
      </c>
      <c r="AW96" s="58">
        <f t="shared" si="81"/>
        <v>4.2000000000000004E-5</v>
      </c>
      <c r="AX96" s="58">
        <f t="shared" si="81"/>
        <v>6.0000000000000002E-6</v>
      </c>
      <c r="AY96" s="58">
        <f t="shared" si="81"/>
        <v>2.9999999999999997E-5</v>
      </c>
      <c r="AZ96" s="58">
        <f t="shared" si="81"/>
        <v>6.0000000000000002E-6</v>
      </c>
      <c r="BA96" s="58">
        <f t="shared" si="81"/>
        <v>1.5999999999999999E-5</v>
      </c>
      <c r="BB96" s="58">
        <f t="shared" si="81"/>
        <v>1.9999999999999999E-6</v>
      </c>
      <c r="BC96" s="58">
        <f t="shared" si="81"/>
        <v>1.2E-5</v>
      </c>
      <c r="BD96" s="58">
        <f t="shared" si="81"/>
        <v>1.9999999999999999E-6</v>
      </c>
      <c r="BE96" s="58">
        <f t="shared" si="81"/>
        <v>9.9999999999999995E-7</v>
      </c>
      <c r="BF96" s="58">
        <f t="shared" si="81"/>
        <v>1.0399999999999999E-4</v>
      </c>
      <c r="BG96" s="58">
        <f t="shared" si="81"/>
        <v>9.800000000000001E-5</v>
      </c>
      <c r="BH96" s="58">
        <f t="shared" si="81"/>
        <v>1.01E-4</v>
      </c>
      <c r="BI96" s="58">
        <f t="shared" si="81"/>
        <v>0</v>
      </c>
      <c r="BJ96" s="58">
        <f t="shared" si="81"/>
        <v>0</v>
      </c>
      <c r="BK96" s="58">
        <f t="shared" si="81"/>
        <v>1.16E-4</v>
      </c>
      <c r="BL96" s="58">
        <f t="shared" si="81"/>
        <v>3.0000000000000001E-6</v>
      </c>
      <c r="BM96" s="58">
        <f t="shared" si="81"/>
        <v>5.8099999999999992E-4</v>
      </c>
      <c r="BN96" s="58">
        <f t="shared" si="81"/>
        <v>1.0071799999999999E-3</v>
      </c>
      <c r="BO96" s="59">
        <v>1.00718</v>
      </c>
      <c r="BP96" s="59">
        <v>1.0771299999999999</v>
      </c>
      <c r="BQ96" s="58">
        <f t="shared" ref="BQ96:BR96" si="82">BQ16/1000</f>
        <v>8.1000000000000004E-5</v>
      </c>
      <c r="BR96" s="58">
        <f t="shared" si="82"/>
        <v>1.5999999999999999E-5</v>
      </c>
    </row>
    <row r="97" spans="1:70" ht="15.95" customHeight="1" x14ac:dyDescent="0.25">
      <c r="A97" s="58" t="s">
        <v>76</v>
      </c>
      <c r="B97" s="58">
        <f t="shared" ref="B97:G97" si="83">B17/1000</f>
        <v>0.25209999999999999</v>
      </c>
      <c r="C97" s="58">
        <f t="shared" si="83"/>
        <v>4.4859999999999998</v>
      </c>
      <c r="D97" s="58">
        <f t="shared" si="83"/>
        <v>0.29630000000000001</v>
      </c>
      <c r="E97" s="58">
        <f t="shared" si="83"/>
        <v>2.8359999999999999</v>
      </c>
      <c r="F97" s="58">
        <f t="shared" si="83"/>
        <v>50.93</v>
      </c>
      <c r="G97" s="58">
        <f t="shared" si="83"/>
        <v>45.19</v>
      </c>
      <c r="H97" s="59">
        <v>1.29996</v>
      </c>
      <c r="I97" s="59">
        <v>1.2014</v>
      </c>
      <c r="J97" s="58">
        <f t="shared" ref="J97:T97" si="84">J17/1000</f>
        <v>0.24259999999999998</v>
      </c>
      <c r="K97" s="58">
        <f t="shared" si="84"/>
        <v>1.1140000000000001E-2</v>
      </c>
      <c r="L97" s="58">
        <f t="shared" si="84"/>
        <v>2.8920000000000001E-2</v>
      </c>
      <c r="M97" s="58">
        <f t="shared" si="84"/>
        <v>4.0159999999999996E-3</v>
      </c>
      <c r="N97" s="58">
        <f t="shared" si="84"/>
        <v>7.0760000000000003E-2</v>
      </c>
      <c r="O97" s="58">
        <f t="shared" si="84"/>
        <v>0.3528</v>
      </c>
      <c r="P97" s="58">
        <f t="shared" si="84"/>
        <v>3.2200000000000002E-4</v>
      </c>
      <c r="Q97" s="58">
        <f t="shared" si="84"/>
        <v>3.5920000000000001E-3</v>
      </c>
      <c r="R97" s="58">
        <f t="shared" si="84"/>
        <v>3.4439999999999998E-2</v>
      </c>
      <c r="S97" s="58">
        <f t="shared" si="84"/>
        <v>1.975E-2</v>
      </c>
      <c r="T97" s="58">
        <f t="shared" si="84"/>
        <v>1.1950000000000001E-3</v>
      </c>
      <c r="U97" s="59">
        <v>1.1666799999999999</v>
      </c>
      <c r="V97" s="59">
        <v>1.04664</v>
      </c>
      <c r="W97" s="58">
        <f t="shared" ref="W97:Z97" si="85">W17/1000</f>
        <v>1.11E-4</v>
      </c>
      <c r="X97" s="58">
        <f t="shared" si="85"/>
        <v>6.9029999999999994E-3</v>
      </c>
      <c r="Y97" s="58">
        <f t="shared" si="85"/>
        <v>1.9579999999999997E-2</v>
      </c>
      <c r="Z97" s="58">
        <f t="shared" si="85"/>
        <v>0.1154</v>
      </c>
      <c r="AA97" s="59">
        <v>1.26135</v>
      </c>
      <c r="AB97" s="59">
        <v>1.21217</v>
      </c>
      <c r="AC97" s="58">
        <f t="shared" ref="AC97:AI97" si="86">AC17/1000</f>
        <v>3.5999999999999994E-5</v>
      </c>
      <c r="AD97" s="58">
        <f t="shared" si="86"/>
        <v>5.5200000000000008E-4</v>
      </c>
      <c r="AE97" s="58">
        <f t="shared" si="86"/>
        <v>9.9999999999999995E-7</v>
      </c>
      <c r="AF97" s="58">
        <f t="shared" si="86"/>
        <v>1.9999999999999999E-6</v>
      </c>
      <c r="AG97" s="58">
        <f t="shared" si="86"/>
        <v>3.4E-5</v>
      </c>
      <c r="AH97" s="58">
        <f t="shared" si="86"/>
        <v>1.02E-4</v>
      </c>
      <c r="AI97" s="58">
        <f t="shared" si="86"/>
        <v>1.1899999999999999E-4</v>
      </c>
      <c r="AJ97" s="59">
        <v>1.1643600000000001</v>
      </c>
      <c r="AK97" s="59">
        <v>1.1833100000000001</v>
      </c>
      <c r="AL97" s="58">
        <f t="shared" ref="AL97:BN97" si="87">AM17/1000</f>
        <v>5.3000000000000001E-5</v>
      </c>
      <c r="AM97" s="58">
        <f t="shared" si="87"/>
        <v>1.9999999999999999E-6</v>
      </c>
      <c r="AN97" s="58">
        <f t="shared" si="87"/>
        <v>1.6700000000000002E-4</v>
      </c>
      <c r="AO97" s="58">
        <f t="shared" si="87"/>
        <v>3.0550000000000001E-2</v>
      </c>
      <c r="AP97" s="58">
        <f t="shared" si="87"/>
        <v>3.066E-2</v>
      </c>
      <c r="AQ97" s="58">
        <f t="shared" si="87"/>
        <v>2.5399999999999999E-4</v>
      </c>
      <c r="AR97" s="58">
        <f t="shared" si="87"/>
        <v>4.86E-4</v>
      </c>
      <c r="AS97" s="58">
        <f t="shared" si="87"/>
        <v>5.8999999999999998E-5</v>
      </c>
      <c r="AT97" s="58">
        <f t="shared" si="87"/>
        <v>2.24E-4</v>
      </c>
      <c r="AU97" s="58">
        <f t="shared" si="87"/>
        <v>4.0000000000000003E-5</v>
      </c>
      <c r="AV97" s="58">
        <f t="shared" si="87"/>
        <v>1.2999999999999999E-5</v>
      </c>
      <c r="AW97" s="58">
        <f t="shared" si="87"/>
        <v>3.6999999999999998E-5</v>
      </c>
      <c r="AX97" s="58">
        <f t="shared" si="87"/>
        <v>5.0000000000000004E-6</v>
      </c>
      <c r="AY97" s="58">
        <f t="shared" si="87"/>
        <v>2.6999999999999999E-5</v>
      </c>
      <c r="AZ97" s="58">
        <f t="shared" si="87"/>
        <v>5.0000000000000004E-6</v>
      </c>
      <c r="BA97" s="58">
        <f t="shared" si="87"/>
        <v>1.4E-5</v>
      </c>
      <c r="BB97" s="58">
        <f t="shared" si="87"/>
        <v>1.9999999999999999E-6</v>
      </c>
      <c r="BC97" s="58">
        <f t="shared" si="87"/>
        <v>1.2999999999999999E-5</v>
      </c>
      <c r="BD97" s="58">
        <f t="shared" si="87"/>
        <v>1.9999999999999999E-6</v>
      </c>
      <c r="BE97" s="58">
        <f t="shared" si="87"/>
        <v>0</v>
      </c>
      <c r="BF97" s="58">
        <f t="shared" si="87"/>
        <v>7.0999999999999991E-5</v>
      </c>
      <c r="BG97" s="58">
        <f t="shared" si="87"/>
        <v>2.02E-4</v>
      </c>
      <c r="BH97" s="58">
        <f t="shared" si="87"/>
        <v>2.0899999999999998E-4</v>
      </c>
      <c r="BI97" s="58">
        <f t="shared" si="87"/>
        <v>0</v>
      </c>
      <c r="BJ97" s="58">
        <f t="shared" si="87"/>
        <v>0</v>
      </c>
      <c r="BK97" s="58">
        <f t="shared" si="87"/>
        <v>1.8200000000000001E-4</v>
      </c>
      <c r="BL97" s="58">
        <f t="shared" si="87"/>
        <v>3.9999999999999998E-6</v>
      </c>
      <c r="BM97" s="58">
        <f t="shared" si="87"/>
        <v>1.091E-3</v>
      </c>
      <c r="BN97" s="58">
        <f t="shared" si="87"/>
        <v>1.0285699999999999E-3</v>
      </c>
      <c r="BO97" s="59">
        <v>1.02857</v>
      </c>
      <c r="BP97" s="59">
        <v>1.09779</v>
      </c>
      <c r="BQ97" s="58">
        <f t="shared" ref="BQ97:BR97" si="88">BQ17/1000</f>
        <v>5.9999999999999995E-5</v>
      </c>
      <c r="BR97" s="58">
        <f t="shared" si="88"/>
        <v>1.2E-5</v>
      </c>
    </row>
    <row r="98" spans="1:70" ht="15.95" customHeight="1" x14ac:dyDescent="0.25">
      <c r="A98" s="58" t="s">
        <v>77</v>
      </c>
      <c r="B98" s="58">
        <f t="shared" ref="B98:G98" si="89">B18/1000</f>
        <v>0.34370000000000001</v>
      </c>
      <c r="C98" s="58">
        <f t="shared" si="89"/>
        <v>2.89</v>
      </c>
      <c r="D98" s="58">
        <f t="shared" si="89"/>
        <v>0.4607</v>
      </c>
      <c r="E98" s="58">
        <f t="shared" si="89"/>
        <v>2.36</v>
      </c>
      <c r="F98" s="58">
        <f t="shared" si="89"/>
        <v>54.95</v>
      </c>
      <c r="G98" s="58">
        <f t="shared" si="89"/>
        <v>31.78</v>
      </c>
      <c r="H98" s="59">
        <v>1.2691699999999999</v>
      </c>
      <c r="I98" s="59">
        <v>1.1868700000000001</v>
      </c>
      <c r="J98" s="58">
        <f t="shared" ref="J98:T98" si="90">J18/1000</f>
        <v>0.19889999999999999</v>
      </c>
      <c r="K98" s="58">
        <f t="shared" si="90"/>
        <v>1.8170000000000002E-2</v>
      </c>
      <c r="L98" s="58">
        <f t="shared" si="90"/>
        <v>3.0019999999999998E-2</v>
      </c>
      <c r="M98" s="58">
        <f t="shared" si="90"/>
        <v>3.6680000000000003E-3</v>
      </c>
      <c r="N98" s="58">
        <f t="shared" si="90"/>
        <v>3.7170000000000002E-2</v>
      </c>
      <c r="O98" s="58">
        <f t="shared" si="90"/>
        <v>0.58099999999999996</v>
      </c>
      <c r="P98" s="58">
        <f t="shared" si="90"/>
        <v>3.48E-4</v>
      </c>
      <c r="Q98" s="58">
        <f t="shared" si="90"/>
        <v>2.8740000000000003E-3</v>
      </c>
      <c r="R98" s="58">
        <f t="shared" si="90"/>
        <v>4.2119999999999998E-2</v>
      </c>
      <c r="S98" s="58">
        <f t="shared" si="90"/>
        <v>4.0229999999999995E-2</v>
      </c>
      <c r="T98" s="58">
        <f t="shared" si="90"/>
        <v>7.6400000000000003E-4</v>
      </c>
      <c r="U98" s="59">
        <v>1.1457299999999999</v>
      </c>
      <c r="V98" s="59">
        <v>1.0391900000000001</v>
      </c>
      <c r="W98" s="58">
        <f t="shared" ref="W98:Z98" si="91">W18/1000</f>
        <v>2.0599999999999999E-4</v>
      </c>
      <c r="X98" s="58">
        <f t="shared" si="91"/>
        <v>4.6829999999999997E-3</v>
      </c>
      <c r="Y98" s="58">
        <f t="shared" si="91"/>
        <v>1.5050000000000001E-2</v>
      </c>
      <c r="Z98" s="58">
        <f t="shared" si="91"/>
        <v>0.1341</v>
      </c>
      <c r="AA98" s="59">
        <v>1.2425900000000001</v>
      </c>
      <c r="AB98" s="59">
        <v>1.1988099999999999</v>
      </c>
      <c r="AC98" s="58">
        <f t="shared" ref="AC98:AI98" si="92">AC18/1000</f>
        <v>1.0499999999999999E-4</v>
      </c>
      <c r="AD98" s="58">
        <f t="shared" si="92"/>
        <v>6.4400000000000004E-4</v>
      </c>
      <c r="AE98" s="58">
        <f t="shared" si="92"/>
        <v>9.9999999999999995E-7</v>
      </c>
      <c r="AF98" s="58">
        <f t="shared" si="92"/>
        <v>3.0000000000000001E-6</v>
      </c>
      <c r="AG98" s="58">
        <f t="shared" si="92"/>
        <v>3.5999999999999994E-5</v>
      </c>
      <c r="AH98" s="58">
        <f t="shared" si="92"/>
        <v>3.21E-4</v>
      </c>
      <c r="AI98" s="58">
        <f t="shared" si="92"/>
        <v>4.1899999999999999E-4</v>
      </c>
      <c r="AJ98" s="59">
        <v>1.1368499999999999</v>
      </c>
      <c r="AK98" s="59">
        <v>1.17092</v>
      </c>
      <c r="AL98" s="58">
        <f t="shared" ref="AL98:BN98" si="93">AM18/1000</f>
        <v>1.7100000000000001E-4</v>
      </c>
      <c r="AM98" s="58">
        <f t="shared" si="93"/>
        <v>3.0000000000000001E-6</v>
      </c>
      <c r="AN98" s="58">
        <f t="shared" si="93"/>
        <v>1.02E-4</v>
      </c>
      <c r="AO98" s="58">
        <f t="shared" si="93"/>
        <v>1.8769999999999998E-2</v>
      </c>
      <c r="AP98" s="58">
        <f t="shared" si="93"/>
        <v>1.8839999999999999E-2</v>
      </c>
      <c r="AQ98" s="58">
        <f t="shared" si="93"/>
        <v>3.7599999999999998E-4</v>
      </c>
      <c r="AR98" s="58">
        <f t="shared" si="93"/>
        <v>7.3300000000000004E-4</v>
      </c>
      <c r="AS98" s="58">
        <f t="shared" si="93"/>
        <v>8.599999999999999E-5</v>
      </c>
      <c r="AT98" s="58">
        <f t="shared" si="93"/>
        <v>3.39E-4</v>
      </c>
      <c r="AU98" s="58">
        <f t="shared" si="93"/>
        <v>7.0000000000000007E-5</v>
      </c>
      <c r="AV98" s="58">
        <f t="shared" si="93"/>
        <v>1.9000000000000001E-5</v>
      </c>
      <c r="AW98" s="58">
        <f t="shared" si="93"/>
        <v>8.599999999999999E-5</v>
      </c>
      <c r="AX98" s="58">
        <f t="shared" si="93"/>
        <v>1.7999999999999997E-5</v>
      </c>
      <c r="AY98" s="58">
        <f t="shared" si="93"/>
        <v>1.22E-4</v>
      </c>
      <c r="AZ98" s="58">
        <f t="shared" si="93"/>
        <v>2.5999999999999998E-5</v>
      </c>
      <c r="BA98" s="58">
        <f t="shared" si="93"/>
        <v>8.5000000000000006E-5</v>
      </c>
      <c r="BB98" s="58">
        <f t="shared" si="93"/>
        <v>1.4E-5</v>
      </c>
      <c r="BC98" s="58">
        <f t="shared" si="93"/>
        <v>9.9000000000000008E-5</v>
      </c>
      <c r="BD98" s="58">
        <f t="shared" si="93"/>
        <v>1.4E-5</v>
      </c>
      <c r="BE98" s="58">
        <f t="shared" si="93"/>
        <v>1.2999999999999999E-5</v>
      </c>
      <c r="BF98" s="58">
        <f t="shared" si="93"/>
        <v>9.9000000000000008E-5</v>
      </c>
      <c r="BG98" s="58">
        <f t="shared" si="93"/>
        <v>1.8900000000000001E-4</v>
      </c>
      <c r="BH98" s="58">
        <f t="shared" si="93"/>
        <v>1.9600000000000002E-4</v>
      </c>
      <c r="BI98" s="58">
        <f t="shared" si="93"/>
        <v>0</v>
      </c>
      <c r="BJ98" s="58">
        <f t="shared" si="93"/>
        <v>1.9999999999999999E-6</v>
      </c>
      <c r="BK98" s="58">
        <f t="shared" si="93"/>
        <v>1.1899999999999999E-4</v>
      </c>
      <c r="BL98" s="58">
        <f t="shared" si="93"/>
        <v>6.0000000000000002E-6</v>
      </c>
      <c r="BM98" s="58">
        <f t="shared" si="93"/>
        <v>3.274E-3</v>
      </c>
      <c r="BN98" s="58">
        <f t="shared" si="93"/>
        <v>1.0173399999999998E-3</v>
      </c>
      <c r="BO98" s="59">
        <v>1.0173399999999999</v>
      </c>
      <c r="BP98" s="59">
        <v>1.09575</v>
      </c>
      <c r="BQ98" s="58">
        <f t="shared" ref="BQ98:BR98" si="94">BQ18/1000</f>
        <v>1.5799999999999999E-4</v>
      </c>
      <c r="BR98" s="58">
        <f t="shared" si="94"/>
        <v>6.0999999999999999E-5</v>
      </c>
    </row>
    <row r="99" spans="1:70" ht="15.95" customHeight="1" x14ac:dyDescent="0.25">
      <c r="A99" s="58" t="s">
        <v>78</v>
      </c>
      <c r="B99" s="58">
        <f t="shared" ref="B99:G99" si="95">B19/1000</f>
        <v>0.31289999999999996</v>
      </c>
      <c r="C99" s="58">
        <f t="shared" si="95"/>
        <v>3.9580000000000002</v>
      </c>
      <c r="D99" s="58">
        <f t="shared" si="95"/>
        <v>0.41449999999999998</v>
      </c>
      <c r="E99" s="58">
        <f t="shared" si="95"/>
        <v>1.8560000000000001</v>
      </c>
      <c r="F99" s="58">
        <f t="shared" si="95"/>
        <v>30.15</v>
      </c>
      <c r="G99" s="58">
        <f t="shared" si="95"/>
        <v>65.430000000000007</v>
      </c>
      <c r="H99" s="59">
        <v>1.2935700000000001</v>
      </c>
      <c r="I99" s="59">
        <v>1.19292</v>
      </c>
      <c r="J99" s="58">
        <f t="shared" ref="J99:T99" si="96">J19/1000</f>
        <v>0.34849999999999998</v>
      </c>
      <c r="K99" s="58">
        <f t="shared" si="96"/>
        <v>1.5630000000000002E-2</v>
      </c>
      <c r="L99" s="58">
        <f t="shared" si="96"/>
        <v>3.2469999999999999E-2</v>
      </c>
      <c r="M99" s="58">
        <f t="shared" si="96"/>
        <v>4.1539999999999997E-3</v>
      </c>
      <c r="N99" s="58">
        <f t="shared" si="96"/>
        <v>0.1313</v>
      </c>
      <c r="O99" s="58">
        <f t="shared" si="96"/>
        <v>0.50080000000000002</v>
      </c>
      <c r="P99" s="58">
        <f t="shared" si="96"/>
        <v>3.1700000000000001E-4</v>
      </c>
      <c r="Q99" s="58">
        <f t="shared" si="96"/>
        <v>3.8E-3</v>
      </c>
      <c r="R99" s="58">
        <f t="shared" si="96"/>
        <v>3.6479999999999999E-2</v>
      </c>
      <c r="S99" s="58">
        <f t="shared" si="96"/>
        <v>2.3269999999999999E-2</v>
      </c>
      <c r="T99" s="58">
        <f t="shared" si="96"/>
        <v>1.0400000000000001E-3</v>
      </c>
      <c r="U99" s="59">
        <v>1.17012</v>
      </c>
      <c r="V99" s="59">
        <v>1.0459000000000001</v>
      </c>
      <c r="W99" s="58">
        <f t="shared" ref="W99:Z99" si="97">W19/1000</f>
        <v>1.47E-4</v>
      </c>
      <c r="X99" s="58">
        <f t="shared" si="97"/>
        <v>4.509E-3</v>
      </c>
      <c r="Y99" s="58">
        <f t="shared" si="97"/>
        <v>1.6660000000000001E-2</v>
      </c>
      <c r="Z99" s="58">
        <f t="shared" si="97"/>
        <v>0.2545</v>
      </c>
      <c r="AA99" s="59">
        <v>1.2512700000000001</v>
      </c>
      <c r="AB99" s="59">
        <v>1.2012400000000001</v>
      </c>
      <c r="AC99" s="58">
        <f t="shared" ref="AC99:AI99" si="98">AC19/1000</f>
        <v>5.0000000000000002E-5</v>
      </c>
      <c r="AD99" s="58">
        <f t="shared" si="98"/>
        <v>4.9299999999999995E-4</v>
      </c>
      <c r="AE99" s="58">
        <f t="shared" si="98"/>
        <v>9.9999999999999995E-7</v>
      </c>
      <c r="AF99" s="58">
        <f t="shared" si="98"/>
        <v>5.0000000000000004E-6</v>
      </c>
      <c r="AG99" s="58">
        <f t="shared" si="98"/>
        <v>6.7000000000000002E-5</v>
      </c>
      <c r="AH99" s="58">
        <f t="shared" si="98"/>
        <v>1.75E-4</v>
      </c>
      <c r="AI99" s="58">
        <f t="shared" si="98"/>
        <v>8.4000000000000009E-5</v>
      </c>
      <c r="AJ99" s="59">
        <v>1.1535299999999999</v>
      </c>
      <c r="AK99" s="59">
        <v>1.1778500000000001</v>
      </c>
      <c r="AL99" s="58">
        <f t="shared" ref="AL99:BN99" si="99">AM19/1000</f>
        <v>1.2899999999999999E-4</v>
      </c>
      <c r="AM99" s="58">
        <f t="shared" si="99"/>
        <v>3.9999999999999998E-6</v>
      </c>
      <c r="AN99" s="58">
        <f t="shared" si="99"/>
        <v>3.2900000000000003E-4</v>
      </c>
      <c r="AO99" s="58">
        <f t="shared" si="99"/>
        <v>2.6370000000000001E-2</v>
      </c>
      <c r="AP99" s="58">
        <f t="shared" si="99"/>
        <v>2.6460000000000001E-2</v>
      </c>
      <c r="AQ99" s="58">
        <f t="shared" si="99"/>
        <v>3.6999999999999999E-4</v>
      </c>
      <c r="AR99" s="58">
        <f t="shared" si="99"/>
        <v>6.7600000000000006E-4</v>
      </c>
      <c r="AS99" s="58">
        <f t="shared" si="99"/>
        <v>8.0000000000000007E-5</v>
      </c>
      <c r="AT99" s="58">
        <f t="shared" si="99"/>
        <v>3.0299999999999999E-4</v>
      </c>
      <c r="AU99" s="58">
        <f t="shared" si="99"/>
        <v>5.9999999999999995E-5</v>
      </c>
      <c r="AV99" s="58">
        <f t="shared" si="99"/>
        <v>2.0000000000000002E-5</v>
      </c>
      <c r="AW99" s="58">
        <f t="shared" si="99"/>
        <v>5.3000000000000001E-5</v>
      </c>
      <c r="AX99" s="58">
        <f t="shared" si="99"/>
        <v>1.2E-5</v>
      </c>
      <c r="AY99" s="58">
        <f t="shared" si="99"/>
        <v>3.5999999999999994E-5</v>
      </c>
      <c r="AZ99" s="58">
        <f t="shared" si="99"/>
        <v>6.9999999999999999E-6</v>
      </c>
      <c r="BA99" s="58">
        <f t="shared" si="99"/>
        <v>1.7999999999999997E-5</v>
      </c>
      <c r="BB99" s="58">
        <f t="shared" si="99"/>
        <v>1.9999999999999999E-6</v>
      </c>
      <c r="BC99" s="58">
        <f t="shared" si="99"/>
        <v>1.4999999999999999E-5</v>
      </c>
      <c r="BD99" s="58">
        <f t="shared" si="99"/>
        <v>1.9999999999999999E-6</v>
      </c>
      <c r="BE99" s="58">
        <f t="shared" si="99"/>
        <v>9.9999999999999995E-7</v>
      </c>
      <c r="BF99" s="58">
        <f t="shared" si="99"/>
        <v>8.4000000000000009E-5</v>
      </c>
      <c r="BG99" s="58">
        <f t="shared" si="99"/>
        <v>1.4999999999999999E-4</v>
      </c>
      <c r="BH99" s="58">
        <f t="shared" si="99"/>
        <v>1.54E-4</v>
      </c>
      <c r="BI99" s="58">
        <f t="shared" si="99"/>
        <v>0</v>
      </c>
      <c r="BJ99" s="58">
        <f t="shared" si="99"/>
        <v>0</v>
      </c>
      <c r="BK99" s="58">
        <f t="shared" si="99"/>
        <v>1.4000000000000001E-4</v>
      </c>
      <c r="BL99" s="58">
        <f t="shared" si="99"/>
        <v>6.0000000000000002E-6</v>
      </c>
      <c r="BM99" s="58">
        <f t="shared" si="99"/>
        <v>7.6099999999999996E-4</v>
      </c>
      <c r="BN99" s="58">
        <f t="shared" si="99"/>
        <v>1.0317899999999999E-3</v>
      </c>
      <c r="BO99" s="59">
        <v>1.03179</v>
      </c>
      <c r="BP99" s="59">
        <v>1.0999699999999999</v>
      </c>
      <c r="BQ99" s="58">
        <f t="shared" ref="BQ99:BR99" si="100">BQ19/1000</f>
        <v>8.2999999999999998E-5</v>
      </c>
      <c r="BR99" s="58">
        <f t="shared" si="100"/>
        <v>1.4999999999999999E-5</v>
      </c>
    </row>
    <row r="100" spans="1:70" ht="15.95" customHeight="1" x14ac:dyDescent="0.25">
      <c r="A100" s="58" t="s">
        <v>79</v>
      </c>
      <c r="B100" s="58">
        <f t="shared" ref="B100:G100" si="101">B20/1000</f>
        <v>0.51760000000000006</v>
      </c>
      <c r="C100" s="58">
        <f t="shared" si="101"/>
        <v>4.3109999999999999</v>
      </c>
      <c r="D100" s="58">
        <f t="shared" si="101"/>
        <v>0.46279999999999999</v>
      </c>
      <c r="E100" s="58">
        <f t="shared" si="101"/>
        <v>1.96</v>
      </c>
      <c r="F100" s="58">
        <f t="shared" si="101"/>
        <v>36.880000000000003</v>
      </c>
      <c r="G100" s="58">
        <f t="shared" si="101"/>
        <v>62.02</v>
      </c>
      <c r="H100" s="59">
        <v>1.2765500000000001</v>
      </c>
      <c r="I100" s="59">
        <v>1.1738500000000001</v>
      </c>
      <c r="J100" s="58">
        <f t="shared" ref="J100:T100" si="102">J20/1000</f>
        <v>0.3392</v>
      </c>
      <c r="K100" s="58">
        <f t="shared" si="102"/>
        <v>1.864E-2</v>
      </c>
      <c r="L100" s="58">
        <f t="shared" si="102"/>
        <v>2.887E-2</v>
      </c>
      <c r="M100" s="58">
        <f t="shared" si="102"/>
        <v>3.166E-3</v>
      </c>
      <c r="N100" s="58">
        <f t="shared" si="102"/>
        <v>0.1183</v>
      </c>
      <c r="O100" s="58">
        <f t="shared" si="102"/>
        <v>0.60039999999999993</v>
      </c>
      <c r="P100" s="58">
        <f t="shared" si="102"/>
        <v>4.2999999999999999E-4</v>
      </c>
      <c r="Q100" s="58">
        <f t="shared" si="102"/>
        <v>3.2320000000000001E-3</v>
      </c>
      <c r="R100" s="58">
        <f t="shared" si="102"/>
        <v>3.8469999999999997E-2</v>
      </c>
      <c r="S100" s="58">
        <f t="shared" si="102"/>
        <v>1.4630000000000001E-2</v>
      </c>
      <c r="T100" s="58">
        <f t="shared" si="102"/>
        <v>1.3160000000000001E-3</v>
      </c>
      <c r="U100" s="59">
        <v>1.15751</v>
      </c>
      <c r="V100" s="59">
        <v>1.0397099999999999</v>
      </c>
      <c r="W100" s="58">
        <f t="shared" ref="W100:Z100" si="103">W20/1000</f>
        <v>1.7699999999999999E-4</v>
      </c>
      <c r="X100" s="58">
        <f t="shared" si="103"/>
        <v>5.5890000000000002E-3</v>
      </c>
      <c r="Y100" s="58">
        <f t="shared" si="103"/>
        <v>8.9109999999999988E-3</v>
      </c>
      <c r="Z100" s="58">
        <f t="shared" si="103"/>
        <v>0.28039999999999998</v>
      </c>
      <c r="AA100" s="59">
        <v>1.2389699999999999</v>
      </c>
      <c r="AB100" s="59">
        <v>1.1853100000000001</v>
      </c>
      <c r="AC100" s="58">
        <f t="shared" ref="AC100:AI100" si="104">AC20/1000</f>
        <v>6.6000000000000005E-5</v>
      </c>
      <c r="AD100" s="58">
        <f t="shared" si="104"/>
        <v>5.4800000000000009E-4</v>
      </c>
      <c r="AE100" s="58">
        <f t="shared" si="104"/>
        <v>9.9999999999999995E-7</v>
      </c>
      <c r="AF100" s="58">
        <f t="shared" si="104"/>
        <v>5.0000000000000004E-6</v>
      </c>
      <c r="AG100" s="58">
        <f t="shared" si="104"/>
        <v>7.1999999999999988E-5</v>
      </c>
      <c r="AH100" s="58">
        <f t="shared" si="104"/>
        <v>2.9700000000000001E-4</v>
      </c>
      <c r="AI100" s="58">
        <f t="shared" si="104"/>
        <v>1.11E-4</v>
      </c>
      <c r="AJ100" s="59">
        <v>1.1362699999999999</v>
      </c>
      <c r="AK100" s="59">
        <v>1.16211</v>
      </c>
      <c r="AL100" s="58">
        <f t="shared" ref="AL100:BN100" si="105">AM20/1000</f>
        <v>1.8099999999999998E-4</v>
      </c>
      <c r="AM100" s="58">
        <f t="shared" si="105"/>
        <v>9.9999999999999995E-7</v>
      </c>
      <c r="AN100" s="58">
        <f t="shared" si="105"/>
        <v>9.3999999999999994E-5</v>
      </c>
      <c r="AO100" s="58">
        <f t="shared" si="105"/>
        <v>3.4259999999999999E-2</v>
      </c>
      <c r="AP100" s="58">
        <f t="shared" si="105"/>
        <v>3.4200000000000001E-2</v>
      </c>
      <c r="AQ100" s="58">
        <f t="shared" si="105"/>
        <v>4.17E-4</v>
      </c>
      <c r="AR100" s="58">
        <f t="shared" si="105"/>
        <v>7.8600000000000002E-4</v>
      </c>
      <c r="AS100" s="58">
        <f t="shared" si="105"/>
        <v>9.2E-5</v>
      </c>
      <c r="AT100" s="58">
        <f t="shared" si="105"/>
        <v>3.39E-4</v>
      </c>
      <c r="AU100" s="58">
        <f t="shared" si="105"/>
        <v>6.3999999999999997E-5</v>
      </c>
      <c r="AV100" s="58">
        <f t="shared" si="105"/>
        <v>2.0000000000000002E-5</v>
      </c>
      <c r="AW100" s="58">
        <f t="shared" si="105"/>
        <v>5.7000000000000003E-5</v>
      </c>
      <c r="AX100" s="58">
        <f t="shared" si="105"/>
        <v>1.1E-5</v>
      </c>
      <c r="AY100" s="58">
        <f t="shared" si="105"/>
        <v>4.2999999999999995E-5</v>
      </c>
      <c r="AZ100" s="58">
        <f t="shared" si="105"/>
        <v>7.9999999999999996E-6</v>
      </c>
      <c r="BA100" s="58">
        <f t="shared" si="105"/>
        <v>2.1000000000000002E-5</v>
      </c>
      <c r="BB100" s="58">
        <f t="shared" si="105"/>
        <v>3.0000000000000001E-6</v>
      </c>
      <c r="BC100" s="58">
        <f t="shared" si="105"/>
        <v>1.9000000000000001E-5</v>
      </c>
      <c r="BD100" s="58">
        <f t="shared" si="105"/>
        <v>3.0000000000000001E-6</v>
      </c>
      <c r="BE100" s="58">
        <f t="shared" si="105"/>
        <v>9.9999999999999995E-7</v>
      </c>
      <c r="BF100" s="58">
        <f t="shared" si="105"/>
        <v>1.16E-4</v>
      </c>
      <c r="BG100" s="58">
        <f t="shared" si="105"/>
        <v>1.9700000000000002E-4</v>
      </c>
      <c r="BH100" s="58">
        <f t="shared" si="105"/>
        <v>2.0000000000000001E-4</v>
      </c>
      <c r="BI100" s="58">
        <f t="shared" si="105"/>
        <v>0</v>
      </c>
      <c r="BJ100" s="58">
        <f t="shared" si="105"/>
        <v>0</v>
      </c>
      <c r="BK100" s="58">
        <f t="shared" si="105"/>
        <v>1.3200000000000001E-4</v>
      </c>
      <c r="BL100" s="58">
        <f t="shared" si="105"/>
        <v>3.9999999999999998E-6</v>
      </c>
      <c r="BM100" s="58">
        <f t="shared" si="105"/>
        <v>1.075E-3</v>
      </c>
      <c r="BN100" s="58">
        <f t="shared" si="105"/>
        <v>1.02254E-3</v>
      </c>
      <c r="BO100" s="59">
        <v>1.02254</v>
      </c>
      <c r="BP100" s="59">
        <v>1.0902799999999999</v>
      </c>
      <c r="BQ100" s="58">
        <f t="shared" ref="BQ100:BR100" si="106">BQ20/1000</f>
        <v>1.08E-4</v>
      </c>
      <c r="BR100" s="58">
        <f t="shared" si="106"/>
        <v>2.1000000000000002E-5</v>
      </c>
    </row>
    <row r="101" spans="1:70" ht="15.95" customHeight="1" x14ac:dyDescent="0.25">
      <c r="A101" s="58" t="s">
        <v>80</v>
      </c>
      <c r="B101" s="58">
        <f t="shared" ref="B101:G101" si="107">B21/1000</f>
        <v>0.27660000000000001</v>
      </c>
      <c r="C101" s="58">
        <f t="shared" si="107"/>
        <v>4.758</v>
      </c>
      <c r="D101" s="58">
        <f t="shared" si="107"/>
        <v>0.33589999999999998</v>
      </c>
      <c r="E101" s="58">
        <f t="shared" si="107"/>
        <v>2.5859999999999999</v>
      </c>
      <c r="F101" s="58">
        <f t="shared" si="107"/>
        <v>36.26</v>
      </c>
      <c r="G101" s="58">
        <f t="shared" si="107"/>
        <v>39.33</v>
      </c>
      <c r="H101" s="59">
        <v>1.2757499999999999</v>
      </c>
      <c r="I101" s="59">
        <v>1.17178</v>
      </c>
      <c r="J101" s="58">
        <f t="shared" ref="J101:T101" si="108">J21/1000</f>
        <v>0.21880000000000002</v>
      </c>
      <c r="K101" s="58">
        <f t="shared" si="108"/>
        <v>1.3560000000000001E-2</v>
      </c>
      <c r="L101" s="58">
        <f t="shared" si="108"/>
        <v>3.0499999999999999E-2</v>
      </c>
      <c r="M101" s="58">
        <f t="shared" si="108"/>
        <v>4.1399999999999996E-3</v>
      </c>
      <c r="N101" s="58">
        <f t="shared" si="108"/>
        <v>0.10299999999999999</v>
      </c>
      <c r="O101" s="58">
        <f t="shared" si="108"/>
        <v>0.44739999999999996</v>
      </c>
      <c r="P101" s="58">
        <f t="shared" si="108"/>
        <v>2.8899999999999998E-4</v>
      </c>
      <c r="Q101" s="58">
        <f t="shared" si="108"/>
        <v>3.7699999999999999E-3</v>
      </c>
      <c r="R101" s="58">
        <f t="shared" si="108"/>
        <v>3.5900000000000001E-2</v>
      </c>
      <c r="S101" s="58">
        <f t="shared" si="108"/>
        <v>2.0739999999999998E-2</v>
      </c>
      <c r="T101" s="58">
        <f t="shared" si="108"/>
        <v>1.1349999999999999E-3</v>
      </c>
      <c r="U101" s="59">
        <v>1.1444799999999999</v>
      </c>
      <c r="V101" s="59">
        <v>1.0285899999999999</v>
      </c>
      <c r="W101" s="58">
        <f t="shared" ref="W101:Z101" si="109">W21/1000</f>
        <v>1.4000000000000001E-4</v>
      </c>
      <c r="X101" s="58">
        <f t="shared" si="109"/>
        <v>8.8079999999999999E-3</v>
      </c>
      <c r="Y101" s="58">
        <f t="shared" si="109"/>
        <v>1.1310000000000001E-2</v>
      </c>
      <c r="Z101" s="58">
        <f t="shared" si="109"/>
        <v>0.14959999999999998</v>
      </c>
      <c r="AA101" s="59">
        <v>1.2361500000000001</v>
      </c>
      <c r="AB101" s="59">
        <v>1.1874100000000001</v>
      </c>
      <c r="AC101" s="58">
        <f t="shared" ref="AC101:AI101" si="110">AC21/1000</f>
        <v>4.1E-5</v>
      </c>
      <c r="AD101" s="58">
        <f t="shared" si="110"/>
        <v>8.0900000000000004E-4</v>
      </c>
      <c r="AE101" s="58">
        <f t="shared" si="110"/>
        <v>0</v>
      </c>
      <c r="AF101" s="58">
        <f t="shared" si="110"/>
        <v>3.0000000000000001E-6</v>
      </c>
      <c r="AG101" s="58">
        <f t="shared" si="110"/>
        <v>4.3999999999999999E-5</v>
      </c>
      <c r="AH101" s="58">
        <f t="shared" si="110"/>
        <v>1.66E-4</v>
      </c>
      <c r="AI101" s="58">
        <f t="shared" si="110"/>
        <v>6.2000000000000003E-5</v>
      </c>
      <c r="AJ101" s="59">
        <v>1.1372</v>
      </c>
      <c r="AK101" s="59">
        <v>1.16913</v>
      </c>
      <c r="AL101" s="58">
        <f t="shared" ref="AL101:BN101" si="111">AM21/1000</f>
        <v>9.2999999999999997E-5</v>
      </c>
      <c r="AM101" s="58">
        <f t="shared" si="111"/>
        <v>1.9999999999999999E-6</v>
      </c>
      <c r="AN101" s="58">
        <f t="shared" si="111"/>
        <v>1.1400000000000001E-4</v>
      </c>
      <c r="AO101" s="58">
        <f t="shared" si="111"/>
        <v>2.894E-2</v>
      </c>
      <c r="AP101" s="58">
        <f t="shared" si="111"/>
        <v>2.895E-2</v>
      </c>
      <c r="AQ101" s="58">
        <f t="shared" si="111"/>
        <v>3.1300000000000002E-4</v>
      </c>
      <c r="AR101" s="58">
        <f t="shared" si="111"/>
        <v>6.2100000000000002E-4</v>
      </c>
      <c r="AS101" s="58">
        <f t="shared" si="111"/>
        <v>7.2999999999999999E-5</v>
      </c>
      <c r="AT101" s="58">
        <f t="shared" si="111"/>
        <v>2.7600000000000004E-4</v>
      </c>
      <c r="AU101" s="58">
        <f t="shared" si="111"/>
        <v>5.3000000000000001E-5</v>
      </c>
      <c r="AV101" s="58">
        <f t="shared" si="111"/>
        <v>1.4999999999999999E-5</v>
      </c>
      <c r="AW101" s="58">
        <f t="shared" si="111"/>
        <v>4.8000000000000001E-5</v>
      </c>
      <c r="AX101" s="58">
        <f t="shared" si="111"/>
        <v>7.9999999999999996E-6</v>
      </c>
      <c r="AY101" s="58">
        <f t="shared" si="111"/>
        <v>3.4E-5</v>
      </c>
      <c r="AZ101" s="58">
        <f t="shared" si="111"/>
        <v>6.0000000000000002E-6</v>
      </c>
      <c r="BA101" s="58">
        <f t="shared" si="111"/>
        <v>1.7E-5</v>
      </c>
      <c r="BB101" s="58">
        <f t="shared" si="111"/>
        <v>1.9999999999999999E-6</v>
      </c>
      <c r="BC101" s="58">
        <f t="shared" si="111"/>
        <v>1.5999999999999999E-5</v>
      </c>
      <c r="BD101" s="58">
        <f t="shared" si="111"/>
        <v>1.9999999999999999E-6</v>
      </c>
      <c r="BE101" s="58">
        <f t="shared" si="111"/>
        <v>9.9999999999999995E-7</v>
      </c>
      <c r="BF101" s="58">
        <f t="shared" si="111"/>
        <v>8.2999999999999998E-5</v>
      </c>
      <c r="BG101" s="58">
        <f t="shared" si="111"/>
        <v>2.7400000000000005E-4</v>
      </c>
      <c r="BH101" s="58">
        <f t="shared" si="111"/>
        <v>2.8399999999999996E-4</v>
      </c>
      <c r="BI101" s="58">
        <f t="shared" si="111"/>
        <v>0</v>
      </c>
      <c r="BJ101" s="58">
        <f t="shared" si="111"/>
        <v>0</v>
      </c>
      <c r="BK101" s="58">
        <f t="shared" si="111"/>
        <v>6.6000000000000005E-5</v>
      </c>
      <c r="BL101" s="58">
        <f t="shared" si="111"/>
        <v>5.0000000000000004E-6</v>
      </c>
      <c r="BM101" s="58">
        <f t="shared" si="111"/>
        <v>2.0609999999999999E-3</v>
      </c>
      <c r="BN101" s="58">
        <f t="shared" si="111"/>
        <v>1.0238100000000002E-3</v>
      </c>
      <c r="BO101" s="59">
        <v>1.0238100000000001</v>
      </c>
      <c r="BP101" s="59">
        <v>1.09941</v>
      </c>
      <c r="BQ101" s="58">
        <f t="shared" ref="BQ101:BR101" si="112">BQ21/1000</f>
        <v>6.7000000000000002E-5</v>
      </c>
      <c r="BR101" s="58">
        <f t="shared" si="112"/>
        <v>1.5999999999999999E-5</v>
      </c>
    </row>
    <row r="102" spans="1:70" ht="15.95" customHeight="1" x14ac:dyDescent="0.25">
      <c r="A102" s="58" t="s">
        <v>81</v>
      </c>
      <c r="B102" s="58">
        <f t="shared" ref="B102:G102" si="113">B22/1000</f>
        <v>0.1535</v>
      </c>
      <c r="C102" s="58">
        <f t="shared" si="113"/>
        <v>4.0149999999999997</v>
      </c>
      <c r="D102" s="58">
        <f t="shared" si="113"/>
        <v>0.33139999999999997</v>
      </c>
      <c r="E102" s="58">
        <f t="shared" si="113"/>
        <v>2.0939999999999999</v>
      </c>
      <c r="F102" s="58">
        <f t="shared" si="113"/>
        <v>53.12</v>
      </c>
      <c r="G102" s="58">
        <f t="shared" si="113"/>
        <v>51.18</v>
      </c>
      <c r="H102" s="59">
        <v>1.23204</v>
      </c>
      <c r="I102" s="59">
        <v>1.14788</v>
      </c>
      <c r="J102" s="58">
        <f t="shared" ref="J102:T102" si="114">J22/1000</f>
        <v>0.27600000000000002</v>
      </c>
      <c r="K102" s="58">
        <f t="shared" si="114"/>
        <v>1.4760000000000001E-2</v>
      </c>
      <c r="L102" s="58">
        <f t="shared" si="114"/>
        <v>2.8459999999999999E-2</v>
      </c>
      <c r="M102" s="58">
        <f t="shared" si="114"/>
        <v>3.8959999999999997E-3</v>
      </c>
      <c r="N102" s="58">
        <f t="shared" si="114"/>
        <v>8.6919999999999997E-2</v>
      </c>
      <c r="O102" s="58">
        <f t="shared" si="114"/>
        <v>0.99690000000000001</v>
      </c>
      <c r="P102" s="58">
        <f t="shared" si="114"/>
        <v>3.4599999999999995E-4</v>
      </c>
      <c r="Q102" s="58">
        <f t="shared" si="114"/>
        <v>2.9199999999999999E-3</v>
      </c>
      <c r="R102" s="58">
        <f t="shared" si="114"/>
        <v>2.266E-2</v>
      </c>
      <c r="S102" s="58">
        <f t="shared" si="114"/>
        <v>3.0859999999999999E-2</v>
      </c>
      <c r="T102" s="58">
        <f t="shared" si="114"/>
        <v>7.6800000000000002E-4</v>
      </c>
      <c r="U102" s="59">
        <v>1.1111200000000001</v>
      </c>
      <c r="V102" s="59">
        <v>1.0131399999999999</v>
      </c>
      <c r="W102" s="58">
        <f t="shared" ref="W102:Z102" si="115">W22/1000</f>
        <v>2.4899999999999998E-4</v>
      </c>
      <c r="X102" s="58">
        <f t="shared" si="115"/>
        <v>1.2539999999999999E-2</v>
      </c>
      <c r="Y102" s="58">
        <f t="shared" si="115"/>
        <v>3.1969999999999998E-2</v>
      </c>
      <c r="Z102" s="58">
        <f t="shared" si="115"/>
        <v>0.15319999999999998</v>
      </c>
      <c r="AA102" s="59">
        <v>1.1937599999999999</v>
      </c>
      <c r="AB102" s="59">
        <v>1.16378</v>
      </c>
      <c r="AC102" s="58">
        <f t="shared" ref="AC102:AI102" si="116">AC22/1000</f>
        <v>4.3999999999999999E-5</v>
      </c>
      <c r="AD102" s="58">
        <f t="shared" si="116"/>
        <v>8.6399999999999997E-4</v>
      </c>
      <c r="AE102" s="58">
        <f t="shared" si="116"/>
        <v>9.9999999999999995E-7</v>
      </c>
      <c r="AF102" s="58">
        <f t="shared" si="116"/>
        <v>3.0000000000000001E-6</v>
      </c>
      <c r="AG102" s="58">
        <f t="shared" si="116"/>
        <v>3.8000000000000002E-5</v>
      </c>
      <c r="AH102" s="58">
        <f t="shared" si="116"/>
        <v>6.8999999999999997E-4</v>
      </c>
      <c r="AI102" s="58">
        <f t="shared" si="116"/>
        <v>7.0000000000000007E-5</v>
      </c>
      <c r="AJ102" s="59">
        <v>1.0971200000000001</v>
      </c>
      <c r="AK102" s="59">
        <v>1.14276</v>
      </c>
      <c r="AL102" s="58">
        <f t="shared" ref="AL102:BN102" si="117">AM22/1000</f>
        <v>1.3700000000000002E-4</v>
      </c>
      <c r="AM102" s="58">
        <f t="shared" si="117"/>
        <v>3.0000000000000001E-6</v>
      </c>
      <c r="AN102" s="58">
        <f t="shared" si="117"/>
        <v>2.13E-4</v>
      </c>
      <c r="AO102" s="58">
        <f t="shared" si="117"/>
        <v>1.9600000000000003E-2</v>
      </c>
      <c r="AP102" s="58">
        <f t="shared" si="117"/>
        <v>1.9699999999999999E-2</v>
      </c>
      <c r="AQ102" s="58">
        <f t="shared" si="117"/>
        <v>3.5799999999999997E-4</v>
      </c>
      <c r="AR102" s="58">
        <f t="shared" si="117"/>
        <v>6.6E-4</v>
      </c>
      <c r="AS102" s="58">
        <f t="shared" si="117"/>
        <v>8.0000000000000007E-5</v>
      </c>
      <c r="AT102" s="58">
        <f t="shared" si="117"/>
        <v>2.9799999999999998E-4</v>
      </c>
      <c r="AU102" s="58">
        <f t="shared" si="117"/>
        <v>5.9999999999999995E-5</v>
      </c>
      <c r="AV102" s="58">
        <f t="shared" si="117"/>
        <v>1.4999999999999999E-5</v>
      </c>
      <c r="AW102" s="58">
        <f t="shared" si="117"/>
        <v>5.1999999999999997E-5</v>
      </c>
      <c r="AX102" s="58">
        <f t="shared" si="117"/>
        <v>7.9999999999999996E-6</v>
      </c>
      <c r="AY102" s="58">
        <f t="shared" si="117"/>
        <v>3.8000000000000002E-5</v>
      </c>
      <c r="AZ102" s="58">
        <f t="shared" si="117"/>
        <v>6.9999999999999999E-6</v>
      </c>
      <c r="BA102" s="58">
        <f t="shared" si="117"/>
        <v>2.0000000000000002E-5</v>
      </c>
      <c r="BB102" s="58">
        <f t="shared" si="117"/>
        <v>3.0000000000000001E-6</v>
      </c>
      <c r="BC102" s="58">
        <f t="shared" si="117"/>
        <v>1.7999999999999997E-5</v>
      </c>
      <c r="BD102" s="58">
        <f t="shared" si="117"/>
        <v>3.0000000000000001E-6</v>
      </c>
      <c r="BE102" s="58">
        <f t="shared" si="117"/>
        <v>9.9999999999999995E-7</v>
      </c>
      <c r="BF102" s="58">
        <f t="shared" si="117"/>
        <v>8.7999999999999998E-5</v>
      </c>
      <c r="BG102" s="58">
        <f t="shared" si="117"/>
        <v>1.34E-4</v>
      </c>
      <c r="BH102" s="58">
        <f t="shared" si="117"/>
        <v>1.4000000000000001E-4</v>
      </c>
      <c r="BI102" s="58">
        <f t="shared" si="117"/>
        <v>0</v>
      </c>
      <c r="BJ102" s="58">
        <f t="shared" si="117"/>
        <v>9.9999999999999995E-7</v>
      </c>
      <c r="BK102" s="58">
        <f t="shared" si="117"/>
        <v>3.9600000000000003E-4</v>
      </c>
      <c r="BL102" s="58">
        <f t="shared" si="117"/>
        <v>1.1E-5</v>
      </c>
      <c r="BM102" s="58">
        <f t="shared" si="117"/>
        <v>1.2960000000000001E-3</v>
      </c>
      <c r="BN102" s="58">
        <f t="shared" si="117"/>
        <v>9.9320000000000007E-4</v>
      </c>
      <c r="BO102" s="59">
        <v>0.99319999999999997</v>
      </c>
      <c r="BP102" s="59">
        <v>1.0764899999999999</v>
      </c>
      <c r="BQ102" s="58">
        <f t="shared" ref="BQ102:BR102" si="118">BQ22/1000</f>
        <v>8.5000000000000006E-5</v>
      </c>
      <c r="BR102" s="58">
        <f t="shared" si="118"/>
        <v>1.7999999999999997E-5</v>
      </c>
    </row>
    <row r="103" spans="1:70" ht="15.95" customHeight="1" x14ac:dyDescent="0.25">
      <c r="A103" s="58" t="s">
        <v>82</v>
      </c>
      <c r="B103" s="58">
        <f t="shared" ref="B103:G103" si="119">B23/1000</f>
        <v>0.68589999999999995</v>
      </c>
      <c r="C103" s="58">
        <f t="shared" si="119"/>
        <v>4.4720000000000004</v>
      </c>
      <c r="D103" s="58">
        <f t="shared" si="119"/>
        <v>0.32069999999999999</v>
      </c>
      <c r="E103" s="58">
        <f t="shared" si="119"/>
        <v>3.9769999999999999</v>
      </c>
      <c r="F103" s="58">
        <f t="shared" si="119"/>
        <v>49.55</v>
      </c>
      <c r="G103" s="58">
        <f t="shared" si="119"/>
        <v>46.03</v>
      </c>
      <c r="H103" s="59">
        <v>1.2191399999999999</v>
      </c>
      <c r="I103" s="59">
        <v>1.16032</v>
      </c>
      <c r="J103" s="58">
        <f t="shared" ref="J103:T103" si="120">J23/1000</f>
        <v>0.24809999999999999</v>
      </c>
      <c r="K103" s="58">
        <f t="shared" si="120"/>
        <v>1.149E-2</v>
      </c>
      <c r="L103" s="58">
        <f t="shared" si="120"/>
        <v>2.8039999999999999E-2</v>
      </c>
      <c r="M103" s="58">
        <f t="shared" si="120"/>
        <v>3.882E-3</v>
      </c>
      <c r="N103" s="58">
        <f t="shared" si="120"/>
        <v>0.1051</v>
      </c>
      <c r="O103" s="58">
        <f t="shared" si="120"/>
        <v>0.70629999999999993</v>
      </c>
      <c r="P103" s="58">
        <f t="shared" si="120"/>
        <v>3.4399999999999996E-4</v>
      </c>
      <c r="Q103" s="58">
        <f t="shared" si="120"/>
        <v>3.4989999999999999E-3</v>
      </c>
      <c r="R103" s="58">
        <f t="shared" si="120"/>
        <v>4.2320000000000003E-2</v>
      </c>
      <c r="S103" s="58">
        <f t="shared" si="120"/>
        <v>1.8879999999999997E-2</v>
      </c>
      <c r="T103" s="58">
        <f t="shared" si="120"/>
        <v>1.397E-3</v>
      </c>
      <c r="U103" s="59">
        <v>1.10798</v>
      </c>
      <c r="V103" s="59">
        <v>1.0082</v>
      </c>
      <c r="W103" s="58">
        <f t="shared" ref="W103:Z103" si="121">W23/1000</f>
        <v>2.0799999999999999E-4</v>
      </c>
      <c r="X103" s="58">
        <f t="shared" si="121"/>
        <v>1.9910000000000001E-2</v>
      </c>
      <c r="Y103" s="58">
        <f t="shared" si="121"/>
        <v>1.303E-2</v>
      </c>
      <c r="Z103" s="58">
        <f t="shared" si="121"/>
        <v>0.22569999999999998</v>
      </c>
      <c r="AA103" s="59">
        <v>1.18781</v>
      </c>
      <c r="AB103" s="59">
        <v>1.17526</v>
      </c>
      <c r="AC103" s="58">
        <f t="shared" ref="AC103:AI103" si="122">AC23/1000</f>
        <v>3.1999999999999999E-5</v>
      </c>
      <c r="AD103" s="58">
        <f t="shared" si="122"/>
        <v>9.8200000000000002E-4</v>
      </c>
      <c r="AE103" s="58">
        <f t="shared" si="122"/>
        <v>9.9999999999999995E-7</v>
      </c>
      <c r="AF103" s="58">
        <f t="shared" si="122"/>
        <v>3.9999999999999998E-6</v>
      </c>
      <c r="AG103" s="58">
        <f t="shared" si="122"/>
        <v>6.0999999999999999E-5</v>
      </c>
      <c r="AH103" s="58">
        <f t="shared" si="122"/>
        <v>4.1099999999999996E-4</v>
      </c>
      <c r="AI103" s="58">
        <f t="shared" si="122"/>
        <v>4.9000000000000005E-5</v>
      </c>
      <c r="AJ103" s="59">
        <v>1.0943700000000001</v>
      </c>
      <c r="AK103" s="59">
        <v>1.15509</v>
      </c>
      <c r="AL103" s="58">
        <f t="shared" ref="AL103:BN103" si="123">AM23/1000</f>
        <v>3.3000000000000003E-5</v>
      </c>
      <c r="AM103" s="58">
        <f t="shared" si="123"/>
        <v>9.9999999999999995E-7</v>
      </c>
      <c r="AN103" s="58">
        <f t="shared" si="123"/>
        <v>1.1700000000000001E-4</v>
      </c>
      <c r="AO103" s="58">
        <f t="shared" si="123"/>
        <v>3.5909999999999997E-2</v>
      </c>
      <c r="AP103" s="58">
        <f t="shared" si="123"/>
        <v>3.594E-2</v>
      </c>
      <c r="AQ103" s="58">
        <f t="shared" si="123"/>
        <v>2.5900000000000001E-4</v>
      </c>
      <c r="AR103" s="58">
        <f t="shared" si="123"/>
        <v>4.9600000000000002E-4</v>
      </c>
      <c r="AS103" s="58">
        <f t="shared" si="123"/>
        <v>5.9999999999999995E-5</v>
      </c>
      <c r="AT103" s="58">
        <f t="shared" si="123"/>
        <v>2.2900000000000001E-4</v>
      </c>
      <c r="AU103" s="58">
        <f t="shared" si="123"/>
        <v>4.8000000000000001E-5</v>
      </c>
      <c r="AV103" s="58">
        <f t="shared" si="123"/>
        <v>1.4E-5</v>
      </c>
      <c r="AW103" s="58">
        <f t="shared" si="123"/>
        <v>4.1E-5</v>
      </c>
      <c r="AX103" s="58">
        <f t="shared" si="123"/>
        <v>6.0000000000000002E-6</v>
      </c>
      <c r="AY103" s="58">
        <f t="shared" si="123"/>
        <v>2.9999999999999997E-5</v>
      </c>
      <c r="AZ103" s="58">
        <f t="shared" si="123"/>
        <v>5.0000000000000004E-6</v>
      </c>
      <c r="BA103" s="58">
        <f t="shared" si="123"/>
        <v>1.4E-5</v>
      </c>
      <c r="BB103" s="58">
        <f t="shared" si="123"/>
        <v>1.9999999999999999E-6</v>
      </c>
      <c r="BC103" s="58">
        <f t="shared" si="123"/>
        <v>1.2E-5</v>
      </c>
      <c r="BD103" s="58">
        <f t="shared" si="123"/>
        <v>1.9999999999999999E-6</v>
      </c>
      <c r="BE103" s="58">
        <f t="shared" si="123"/>
        <v>1.9999999999999999E-6</v>
      </c>
      <c r="BF103" s="58">
        <f t="shared" si="123"/>
        <v>1.16E-4</v>
      </c>
      <c r="BG103" s="58">
        <f t="shared" si="123"/>
        <v>1.7199999999999998E-4</v>
      </c>
      <c r="BH103" s="58">
        <f t="shared" si="123"/>
        <v>1.75E-4</v>
      </c>
      <c r="BI103" s="58">
        <f t="shared" si="123"/>
        <v>0</v>
      </c>
      <c r="BJ103" s="58">
        <f t="shared" si="123"/>
        <v>0</v>
      </c>
      <c r="BK103" s="58">
        <f t="shared" si="123"/>
        <v>1.3100000000000001E-4</v>
      </c>
      <c r="BL103" s="58">
        <f t="shared" si="123"/>
        <v>5.0000000000000004E-6</v>
      </c>
      <c r="BM103" s="58">
        <f t="shared" si="123"/>
        <v>1.1200000000000001E-3</v>
      </c>
      <c r="BN103" s="58">
        <f t="shared" si="123"/>
        <v>9.9036000000000003E-4</v>
      </c>
      <c r="BO103" s="59">
        <v>0.99036000000000002</v>
      </c>
      <c r="BP103" s="59">
        <v>1.0866199999999999</v>
      </c>
      <c r="BQ103" s="58">
        <f t="shared" ref="BQ103:BR103" si="124">BQ23/1000</f>
        <v>8.1000000000000004E-5</v>
      </c>
      <c r="BR103" s="58">
        <f t="shared" si="124"/>
        <v>1.4E-5</v>
      </c>
    </row>
    <row r="104" spans="1:70" ht="15.95" customHeight="1" x14ac:dyDescent="0.25">
      <c r="A104" s="58" t="s">
        <v>83</v>
      </c>
      <c r="B104" s="58">
        <f t="shared" ref="B104:G104" si="125">B24/1000</f>
        <v>0.48460000000000003</v>
      </c>
      <c r="C104" s="58">
        <f t="shared" si="125"/>
        <v>4.431</v>
      </c>
      <c r="D104" s="58">
        <f t="shared" si="125"/>
        <v>0.38100000000000001</v>
      </c>
      <c r="E104" s="58">
        <f t="shared" si="125"/>
        <v>2.9319999999999999</v>
      </c>
      <c r="F104" s="58">
        <f t="shared" si="125"/>
        <v>54.69</v>
      </c>
      <c r="G104" s="58">
        <f t="shared" si="125"/>
        <v>49.05</v>
      </c>
      <c r="H104" s="59">
        <v>1.2141599999999999</v>
      </c>
      <c r="I104" s="59">
        <v>1.1486000000000001</v>
      </c>
      <c r="J104" s="58">
        <f t="shared" ref="J104:T104" si="126">J24/1000</f>
        <v>0.26550000000000001</v>
      </c>
      <c r="K104" s="58">
        <f t="shared" si="126"/>
        <v>1.3599999999999999E-2</v>
      </c>
      <c r="L104" s="58">
        <f t="shared" si="126"/>
        <v>3.1320000000000001E-2</v>
      </c>
      <c r="M104" s="58">
        <f t="shared" si="126"/>
        <v>4.0210000000000003E-3</v>
      </c>
      <c r="N104" s="58">
        <f t="shared" si="126"/>
        <v>0.1298</v>
      </c>
      <c r="O104" s="58">
        <f t="shared" si="126"/>
        <v>0.48710000000000003</v>
      </c>
      <c r="P104" s="58">
        <f t="shared" si="126"/>
        <v>5.4100000000000003E-4</v>
      </c>
      <c r="Q104" s="58">
        <f t="shared" si="126"/>
        <v>3.0830000000000002E-3</v>
      </c>
      <c r="R104" s="58">
        <f t="shared" si="126"/>
        <v>4.1309999999999999E-2</v>
      </c>
      <c r="S104" s="58">
        <f t="shared" si="126"/>
        <v>1.0070000000000001E-2</v>
      </c>
      <c r="T104" s="58">
        <f t="shared" si="126"/>
        <v>1.018E-3</v>
      </c>
      <c r="U104" s="59">
        <v>1.09832</v>
      </c>
      <c r="V104" s="59">
        <v>1.00156</v>
      </c>
      <c r="W104" s="58">
        <f t="shared" ref="W104:Z104" si="127">W24/1000</f>
        <v>1.7199999999999998E-4</v>
      </c>
      <c r="X104" s="58">
        <f t="shared" si="127"/>
        <v>2.4629999999999999E-2</v>
      </c>
      <c r="Y104" s="58">
        <f t="shared" si="127"/>
        <v>1.583E-2</v>
      </c>
      <c r="Z104" s="58">
        <f t="shared" si="127"/>
        <v>0.26050000000000001</v>
      </c>
      <c r="AA104" s="59">
        <v>1.1814800000000001</v>
      </c>
      <c r="AB104" s="59">
        <v>1.1672100000000001</v>
      </c>
      <c r="AC104" s="58">
        <f t="shared" ref="AC104:AI104" si="128">AC24/1000</f>
        <v>3.8000000000000002E-5</v>
      </c>
      <c r="AD104" s="58">
        <f t="shared" si="128"/>
        <v>1.2949999999999999E-3</v>
      </c>
      <c r="AE104" s="58">
        <f t="shared" si="128"/>
        <v>9.9999999999999995E-7</v>
      </c>
      <c r="AF104" s="58">
        <f t="shared" si="128"/>
        <v>5.0000000000000004E-6</v>
      </c>
      <c r="AG104" s="58">
        <f t="shared" si="128"/>
        <v>6.3999999999999997E-5</v>
      </c>
      <c r="AH104" s="58">
        <f t="shared" si="128"/>
        <v>8.7000000000000001E-5</v>
      </c>
      <c r="AI104" s="58">
        <f t="shared" si="128"/>
        <v>4.4999999999999996E-5</v>
      </c>
      <c r="AJ104" s="59">
        <v>1.0868100000000001</v>
      </c>
      <c r="AK104" s="59">
        <v>1.1428100000000001</v>
      </c>
      <c r="AL104" s="58">
        <f t="shared" ref="AL104:BN104" si="129">AM24/1000</f>
        <v>2.9999999999999997E-5</v>
      </c>
      <c r="AM104" s="58">
        <f t="shared" si="129"/>
        <v>1.9999999999999999E-6</v>
      </c>
      <c r="AN104" s="58">
        <f t="shared" si="129"/>
        <v>1.35E-4</v>
      </c>
      <c r="AO104" s="58">
        <f t="shared" si="129"/>
        <v>2.5940000000000001E-2</v>
      </c>
      <c r="AP104" s="58">
        <f t="shared" si="129"/>
        <v>2.589E-2</v>
      </c>
      <c r="AQ104" s="58">
        <f t="shared" si="129"/>
        <v>3.1E-4</v>
      </c>
      <c r="AR104" s="58">
        <f t="shared" si="129"/>
        <v>5.9800000000000001E-4</v>
      </c>
      <c r="AS104" s="58">
        <f t="shared" si="129"/>
        <v>7.1999999999999988E-5</v>
      </c>
      <c r="AT104" s="58">
        <f t="shared" si="129"/>
        <v>2.7900000000000001E-4</v>
      </c>
      <c r="AU104" s="58">
        <f t="shared" si="129"/>
        <v>5.5999999999999999E-5</v>
      </c>
      <c r="AV104" s="58">
        <f t="shared" si="129"/>
        <v>1.4E-5</v>
      </c>
      <c r="AW104" s="58">
        <f t="shared" si="129"/>
        <v>5.0000000000000002E-5</v>
      </c>
      <c r="AX104" s="58">
        <f t="shared" si="129"/>
        <v>6.9999999999999999E-6</v>
      </c>
      <c r="AY104" s="58">
        <f t="shared" si="129"/>
        <v>3.8000000000000002E-5</v>
      </c>
      <c r="AZ104" s="58">
        <f t="shared" si="129"/>
        <v>6.9999999999999999E-6</v>
      </c>
      <c r="BA104" s="58">
        <f t="shared" si="129"/>
        <v>1.9000000000000001E-5</v>
      </c>
      <c r="BB104" s="58">
        <f t="shared" si="129"/>
        <v>1.9999999999999999E-6</v>
      </c>
      <c r="BC104" s="58">
        <f t="shared" si="129"/>
        <v>1.4999999999999999E-5</v>
      </c>
      <c r="BD104" s="58">
        <f t="shared" si="129"/>
        <v>1.9999999999999999E-6</v>
      </c>
      <c r="BE104" s="58">
        <f t="shared" si="129"/>
        <v>9.9999999999999995E-7</v>
      </c>
      <c r="BF104" s="58">
        <f t="shared" si="129"/>
        <v>1.12E-4</v>
      </c>
      <c r="BG104" s="58">
        <f t="shared" si="129"/>
        <v>3.4899999999999997E-4</v>
      </c>
      <c r="BH104" s="58">
        <f t="shared" si="129"/>
        <v>3.6299999999999999E-4</v>
      </c>
      <c r="BI104" s="58">
        <f t="shared" si="129"/>
        <v>0</v>
      </c>
      <c r="BJ104" s="58">
        <f t="shared" si="129"/>
        <v>0</v>
      </c>
      <c r="BK104" s="58">
        <f t="shared" si="129"/>
        <v>1.25E-4</v>
      </c>
      <c r="BL104" s="58">
        <f t="shared" si="129"/>
        <v>5.0000000000000004E-6</v>
      </c>
      <c r="BM104" s="58">
        <f t="shared" si="129"/>
        <v>1.603E-3</v>
      </c>
      <c r="BN104" s="58">
        <f t="shared" si="129"/>
        <v>9.8653999999999994E-4</v>
      </c>
      <c r="BO104" s="59">
        <v>0.98653999999999997</v>
      </c>
      <c r="BP104" s="59">
        <v>1.0783199999999999</v>
      </c>
      <c r="BQ104" s="58">
        <f t="shared" ref="BQ104:BR104" si="130">BQ24/1000</f>
        <v>9.3999999999999994E-5</v>
      </c>
      <c r="BR104" s="58">
        <f t="shared" si="130"/>
        <v>1.7999999999999997E-5</v>
      </c>
    </row>
    <row r="105" spans="1:70" ht="15.95" customHeight="1" x14ac:dyDescent="0.25">
      <c r="A105" s="58" t="s">
        <v>84</v>
      </c>
      <c r="B105" s="58">
        <f t="shared" ref="B105:G105" si="131">B25/1000</f>
        <v>0.51449999999999996</v>
      </c>
      <c r="C105" s="58">
        <f t="shared" si="131"/>
        <v>4.1210000000000004</v>
      </c>
      <c r="D105" s="58">
        <f t="shared" si="131"/>
        <v>0.3211</v>
      </c>
      <c r="E105" s="58">
        <f t="shared" si="131"/>
        <v>4.0570000000000004</v>
      </c>
      <c r="F105" s="58">
        <f t="shared" si="131"/>
        <v>52.26</v>
      </c>
      <c r="G105" s="58">
        <f t="shared" si="131"/>
        <v>47.6</v>
      </c>
      <c r="H105" s="59">
        <v>1.21102</v>
      </c>
      <c r="I105" s="59">
        <v>1.1499900000000001</v>
      </c>
      <c r="J105" s="58">
        <f t="shared" ref="J105:T105" si="132">J25/1000</f>
        <v>0.25009999999999999</v>
      </c>
      <c r="K105" s="58">
        <f t="shared" si="132"/>
        <v>1.2410000000000001E-2</v>
      </c>
      <c r="L105" s="58">
        <f t="shared" si="132"/>
        <v>2.4410000000000001E-2</v>
      </c>
      <c r="M105" s="58">
        <f t="shared" si="132"/>
        <v>3.058E-3</v>
      </c>
      <c r="N105" s="58">
        <f t="shared" si="132"/>
        <v>0.13980000000000001</v>
      </c>
      <c r="O105" s="58">
        <f t="shared" si="132"/>
        <v>0.39839999999999998</v>
      </c>
      <c r="P105" s="58">
        <f t="shared" si="132"/>
        <v>5.6999999999999998E-4</v>
      </c>
      <c r="Q105" s="58">
        <f t="shared" si="132"/>
        <v>5.2610000000000001E-3</v>
      </c>
      <c r="R105" s="58">
        <f t="shared" si="132"/>
        <v>0.16850000000000001</v>
      </c>
      <c r="S105" s="58">
        <f t="shared" si="132"/>
        <v>1.7479999999999999E-2</v>
      </c>
      <c r="T105" s="58">
        <f t="shared" si="132"/>
        <v>1.756E-3</v>
      </c>
      <c r="U105" s="59">
        <v>1.0867500000000001</v>
      </c>
      <c r="V105" s="59">
        <v>1.00095</v>
      </c>
      <c r="W105" s="58">
        <f t="shared" ref="W105:Z105" si="133">W25/1000</f>
        <v>2.0000000000000001E-4</v>
      </c>
      <c r="X105" s="58">
        <f t="shared" si="133"/>
        <v>7.848999999999999E-2</v>
      </c>
      <c r="Y105" s="58">
        <f t="shared" si="133"/>
        <v>1.66E-2</v>
      </c>
      <c r="Z105" s="58">
        <f t="shared" si="133"/>
        <v>0.33139999999999997</v>
      </c>
      <c r="AA105" s="59">
        <v>1.1795599999999999</v>
      </c>
      <c r="AB105" s="59">
        <v>1.1678200000000001</v>
      </c>
      <c r="AC105" s="58">
        <f t="shared" ref="AC105:AI105" si="134">AC25/1000</f>
        <v>3.4E-5</v>
      </c>
      <c r="AD105" s="58">
        <f t="shared" si="134"/>
        <v>1.0269999999999999E-3</v>
      </c>
      <c r="AE105" s="58">
        <f t="shared" si="134"/>
        <v>1.9999999999999999E-6</v>
      </c>
      <c r="AF105" s="58">
        <f t="shared" si="134"/>
        <v>1.4999999999999999E-5</v>
      </c>
      <c r="AG105" s="58">
        <f t="shared" si="134"/>
        <v>1.2400000000000001E-4</v>
      </c>
      <c r="AH105" s="58">
        <f t="shared" si="134"/>
        <v>2.14E-4</v>
      </c>
      <c r="AI105" s="58">
        <f t="shared" si="134"/>
        <v>1.2400000000000001E-4</v>
      </c>
      <c r="AJ105" s="59">
        <v>1.0825499999999999</v>
      </c>
      <c r="AK105" s="59">
        <v>1.1438999999999999</v>
      </c>
      <c r="AL105" s="58">
        <f t="shared" ref="AL105:BN105" si="135">AM25/1000</f>
        <v>4.2000000000000004E-5</v>
      </c>
      <c r="AM105" s="58">
        <f t="shared" si="135"/>
        <v>3.0000000000000001E-6</v>
      </c>
      <c r="AN105" s="58">
        <f t="shared" si="135"/>
        <v>9.5000000000000005E-5</v>
      </c>
      <c r="AO105" s="58">
        <f t="shared" si="135"/>
        <v>4.6380000000000005E-2</v>
      </c>
      <c r="AP105" s="58">
        <f t="shared" si="135"/>
        <v>4.6009999999999995E-2</v>
      </c>
      <c r="AQ105" s="58">
        <f t="shared" si="135"/>
        <v>2.6900000000000003E-4</v>
      </c>
      <c r="AR105" s="58">
        <f t="shared" si="135"/>
        <v>4.8799999999999999E-4</v>
      </c>
      <c r="AS105" s="58">
        <f t="shared" si="135"/>
        <v>6.2000000000000003E-5</v>
      </c>
      <c r="AT105" s="58">
        <f t="shared" si="135"/>
        <v>2.3000000000000001E-4</v>
      </c>
      <c r="AU105" s="58">
        <f t="shared" si="135"/>
        <v>4.4999999999999996E-5</v>
      </c>
      <c r="AV105" s="58">
        <f t="shared" si="135"/>
        <v>1.7999999999999997E-5</v>
      </c>
      <c r="AW105" s="58">
        <f t="shared" si="135"/>
        <v>4.2000000000000004E-5</v>
      </c>
      <c r="AX105" s="58">
        <f t="shared" si="135"/>
        <v>6.0000000000000002E-6</v>
      </c>
      <c r="AY105" s="58">
        <f t="shared" si="135"/>
        <v>3.1000000000000001E-5</v>
      </c>
      <c r="AZ105" s="58">
        <f t="shared" si="135"/>
        <v>6.0000000000000002E-6</v>
      </c>
      <c r="BA105" s="58">
        <f t="shared" si="135"/>
        <v>1.5999999999999999E-5</v>
      </c>
      <c r="BB105" s="58">
        <f t="shared" si="135"/>
        <v>1.9999999999999999E-6</v>
      </c>
      <c r="BC105" s="58">
        <f t="shared" si="135"/>
        <v>1.2999999999999999E-5</v>
      </c>
      <c r="BD105" s="58">
        <f t="shared" si="135"/>
        <v>1.9999999999999999E-6</v>
      </c>
      <c r="BE105" s="58">
        <f t="shared" si="135"/>
        <v>9.9999999999999995E-7</v>
      </c>
      <c r="BF105" s="58">
        <f t="shared" si="135"/>
        <v>1.3900000000000002E-4</v>
      </c>
      <c r="BG105" s="58">
        <f t="shared" si="135"/>
        <v>2.8000000000000003E-4</v>
      </c>
      <c r="BH105" s="58">
        <f t="shared" si="135"/>
        <v>2.8899999999999998E-4</v>
      </c>
      <c r="BI105" s="58">
        <f t="shared" si="135"/>
        <v>0</v>
      </c>
      <c r="BJ105" s="58">
        <f t="shared" si="135"/>
        <v>0</v>
      </c>
      <c r="BK105" s="58">
        <f t="shared" si="135"/>
        <v>1.0399999999999999E-4</v>
      </c>
      <c r="BL105" s="58">
        <f t="shared" si="135"/>
        <v>6.9999999999999999E-6</v>
      </c>
      <c r="BM105" s="58">
        <f t="shared" si="135"/>
        <v>0.2898</v>
      </c>
      <c r="BN105" s="58">
        <f t="shared" si="135"/>
        <v>9.8294000000000007E-4</v>
      </c>
      <c r="BO105" s="59">
        <v>0.98294000000000004</v>
      </c>
      <c r="BP105" s="59">
        <v>1.07768</v>
      </c>
      <c r="BQ105" s="58">
        <f t="shared" ref="BQ105:BR105" si="136">BQ25/1000</f>
        <v>4.4999999999999996E-5</v>
      </c>
      <c r="BR105" s="58">
        <f t="shared" si="136"/>
        <v>1.4999999999999999E-5</v>
      </c>
    </row>
    <row r="106" spans="1:70" ht="15.95" customHeight="1" x14ac:dyDescent="0.25">
      <c r="A106" s="58" t="s">
        <v>85</v>
      </c>
      <c r="B106" s="58">
        <f t="shared" ref="B106:G106" si="137">B26/1000</f>
        <v>0.2392</v>
      </c>
      <c r="C106" s="58">
        <f t="shared" si="137"/>
        <v>3.863</v>
      </c>
      <c r="D106" s="58">
        <f t="shared" si="137"/>
        <v>0.25269999999999998</v>
      </c>
      <c r="E106" s="58">
        <f t="shared" si="137"/>
        <v>3.419</v>
      </c>
      <c r="F106" s="58">
        <f t="shared" si="137"/>
        <v>57.44</v>
      </c>
      <c r="G106" s="58">
        <f t="shared" si="137"/>
        <v>35.22</v>
      </c>
      <c r="H106" s="59">
        <v>1.20306</v>
      </c>
      <c r="I106" s="59">
        <v>1.15151</v>
      </c>
      <c r="J106" s="58">
        <f t="shared" ref="J106:T106" si="138">J26/1000</f>
        <v>0.19</v>
      </c>
      <c r="K106" s="58">
        <f t="shared" si="138"/>
        <v>9.9450000000000007E-3</v>
      </c>
      <c r="L106" s="58">
        <f t="shared" si="138"/>
        <v>2.3219999999999998E-2</v>
      </c>
      <c r="M106" s="58">
        <f t="shared" si="138"/>
        <v>3.2940000000000001E-3</v>
      </c>
      <c r="N106" s="58">
        <f t="shared" si="138"/>
        <v>9.1430000000000011E-2</v>
      </c>
      <c r="O106" s="58">
        <f t="shared" si="138"/>
        <v>0.34439999999999998</v>
      </c>
      <c r="P106" s="58">
        <f t="shared" si="138"/>
        <v>5.2099999999999998E-4</v>
      </c>
      <c r="Q106" s="58">
        <f t="shared" si="138"/>
        <v>6.3670000000000003E-3</v>
      </c>
      <c r="R106" s="58">
        <f t="shared" si="138"/>
        <v>3.2809999999999999E-2</v>
      </c>
      <c r="S106" s="58">
        <f t="shared" si="138"/>
        <v>6.8730000000000006E-3</v>
      </c>
      <c r="T106" s="58">
        <f t="shared" si="138"/>
        <v>1.078E-3</v>
      </c>
      <c r="U106" s="59">
        <v>1.0643199999999999</v>
      </c>
      <c r="V106" s="59">
        <v>1.00064</v>
      </c>
      <c r="W106" s="58">
        <f t="shared" ref="W106:Z106" si="139">W26/1000</f>
        <v>1.5300000000000001E-4</v>
      </c>
      <c r="X106" s="58">
        <f t="shared" si="139"/>
        <v>2.3480000000000001E-2</v>
      </c>
      <c r="Y106" s="58">
        <f t="shared" si="139"/>
        <v>2.63E-2</v>
      </c>
      <c r="Z106" s="58">
        <f t="shared" si="139"/>
        <v>0.14580000000000001</v>
      </c>
      <c r="AA106" s="59">
        <v>1.15812</v>
      </c>
      <c r="AB106" s="59">
        <v>1.16764</v>
      </c>
      <c r="AC106" s="58">
        <f t="shared" ref="AC106:AI106" si="140">AC26/1000</f>
        <v>2.5000000000000001E-5</v>
      </c>
      <c r="AD106" s="58">
        <f t="shared" si="140"/>
        <v>4.6899999999999996E-4</v>
      </c>
      <c r="AE106" s="58">
        <f t="shared" si="140"/>
        <v>9.9999999999999995E-7</v>
      </c>
      <c r="AF106" s="58">
        <f t="shared" si="140"/>
        <v>3.0000000000000001E-6</v>
      </c>
      <c r="AG106" s="58">
        <f t="shared" si="140"/>
        <v>4.1E-5</v>
      </c>
      <c r="AH106" s="58">
        <f t="shared" si="140"/>
        <v>2.5000000000000001E-4</v>
      </c>
      <c r="AI106" s="58">
        <f t="shared" si="140"/>
        <v>5.1999999999999997E-5</v>
      </c>
      <c r="AJ106" s="59">
        <v>1.0646199999999999</v>
      </c>
      <c r="AK106" s="59">
        <v>1.1523699999999999</v>
      </c>
      <c r="AL106" s="58">
        <f t="shared" ref="AL106:BN106" si="141">AM26/1000</f>
        <v>3.5999999999999994E-5</v>
      </c>
      <c r="AM106" s="58">
        <f t="shared" si="141"/>
        <v>1.9999999999999999E-6</v>
      </c>
      <c r="AN106" s="58">
        <f t="shared" si="141"/>
        <v>1.2799999999999999E-4</v>
      </c>
      <c r="AO106" s="58">
        <f t="shared" si="141"/>
        <v>2.7980000000000001E-2</v>
      </c>
      <c r="AP106" s="58">
        <f t="shared" si="141"/>
        <v>2.802E-2</v>
      </c>
      <c r="AQ106" s="58">
        <f t="shared" si="141"/>
        <v>2.1699999999999999E-4</v>
      </c>
      <c r="AR106" s="58">
        <f t="shared" si="141"/>
        <v>3.8700000000000003E-4</v>
      </c>
      <c r="AS106" s="58">
        <f t="shared" si="141"/>
        <v>5.0000000000000002E-5</v>
      </c>
      <c r="AT106" s="58">
        <f t="shared" si="141"/>
        <v>1.8699999999999999E-4</v>
      </c>
      <c r="AU106" s="58">
        <f t="shared" si="141"/>
        <v>3.5999999999999994E-5</v>
      </c>
      <c r="AV106" s="58">
        <f t="shared" si="141"/>
        <v>1.2E-5</v>
      </c>
      <c r="AW106" s="58">
        <f t="shared" si="141"/>
        <v>3.3000000000000003E-5</v>
      </c>
      <c r="AX106" s="58">
        <f t="shared" si="141"/>
        <v>5.0000000000000004E-6</v>
      </c>
      <c r="AY106" s="58">
        <f t="shared" si="141"/>
        <v>2.5000000000000001E-5</v>
      </c>
      <c r="AZ106" s="58">
        <f t="shared" si="141"/>
        <v>5.0000000000000004E-6</v>
      </c>
      <c r="BA106" s="58">
        <f t="shared" si="141"/>
        <v>1.2999999999999999E-5</v>
      </c>
      <c r="BB106" s="58">
        <f t="shared" si="141"/>
        <v>1.9999999999999999E-6</v>
      </c>
      <c r="BC106" s="58">
        <f t="shared" si="141"/>
        <v>1.1E-5</v>
      </c>
      <c r="BD106" s="58">
        <f t="shared" si="141"/>
        <v>9.9999999999999995E-7</v>
      </c>
      <c r="BE106" s="58">
        <f t="shared" si="141"/>
        <v>9.9999999999999995E-7</v>
      </c>
      <c r="BF106" s="58">
        <f t="shared" si="141"/>
        <v>7.3999999999999996E-5</v>
      </c>
      <c r="BG106" s="58">
        <f t="shared" si="141"/>
        <v>2.3499999999999999E-4</v>
      </c>
      <c r="BH106" s="58">
        <f t="shared" si="141"/>
        <v>2.3999999999999998E-4</v>
      </c>
      <c r="BI106" s="58">
        <f t="shared" si="141"/>
        <v>0</v>
      </c>
      <c r="BJ106" s="58">
        <f t="shared" si="141"/>
        <v>0</v>
      </c>
      <c r="BK106" s="58">
        <f t="shared" si="141"/>
        <v>1.27E-4</v>
      </c>
      <c r="BL106" s="58">
        <f t="shared" si="141"/>
        <v>5.0000000000000004E-6</v>
      </c>
      <c r="BM106" s="58">
        <f t="shared" si="141"/>
        <v>2.2170000000000002E-3</v>
      </c>
      <c r="BN106" s="58">
        <f t="shared" si="141"/>
        <v>9.7599000000000004E-4</v>
      </c>
      <c r="BO106" s="59">
        <v>0.97599000000000002</v>
      </c>
      <c r="BP106" s="59">
        <v>1.0849800000000001</v>
      </c>
      <c r="BQ106" s="58">
        <f t="shared" ref="BQ106:BR106" si="142">BQ26/1000</f>
        <v>5.7000000000000003E-5</v>
      </c>
      <c r="BR106" s="58">
        <f t="shared" si="142"/>
        <v>1.2E-5</v>
      </c>
    </row>
    <row r="107" spans="1:70" ht="15.95" customHeight="1" x14ac:dyDescent="0.25">
      <c r="A107" s="58" t="s">
        <v>86</v>
      </c>
      <c r="B107" s="58">
        <f t="shared" ref="B107:G107" si="143">B27/1000</f>
        <v>0.29830000000000001</v>
      </c>
      <c r="C107" s="58">
        <f t="shared" si="143"/>
        <v>4.2619999999999996</v>
      </c>
      <c r="D107" s="58">
        <f t="shared" si="143"/>
        <v>0.52160000000000006</v>
      </c>
      <c r="E107" s="58">
        <f t="shared" si="143"/>
        <v>2.9889999999999999</v>
      </c>
      <c r="F107" s="58">
        <f t="shared" si="143"/>
        <v>51.67</v>
      </c>
      <c r="G107" s="58">
        <f t="shared" si="143"/>
        <v>55.83</v>
      </c>
      <c r="H107" s="59">
        <v>1.17126</v>
      </c>
      <c r="I107" s="59">
        <v>1.12259</v>
      </c>
      <c r="J107" s="58">
        <f t="shared" ref="J107:T107" si="144">J27/1000</f>
        <v>0.30099999999999999</v>
      </c>
      <c r="K107" s="58">
        <f t="shared" si="144"/>
        <v>1.7770000000000001E-2</v>
      </c>
      <c r="L107" s="58">
        <f t="shared" si="144"/>
        <v>3.083E-2</v>
      </c>
      <c r="M107" s="58">
        <f t="shared" si="144"/>
        <v>3.6939999999999998E-3</v>
      </c>
      <c r="N107" s="58">
        <f t="shared" si="144"/>
        <v>0.12490000000000001</v>
      </c>
      <c r="O107" s="58">
        <f t="shared" si="144"/>
        <v>0.60360000000000003</v>
      </c>
      <c r="P107" s="58">
        <f t="shared" si="144"/>
        <v>3.7100000000000002E-4</v>
      </c>
      <c r="Q107" s="58">
        <f t="shared" si="144"/>
        <v>2.1410000000000001E-3</v>
      </c>
      <c r="R107" s="58">
        <f t="shared" si="144"/>
        <v>2.213E-2</v>
      </c>
      <c r="S107" s="58">
        <f t="shared" si="144"/>
        <v>1.205E-2</v>
      </c>
      <c r="T107" s="58">
        <f t="shared" si="144"/>
        <v>1.6870000000000001E-3</v>
      </c>
      <c r="U107" s="59">
        <v>1.0468999999999999</v>
      </c>
      <c r="V107" s="59">
        <v>0.97055999999999998</v>
      </c>
      <c r="W107" s="58">
        <f t="shared" ref="W107:Z107" si="145">W27/1000</f>
        <v>1.26E-4</v>
      </c>
      <c r="X107" s="58">
        <f t="shared" si="145"/>
        <v>1.9600000000000003E-2</v>
      </c>
      <c r="Y107" s="58">
        <f t="shared" si="145"/>
        <v>9.077E-3</v>
      </c>
      <c r="Z107" s="58">
        <f t="shared" si="145"/>
        <v>0.24349999999999999</v>
      </c>
      <c r="AA107" s="59">
        <v>1.1392100000000001</v>
      </c>
      <c r="AB107" s="59">
        <v>1.1536599999999999</v>
      </c>
      <c r="AC107" s="58">
        <f t="shared" ref="AC107:AI107" si="146">AC27/1000</f>
        <v>4.9000000000000005E-5</v>
      </c>
      <c r="AD107" s="58">
        <f t="shared" si="146"/>
        <v>4.2699999999999997E-4</v>
      </c>
      <c r="AE107" s="58">
        <f t="shared" si="146"/>
        <v>9.9999999999999995E-7</v>
      </c>
      <c r="AF107" s="58">
        <f t="shared" si="146"/>
        <v>5.0000000000000004E-6</v>
      </c>
      <c r="AG107" s="58">
        <f t="shared" si="146"/>
        <v>6.7999999999999999E-5</v>
      </c>
      <c r="AH107" s="58">
        <f t="shared" si="146"/>
        <v>5.6100000000000008E-4</v>
      </c>
      <c r="AI107" s="58">
        <f t="shared" si="146"/>
        <v>2.8E-5</v>
      </c>
      <c r="AJ107" s="59">
        <v>1.0477099999999999</v>
      </c>
      <c r="AK107" s="59">
        <v>1.13496</v>
      </c>
      <c r="AL107" s="58">
        <f t="shared" ref="AL107:BN107" si="147">AM27/1000</f>
        <v>3.4E-5</v>
      </c>
      <c r="AM107" s="58">
        <f t="shared" si="147"/>
        <v>3.9999999999999998E-6</v>
      </c>
      <c r="AN107" s="58">
        <f t="shared" si="147"/>
        <v>1.01E-4</v>
      </c>
      <c r="AO107" s="58">
        <f t="shared" si="147"/>
        <v>4.4219999999999995E-2</v>
      </c>
      <c r="AP107" s="58">
        <f t="shared" si="147"/>
        <v>4.3830000000000001E-2</v>
      </c>
      <c r="AQ107" s="58">
        <f t="shared" si="147"/>
        <v>4.5200000000000004E-4</v>
      </c>
      <c r="AR107" s="58">
        <f t="shared" si="147"/>
        <v>8.3999999999999993E-4</v>
      </c>
      <c r="AS107" s="58">
        <f t="shared" si="147"/>
        <v>1.08E-4</v>
      </c>
      <c r="AT107" s="58">
        <f t="shared" si="147"/>
        <v>4.0300000000000004E-4</v>
      </c>
      <c r="AU107" s="58">
        <f t="shared" si="147"/>
        <v>7.7000000000000001E-5</v>
      </c>
      <c r="AV107" s="58">
        <f t="shared" si="147"/>
        <v>2.1999999999999999E-5</v>
      </c>
      <c r="AW107" s="58">
        <f t="shared" si="147"/>
        <v>6.7999999999999999E-5</v>
      </c>
      <c r="AX107" s="58">
        <f t="shared" si="147"/>
        <v>8.9999999999999985E-6</v>
      </c>
      <c r="AY107" s="58">
        <f t="shared" si="147"/>
        <v>4.8000000000000001E-5</v>
      </c>
      <c r="AZ107" s="58">
        <f t="shared" si="147"/>
        <v>8.9999999999999985E-6</v>
      </c>
      <c r="BA107" s="58">
        <f t="shared" si="147"/>
        <v>2.3E-5</v>
      </c>
      <c r="BB107" s="58">
        <f t="shared" si="147"/>
        <v>3.0000000000000001E-6</v>
      </c>
      <c r="BC107" s="58">
        <f t="shared" si="147"/>
        <v>1.9000000000000001E-5</v>
      </c>
      <c r="BD107" s="58">
        <f t="shared" si="147"/>
        <v>3.0000000000000001E-6</v>
      </c>
      <c r="BE107" s="58">
        <f t="shared" si="147"/>
        <v>9.9999999999999995E-7</v>
      </c>
      <c r="BF107" s="58">
        <f t="shared" si="147"/>
        <v>8.0000000000000007E-5</v>
      </c>
      <c r="BG107" s="58">
        <f t="shared" si="147"/>
        <v>1.95E-4</v>
      </c>
      <c r="BH107" s="58">
        <f t="shared" si="147"/>
        <v>2.04E-4</v>
      </c>
      <c r="BI107" s="58">
        <f t="shared" si="147"/>
        <v>0</v>
      </c>
      <c r="BJ107" s="58">
        <f t="shared" si="147"/>
        <v>9.9999999999999995E-7</v>
      </c>
      <c r="BK107" s="58">
        <f t="shared" si="147"/>
        <v>5.4000000000000001E-4</v>
      </c>
      <c r="BL107" s="58">
        <f t="shared" si="147"/>
        <v>6.9999999999999999E-6</v>
      </c>
      <c r="BM107" s="58">
        <f t="shared" si="147"/>
        <v>1.359E-3</v>
      </c>
      <c r="BN107" s="58">
        <f t="shared" si="147"/>
        <v>9.6319999999999999E-4</v>
      </c>
      <c r="BO107" s="59">
        <v>0.96319999999999995</v>
      </c>
      <c r="BP107" s="59">
        <v>1.0725499999999999</v>
      </c>
      <c r="BQ107" s="58">
        <f t="shared" ref="BQ107:BR107" si="148">BQ27/1000</f>
        <v>8.599999999999999E-5</v>
      </c>
      <c r="BR107" s="58">
        <f t="shared" si="148"/>
        <v>1.9000000000000001E-5</v>
      </c>
    </row>
    <row r="108" spans="1:70" ht="15.95" customHeight="1" x14ac:dyDescent="0.25">
      <c r="A108" s="58" t="s">
        <v>87</v>
      </c>
      <c r="B108" s="58">
        <f t="shared" ref="B108:G108" si="149">B28/1000</f>
        <v>0.15969999999999998</v>
      </c>
      <c r="C108" s="58">
        <f t="shared" si="149"/>
        <v>4.92</v>
      </c>
      <c r="D108" s="58">
        <f t="shared" si="149"/>
        <v>0.59350000000000003</v>
      </c>
      <c r="E108" s="58">
        <f t="shared" si="149"/>
        <v>1.8919999999999999</v>
      </c>
      <c r="F108" s="58">
        <f t="shared" si="149"/>
        <v>37.53</v>
      </c>
      <c r="G108" s="58">
        <f t="shared" si="149"/>
        <v>47.52</v>
      </c>
      <c r="H108" s="59">
        <v>1.14429</v>
      </c>
      <c r="I108" s="59">
        <v>1.10151</v>
      </c>
      <c r="J108" s="58">
        <f t="shared" ref="J108:T108" si="150">J28/1000</f>
        <v>0.27610000000000001</v>
      </c>
      <c r="K108" s="58">
        <f t="shared" si="150"/>
        <v>2.1329999999999998E-2</v>
      </c>
      <c r="L108" s="58">
        <f t="shared" si="150"/>
        <v>3.3079999999999998E-2</v>
      </c>
      <c r="M108" s="58">
        <f t="shared" si="150"/>
        <v>3.4220000000000001E-3</v>
      </c>
      <c r="N108" s="58">
        <f t="shared" si="150"/>
        <v>8.9459999999999998E-2</v>
      </c>
      <c r="O108" s="58">
        <f t="shared" si="150"/>
        <v>0.66800000000000004</v>
      </c>
      <c r="P108" s="58">
        <f t="shared" si="150"/>
        <v>2.7300000000000002E-4</v>
      </c>
      <c r="Q108" s="58">
        <f t="shared" si="150"/>
        <v>1.47E-3</v>
      </c>
      <c r="R108" s="58">
        <f t="shared" si="150"/>
        <v>2.2890000000000001E-2</v>
      </c>
      <c r="S108" s="58">
        <f t="shared" si="150"/>
        <v>5.636E-2</v>
      </c>
      <c r="T108" s="58">
        <f t="shared" si="150"/>
        <v>1.1659999999999999E-3</v>
      </c>
      <c r="U108" s="59">
        <v>1.0320100000000001</v>
      </c>
      <c r="V108" s="59">
        <v>0.96023999999999998</v>
      </c>
      <c r="W108" s="58">
        <f t="shared" ref="W108:Z108" si="151">W28/1000</f>
        <v>2.4800000000000001E-4</v>
      </c>
      <c r="X108" s="58">
        <f t="shared" si="151"/>
        <v>3.0929999999999999E-2</v>
      </c>
      <c r="Y108" s="58">
        <f t="shared" si="151"/>
        <v>1.6379999999999999E-2</v>
      </c>
      <c r="Z108" s="58">
        <f t="shared" si="151"/>
        <v>0.2132</v>
      </c>
      <c r="AA108" s="59">
        <v>1.11053</v>
      </c>
      <c r="AB108" s="59">
        <v>1.1337200000000001</v>
      </c>
      <c r="AC108" s="58">
        <f t="shared" ref="AC108:AI108" si="152">AC28/1000</f>
        <v>7.0000000000000007E-5</v>
      </c>
      <c r="AD108" s="58">
        <f t="shared" si="152"/>
        <v>6.96E-4</v>
      </c>
      <c r="AE108" s="58">
        <f t="shared" si="152"/>
        <v>9.9999999999999995E-7</v>
      </c>
      <c r="AF108" s="58">
        <f t="shared" si="152"/>
        <v>5.0000000000000004E-6</v>
      </c>
      <c r="AG108" s="58">
        <f t="shared" si="152"/>
        <v>5.7000000000000003E-5</v>
      </c>
      <c r="AH108" s="58">
        <f t="shared" si="152"/>
        <v>1.1E-4</v>
      </c>
      <c r="AI108" s="58">
        <f t="shared" si="152"/>
        <v>1.7799999999999999E-4</v>
      </c>
      <c r="AJ108" s="59">
        <v>1.02759</v>
      </c>
      <c r="AK108" s="59">
        <v>1.12171</v>
      </c>
      <c r="AL108" s="58">
        <f t="shared" ref="AL108:BN108" si="153">AM28/1000</f>
        <v>8.7999999999999998E-5</v>
      </c>
      <c r="AM108" s="58">
        <f t="shared" si="153"/>
        <v>3.9999999999999998E-6</v>
      </c>
      <c r="AN108" s="58">
        <f t="shared" si="153"/>
        <v>4.6500000000000003E-4</v>
      </c>
      <c r="AO108" s="58">
        <f t="shared" si="153"/>
        <v>2.9420000000000002E-2</v>
      </c>
      <c r="AP108" s="58">
        <f t="shared" si="153"/>
        <v>2.9409999999999999E-2</v>
      </c>
      <c r="AQ108" s="58">
        <f t="shared" si="153"/>
        <v>5.4800000000000009E-4</v>
      </c>
      <c r="AR108" s="58">
        <f t="shared" si="153"/>
        <v>1.0820000000000001E-3</v>
      </c>
      <c r="AS108" s="58">
        <f t="shared" si="153"/>
        <v>1.3800000000000002E-4</v>
      </c>
      <c r="AT108" s="58">
        <f t="shared" si="153"/>
        <v>4.9700000000000005E-4</v>
      </c>
      <c r="AU108" s="58">
        <f t="shared" si="153"/>
        <v>9.800000000000001E-5</v>
      </c>
      <c r="AV108" s="58">
        <f t="shared" si="153"/>
        <v>2.1999999999999999E-5</v>
      </c>
      <c r="AW108" s="58">
        <f t="shared" si="153"/>
        <v>8.9999999999999992E-5</v>
      </c>
      <c r="AX108" s="58">
        <f t="shared" si="153"/>
        <v>1.2999999999999999E-5</v>
      </c>
      <c r="AY108" s="58">
        <f t="shared" si="153"/>
        <v>6.3E-5</v>
      </c>
      <c r="AZ108" s="58">
        <f t="shared" si="153"/>
        <v>1.2E-5</v>
      </c>
      <c r="BA108" s="58">
        <f t="shared" si="153"/>
        <v>3.3000000000000003E-5</v>
      </c>
      <c r="BB108" s="58">
        <f t="shared" si="153"/>
        <v>5.0000000000000004E-6</v>
      </c>
      <c r="BC108" s="58">
        <f t="shared" si="153"/>
        <v>2.9E-5</v>
      </c>
      <c r="BD108" s="58">
        <f t="shared" si="153"/>
        <v>3.9999999999999998E-6</v>
      </c>
      <c r="BE108" s="58">
        <f t="shared" si="153"/>
        <v>9.9999999999999995E-7</v>
      </c>
      <c r="BF108" s="58">
        <f t="shared" si="153"/>
        <v>8.4000000000000009E-5</v>
      </c>
      <c r="BG108" s="58">
        <f t="shared" si="153"/>
        <v>6.5600000000000001E-4</v>
      </c>
      <c r="BH108" s="58">
        <f t="shared" si="153"/>
        <v>6.7900000000000002E-4</v>
      </c>
      <c r="BI108" s="58">
        <f t="shared" si="153"/>
        <v>0</v>
      </c>
      <c r="BJ108" s="58">
        <f t="shared" si="153"/>
        <v>0</v>
      </c>
      <c r="BK108" s="58">
        <f t="shared" si="153"/>
        <v>9.3999999999999994E-5</v>
      </c>
      <c r="BL108" s="58">
        <f t="shared" si="153"/>
        <v>7.9999999999999996E-6</v>
      </c>
      <c r="BM108" s="58">
        <f t="shared" si="153"/>
        <v>1.2070000000000002E-3</v>
      </c>
      <c r="BN108" s="58">
        <f t="shared" si="153"/>
        <v>9.5498999999999996E-4</v>
      </c>
      <c r="BO108" s="59">
        <v>0.95499000000000001</v>
      </c>
      <c r="BP108" s="59">
        <v>1.0682199999999999</v>
      </c>
      <c r="BQ108" s="58">
        <f t="shared" ref="BQ108:BR108" si="154">BQ28/1000</f>
        <v>1.6700000000000002E-4</v>
      </c>
      <c r="BR108" s="58">
        <f t="shared" si="154"/>
        <v>2.5000000000000001E-5</v>
      </c>
    </row>
    <row r="109" spans="1:70" ht="15.95" customHeight="1" x14ac:dyDescent="0.25">
      <c r="A109" s="58" t="s">
        <v>73</v>
      </c>
      <c r="B109" s="58">
        <f t="shared" ref="B109:G109" si="155">B29/1000</f>
        <v>0.17430000000000001</v>
      </c>
      <c r="C109" s="58">
        <f t="shared" si="155"/>
        <v>3.617</v>
      </c>
      <c r="D109" s="58">
        <f t="shared" si="155"/>
        <v>0.4274</v>
      </c>
      <c r="E109" s="58">
        <f t="shared" si="155"/>
        <v>2.9710000000000001</v>
      </c>
      <c r="F109" s="58">
        <f t="shared" si="155"/>
        <v>43.4</v>
      </c>
      <c r="G109" s="58">
        <f t="shared" si="155"/>
        <v>40.4</v>
      </c>
      <c r="H109" s="59">
        <v>1.1431199999999999</v>
      </c>
      <c r="I109" s="59">
        <v>1.1027400000000001</v>
      </c>
      <c r="J109" s="58">
        <f t="shared" ref="J109:T109" si="156">J29/1000</f>
        <v>0.2306</v>
      </c>
      <c r="K109" s="58">
        <f t="shared" si="156"/>
        <v>1.6059999999999998E-2</v>
      </c>
      <c r="L109" s="58">
        <f t="shared" si="156"/>
        <v>2.8170000000000001E-2</v>
      </c>
      <c r="M109" s="58">
        <f t="shared" si="156"/>
        <v>3.4580000000000001E-3</v>
      </c>
      <c r="N109" s="58">
        <f t="shared" si="156"/>
        <v>0.127</v>
      </c>
      <c r="O109" s="58">
        <f t="shared" si="156"/>
        <v>0.62639999999999996</v>
      </c>
      <c r="P109" s="58">
        <f t="shared" si="156"/>
        <v>3.0899999999999998E-4</v>
      </c>
      <c r="Q109" s="58">
        <f t="shared" si="156"/>
        <v>3.16E-3</v>
      </c>
      <c r="R109" s="58">
        <f t="shared" si="156"/>
        <v>1.349E-2</v>
      </c>
      <c r="S109" s="58">
        <f t="shared" si="156"/>
        <v>2.198E-2</v>
      </c>
      <c r="T109" s="58">
        <f t="shared" si="156"/>
        <v>8.4599999999999996E-4</v>
      </c>
      <c r="U109" s="59">
        <v>1.0302500000000001</v>
      </c>
      <c r="V109" s="59">
        <v>0.95850999999999997</v>
      </c>
      <c r="W109" s="58">
        <f t="shared" ref="W109:Z109" si="157">W29/1000</f>
        <v>2.1699999999999999E-4</v>
      </c>
      <c r="X109" s="58">
        <f t="shared" si="157"/>
        <v>4.6920000000000003E-2</v>
      </c>
      <c r="Y109" s="58">
        <f t="shared" si="157"/>
        <v>1.4070000000000001E-2</v>
      </c>
      <c r="Z109" s="58">
        <f t="shared" si="157"/>
        <v>0.12520000000000001</v>
      </c>
      <c r="AA109" s="59">
        <v>1.11066</v>
      </c>
      <c r="AB109" s="59">
        <v>1.13262</v>
      </c>
      <c r="AC109" s="58">
        <f t="shared" ref="AC109:AI109" si="158">AC29/1000</f>
        <v>5.5999999999999999E-5</v>
      </c>
      <c r="AD109" s="58">
        <f t="shared" si="158"/>
        <v>5.7899999999999998E-4</v>
      </c>
      <c r="AE109" s="58">
        <f t="shared" si="158"/>
        <v>9.9999999999999995E-7</v>
      </c>
      <c r="AF109" s="58">
        <f t="shared" si="158"/>
        <v>1.9999999999999999E-6</v>
      </c>
      <c r="AG109" s="58">
        <f t="shared" si="158"/>
        <v>3.3000000000000003E-5</v>
      </c>
      <c r="AH109" s="58">
        <f t="shared" si="158"/>
        <v>4.6100000000000004E-4</v>
      </c>
      <c r="AI109" s="58">
        <f t="shared" si="158"/>
        <v>4.6999999999999997E-5</v>
      </c>
      <c r="AJ109" s="59">
        <v>1.02658</v>
      </c>
      <c r="AK109" s="59">
        <v>1.12276</v>
      </c>
      <c r="AL109" s="58">
        <f t="shared" ref="AL109:BN109" si="159">AM29/1000</f>
        <v>6.2000000000000003E-5</v>
      </c>
      <c r="AM109" s="58">
        <f t="shared" si="159"/>
        <v>1.9999999999999999E-6</v>
      </c>
      <c r="AN109" s="58">
        <f t="shared" si="159"/>
        <v>2.2499999999999999E-4</v>
      </c>
      <c r="AO109" s="58">
        <f t="shared" si="159"/>
        <v>2.1239999999999998E-2</v>
      </c>
      <c r="AP109" s="58">
        <f t="shared" si="159"/>
        <v>2.1229999999999999E-2</v>
      </c>
      <c r="AQ109" s="58">
        <f t="shared" si="159"/>
        <v>4.4099999999999999E-4</v>
      </c>
      <c r="AR109" s="58">
        <f t="shared" si="159"/>
        <v>8.3999999999999993E-4</v>
      </c>
      <c r="AS109" s="58">
        <f t="shared" si="159"/>
        <v>1.0499999999999999E-4</v>
      </c>
      <c r="AT109" s="58">
        <f t="shared" si="159"/>
        <v>3.8900000000000002E-4</v>
      </c>
      <c r="AU109" s="58">
        <f t="shared" si="159"/>
        <v>7.6000000000000004E-5</v>
      </c>
      <c r="AV109" s="58">
        <f t="shared" si="159"/>
        <v>1.5999999999999999E-5</v>
      </c>
      <c r="AW109" s="58">
        <f t="shared" si="159"/>
        <v>6.7000000000000002E-5</v>
      </c>
      <c r="AX109" s="58">
        <f t="shared" si="159"/>
        <v>1.0000000000000001E-5</v>
      </c>
      <c r="AY109" s="58">
        <f t="shared" si="159"/>
        <v>4.8000000000000001E-5</v>
      </c>
      <c r="AZ109" s="58">
        <f t="shared" si="159"/>
        <v>8.9999999999999985E-6</v>
      </c>
      <c r="BA109" s="58">
        <f t="shared" si="159"/>
        <v>2.5000000000000001E-5</v>
      </c>
      <c r="BB109" s="58">
        <f t="shared" si="159"/>
        <v>3.0000000000000001E-6</v>
      </c>
      <c r="BC109" s="58">
        <f t="shared" si="159"/>
        <v>2.1000000000000002E-5</v>
      </c>
      <c r="BD109" s="58">
        <f t="shared" si="159"/>
        <v>3.0000000000000001E-6</v>
      </c>
      <c r="BE109" s="58">
        <f t="shared" si="159"/>
        <v>9.9999999999999995E-7</v>
      </c>
      <c r="BF109" s="58">
        <f t="shared" si="159"/>
        <v>8.7999999999999998E-5</v>
      </c>
      <c r="BG109" s="58">
        <f t="shared" si="159"/>
        <v>3.1300000000000002E-4</v>
      </c>
      <c r="BH109" s="58">
        <f t="shared" si="159"/>
        <v>3.2499999999999999E-4</v>
      </c>
      <c r="BI109" s="58">
        <f t="shared" si="159"/>
        <v>0</v>
      </c>
      <c r="BJ109" s="58">
        <f t="shared" si="159"/>
        <v>0</v>
      </c>
      <c r="BK109" s="58">
        <f t="shared" si="159"/>
        <v>1.1300000000000001E-4</v>
      </c>
      <c r="BL109" s="58">
        <f t="shared" si="159"/>
        <v>6.9999999999999999E-6</v>
      </c>
      <c r="BM109" s="58">
        <f t="shared" si="159"/>
        <v>9.8499999999999998E-4</v>
      </c>
      <c r="BN109" s="58">
        <f t="shared" si="159"/>
        <v>9.5574000000000006E-4</v>
      </c>
      <c r="BO109" s="59">
        <v>0.95574000000000003</v>
      </c>
      <c r="BP109" s="59">
        <v>1.0734399999999999</v>
      </c>
      <c r="BQ109" s="58">
        <f t="shared" ref="BQ109:BR109" si="160">BQ29/1000</f>
        <v>1.4299999999999998E-4</v>
      </c>
      <c r="BR109" s="58">
        <f t="shared" si="160"/>
        <v>2.1000000000000002E-5</v>
      </c>
    </row>
    <row r="110" spans="1:70" ht="15.95" customHeight="1" x14ac:dyDescent="0.25">
      <c r="A110" s="58" t="s">
        <v>74</v>
      </c>
      <c r="B110" s="58">
        <f t="shared" ref="B110:G110" si="161">B30/1000</f>
        <v>0.27489999999999998</v>
      </c>
      <c r="C110" s="58">
        <f t="shared" si="161"/>
        <v>5.0519999999999996</v>
      </c>
      <c r="D110" s="58">
        <f t="shared" si="161"/>
        <v>0.57620000000000005</v>
      </c>
      <c r="E110" s="58">
        <f t="shared" si="161"/>
        <v>2.234</v>
      </c>
      <c r="F110" s="58">
        <f t="shared" si="161"/>
        <v>53.43</v>
      </c>
      <c r="G110" s="58">
        <f t="shared" si="161"/>
        <v>41.31</v>
      </c>
      <c r="H110" s="59">
        <v>1.1079399999999999</v>
      </c>
      <c r="I110" s="59">
        <v>1.0926499999999999</v>
      </c>
      <c r="J110" s="58">
        <f t="shared" ref="J110:T110" si="162">J30/1000</f>
        <v>0.2392</v>
      </c>
      <c r="K110" s="58">
        <f t="shared" si="162"/>
        <v>2.0329999999999997E-2</v>
      </c>
      <c r="L110" s="58">
        <f t="shared" si="162"/>
        <v>0.03</v>
      </c>
      <c r="M110" s="58">
        <f t="shared" si="162"/>
        <v>3.0969999999999999E-3</v>
      </c>
      <c r="N110" s="58">
        <f t="shared" si="162"/>
        <v>0.15380000000000002</v>
      </c>
      <c r="O110" s="58">
        <f t="shared" si="162"/>
        <v>0.6593</v>
      </c>
      <c r="P110" s="58">
        <f t="shared" si="162"/>
        <v>4.8299999999999998E-4</v>
      </c>
      <c r="Q110" s="58">
        <f t="shared" si="162"/>
        <v>6.6660000000000001E-3</v>
      </c>
      <c r="R110" s="58">
        <f t="shared" si="162"/>
        <v>2.264E-2</v>
      </c>
      <c r="S110" s="58">
        <f t="shared" si="162"/>
        <v>1.4320000000000001E-2</v>
      </c>
      <c r="T110" s="58">
        <f t="shared" si="162"/>
        <v>4.1399999999999998E-4</v>
      </c>
      <c r="U110" s="59">
        <v>1.0251399999999999</v>
      </c>
      <c r="V110" s="59">
        <v>0.96841999999999995</v>
      </c>
      <c r="W110" s="58">
        <f t="shared" ref="W110:Z110" si="163">W30/1000</f>
        <v>1.94E-4</v>
      </c>
      <c r="X110" s="58">
        <f t="shared" si="163"/>
        <v>7.9080000000000001E-3</v>
      </c>
      <c r="Y110" s="58">
        <f t="shared" si="163"/>
        <v>2.3969999999999998E-2</v>
      </c>
      <c r="Z110" s="58">
        <f t="shared" si="163"/>
        <v>0.11409999999999999</v>
      </c>
      <c r="AA110" s="59">
        <v>1.0853900000000001</v>
      </c>
      <c r="AB110" s="59">
        <v>1.11904</v>
      </c>
      <c r="AC110" s="58">
        <f t="shared" ref="AC110:AI110" si="164">AC30/1000</f>
        <v>6.3E-5</v>
      </c>
      <c r="AD110" s="58">
        <f t="shared" si="164"/>
        <v>4.2299999999999998E-4</v>
      </c>
      <c r="AE110" s="58">
        <f t="shared" si="164"/>
        <v>9.9999999999999995E-7</v>
      </c>
      <c r="AF110" s="58">
        <f t="shared" si="164"/>
        <v>1.9999999999999999E-6</v>
      </c>
      <c r="AG110" s="58">
        <f t="shared" si="164"/>
        <v>2.9999999999999997E-5</v>
      </c>
      <c r="AH110" s="58">
        <f t="shared" si="164"/>
        <v>2.3599999999999999E-4</v>
      </c>
      <c r="AI110" s="58">
        <f t="shared" si="164"/>
        <v>6.7000000000000002E-5</v>
      </c>
      <c r="AJ110" s="59">
        <v>0.99936999999999998</v>
      </c>
      <c r="AK110" s="59">
        <v>1.1058699999999999</v>
      </c>
      <c r="AL110" s="58">
        <f t="shared" ref="AL110:BN110" si="165">AM30/1000</f>
        <v>6.6000000000000005E-5</v>
      </c>
      <c r="AM110" s="58">
        <f t="shared" si="165"/>
        <v>3.0000000000000001E-6</v>
      </c>
      <c r="AN110" s="58">
        <f t="shared" si="165"/>
        <v>2.0699999999999999E-4</v>
      </c>
      <c r="AO110" s="58">
        <f t="shared" si="165"/>
        <v>9.0910000000000001E-3</v>
      </c>
      <c r="AP110" s="58">
        <f t="shared" si="165"/>
        <v>9.162E-3</v>
      </c>
      <c r="AQ110" s="58">
        <f t="shared" si="165"/>
        <v>4.7599999999999997E-4</v>
      </c>
      <c r="AR110" s="58">
        <f t="shared" si="165"/>
        <v>9.3500000000000007E-4</v>
      </c>
      <c r="AS110" s="58">
        <f t="shared" si="165"/>
        <v>1.11E-4</v>
      </c>
      <c r="AT110" s="58">
        <f t="shared" si="165"/>
        <v>4.2699999999999997E-4</v>
      </c>
      <c r="AU110" s="58">
        <f t="shared" si="165"/>
        <v>8.2999999999999998E-5</v>
      </c>
      <c r="AV110" s="58">
        <f t="shared" si="165"/>
        <v>1.5999999999999999E-5</v>
      </c>
      <c r="AW110" s="58">
        <f t="shared" si="165"/>
        <v>7.6000000000000004E-5</v>
      </c>
      <c r="AX110" s="58">
        <f t="shared" si="165"/>
        <v>1.1E-5</v>
      </c>
      <c r="AY110" s="58">
        <f t="shared" si="165"/>
        <v>5.3999999999999998E-5</v>
      </c>
      <c r="AZ110" s="58">
        <f t="shared" si="165"/>
        <v>1.1E-5</v>
      </c>
      <c r="BA110" s="58">
        <f t="shared" si="165"/>
        <v>2.9999999999999997E-5</v>
      </c>
      <c r="BB110" s="58">
        <f t="shared" si="165"/>
        <v>3.9999999999999998E-6</v>
      </c>
      <c r="BC110" s="58">
        <f t="shared" si="165"/>
        <v>2.9E-5</v>
      </c>
      <c r="BD110" s="58">
        <f t="shared" si="165"/>
        <v>3.9999999999999998E-6</v>
      </c>
      <c r="BE110" s="58">
        <f t="shared" si="165"/>
        <v>9.9999999999999995E-7</v>
      </c>
      <c r="BF110" s="58">
        <f t="shared" si="165"/>
        <v>7.7999999999999999E-5</v>
      </c>
      <c r="BG110" s="58">
        <f t="shared" si="165"/>
        <v>2.6800000000000001E-4</v>
      </c>
      <c r="BH110" s="58">
        <f t="shared" si="165"/>
        <v>2.72E-4</v>
      </c>
      <c r="BI110" s="58">
        <f t="shared" si="165"/>
        <v>0</v>
      </c>
      <c r="BJ110" s="58">
        <f t="shared" si="165"/>
        <v>0</v>
      </c>
      <c r="BK110" s="58">
        <f t="shared" si="165"/>
        <v>1.66E-4</v>
      </c>
      <c r="BL110" s="58">
        <f t="shared" si="165"/>
        <v>6.9999999999999999E-6</v>
      </c>
      <c r="BM110" s="58">
        <f t="shared" si="165"/>
        <v>9.9700000000000006E-4</v>
      </c>
      <c r="BN110" s="58">
        <f t="shared" si="165"/>
        <v>9.4516999999999995E-4</v>
      </c>
      <c r="BO110" s="59">
        <v>0.94516999999999995</v>
      </c>
      <c r="BP110" s="59">
        <v>1.0620400000000001</v>
      </c>
      <c r="BQ110" s="58">
        <f t="shared" ref="BQ110:BR110" si="166">BQ30/1000</f>
        <v>1.3200000000000001E-4</v>
      </c>
      <c r="BR110" s="58">
        <f t="shared" si="166"/>
        <v>2.5999999999999998E-5</v>
      </c>
    </row>
    <row r="111" spans="1:70" ht="15.95" customHeight="1" x14ac:dyDescent="0.25">
      <c r="A111" s="58" t="s">
        <v>75</v>
      </c>
      <c r="B111" s="58">
        <f t="shared" ref="B111:G111" si="167">B31/1000</f>
        <v>0.37560000000000004</v>
      </c>
      <c r="C111" s="58">
        <f t="shared" si="167"/>
        <v>6.1689999999999996</v>
      </c>
      <c r="D111" s="58">
        <f t="shared" si="167"/>
        <v>0.70910000000000006</v>
      </c>
      <c r="E111" s="58">
        <f t="shared" si="167"/>
        <v>1.591</v>
      </c>
      <c r="F111" s="58">
        <f t="shared" si="167"/>
        <v>51.62</v>
      </c>
      <c r="G111" s="58">
        <f t="shared" si="167"/>
        <v>34.89</v>
      </c>
      <c r="H111" s="59">
        <v>1.19123</v>
      </c>
      <c r="I111" s="59">
        <v>1.17482</v>
      </c>
      <c r="J111" s="58">
        <f t="shared" ref="J111:T111" si="168">J31/1000</f>
        <v>0.21240000000000001</v>
      </c>
      <c r="K111" s="58">
        <f t="shared" si="168"/>
        <v>2.8340000000000001E-2</v>
      </c>
      <c r="L111" s="58">
        <f t="shared" si="168"/>
        <v>3.7179999999999998E-2</v>
      </c>
      <c r="M111" s="58">
        <f t="shared" si="168"/>
        <v>3.4950000000000003E-3</v>
      </c>
      <c r="N111" s="58">
        <f t="shared" si="168"/>
        <v>7.2300000000000003E-2</v>
      </c>
      <c r="O111" s="58">
        <f t="shared" si="168"/>
        <v>0.9302999999999999</v>
      </c>
      <c r="P111" s="58">
        <f t="shared" si="168"/>
        <v>4.1999999999999996E-4</v>
      </c>
      <c r="Q111" s="58">
        <f t="shared" si="168"/>
        <v>3.2280000000000004E-3</v>
      </c>
      <c r="R111" s="58">
        <f t="shared" si="168"/>
        <v>1.8550000000000001E-2</v>
      </c>
      <c r="S111" s="58">
        <f t="shared" si="168"/>
        <v>1.559E-2</v>
      </c>
      <c r="T111" s="58">
        <f t="shared" si="168"/>
        <v>1.506E-3</v>
      </c>
      <c r="U111" s="59">
        <v>1.06728</v>
      </c>
      <c r="V111" s="59">
        <v>1.0098100000000001</v>
      </c>
      <c r="W111" s="58">
        <f t="shared" ref="W111:Z111" si="169">W31/1000</f>
        <v>3.3300000000000002E-4</v>
      </c>
      <c r="X111" s="58">
        <f t="shared" si="169"/>
        <v>8.5920000000000007E-3</v>
      </c>
      <c r="Y111" s="58">
        <f t="shared" si="169"/>
        <v>1.0160000000000001E-2</v>
      </c>
      <c r="Z111" s="58">
        <f t="shared" si="169"/>
        <v>0.40710000000000002</v>
      </c>
      <c r="AA111" s="59">
        <v>1.15117</v>
      </c>
      <c r="AB111" s="59">
        <v>1.1907099999999999</v>
      </c>
      <c r="AC111" s="58">
        <f t="shared" ref="AC111:AI111" si="170">AC31/1000</f>
        <v>9.1000000000000003E-5</v>
      </c>
      <c r="AD111" s="58">
        <f t="shared" si="170"/>
        <v>1.011E-3</v>
      </c>
      <c r="AE111" s="58">
        <f t="shared" si="170"/>
        <v>9.9999999999999995E-7</v>
      </c>
      <c r="AF111" s="58">
        <f t="shared" si="170"/>
        <v>6.9999999999999999E-6</v>
      </c>
      <c r="AG111" s="58">
        <f t="shared" si="170"/>
        <v>1E-4</v>
      </c>
      <c r="AH111" s="58">
        <f t="shared" si="170"/>
        <v>2.7500000000000002E-4</v>
      </c>
      <c r="AI111" s="58">
        <f t="shared" si="170"/>
        <v>7.4999999999999993E-5</v>
      </c>
      <c r="AJ111" s="59">
        <v>1.05603</v>
      </c>
      <c r="AK111" s="59">
        <v>1.1653100000000001</v>
      </c>
      <c r="AL111" s="58">
        <f t="shared" ref="AL111:BN111" si="171">AM31/1000</f>
        <v>7.8999999999999996E-5</v>
      </c>
      <c r="AM111" s="58">
        <f t="shared" si="171"/>
        <v>0</v>
      </c>
      <c r="AN111" s="58">
        <f t="shared" si="171"/>
        <v>1.7799999999999999E-4</v>
      </c>
      <c r="AO111" s="58">
        <f t="shared" si="171"/>
        <v>3.7670000000000002E-2</v>
      </c>
      <c r="AP111" s="58">
        <f t="shared" si="171"/>
        <v>3.7560000000000003E-2</v>
      </c>
      <c r="AQ111" s="58">
        <f t="shared" si="171"/>
        <v>7.1099999999999994E-4</v>
      </c>
      <c r="AR111" s="58">
        <f t="shared" si="171"/>
        <v>1.34E-3</v>
      </c>
      <c r="AS111" s="58">
        <f t="shared" si="171"/>
        <v>1.64E-4</v>
      </c>
      <c r="AT111" s="58">
        <f t="shared" si="171"/>
        <v>6.1299999999999994E-4</v>
      </c>
      <c r="AU111" s="58">
        <f t="shared" si="171"/>
        <v>1.2300000000000001E-4</v>
      </c>
      <c r="AV111" s="58">
        <f t="shared" si="171"/>
        <v>2.9E-5</v>
      </c>
      <c r="AW111" s="58">
        <f t="shared" si="171"/>
        <v>1.07E-4</v>
      </c>
      <c r="AX111" s="58">
        <f t="shared" si="171"/>
        <v>1.5999999999999999E-5</v>
      </c>
      <c r="AY111" s="58">
        <f t="shared" si="171"/>
        <v>7.8999999999999996E-5</v>
      </c>
      <c r="AZ111" s="58">
        <f t="shared" si="171"/>
        <v>1.4999999999999999E-5</v>
      </c>
      <c r="BA111" s="58">
        <f t="shared" si="171"/>
        <v>4.1E-5</v>
      </c>
      <c r="BB111" s="58">
        <f t="shared" si="171"/>
        <v>5.0000000000000004E-6</v>
      </c>
      <c r="BC111" s="58">
        <f t="shared" si="171"/>
        <v>3.5999999999999994E-5</v>
      </c>
      <c r="BD111" s="58">
        <f t="shared" si="171"/>
        <v>5.0000000000000004E-6</v>
      </c>
      <c r="BE111" s="58">
        <f t="shared" si="171"/>
        <v>1.9999999999999999E-6</v>
      </c>
      <c r="BF111" s="58">
        <f t="shared" si="171"/>
        <v>8.7000000000000001E-5</v>
      </c>
      <c r="BG111" s="58">
        <f t="shared" si="171"/>
        <v>1.56E-4</v>
      </c>
      <c r="BH111" s="58">
        <f t="shared" si="171"/>
        <v>1.6100000000000001E-4</v>
      </c>
      <c r="BI111" s="58">
        <f t="shared" si="171"/>
        <v>0</v>
      </c>
      <c r="BJ111" s="58">
        <f t="shared" si="171"/>
        <v>0</v>
      </c>
      <c r="BK111" s="58">
        <f t="shared" si="171"/>
        <v>1.02E-4</v>
      </c>
      <c r="BL111" s="58">
        <f t="shared" si="171"/>
        <v>7.9999999999999996E-6</v>
      </c>
      <c r="BM111" s="58">
        <f t="shared" si="171"/>
        <v>1.0039999999999999E-3</v>
      </c>
      <c r="BN111" s="58">
        <f t="shared" si="171"/>
        <v>9.7047000000000008E-4</v>
      </c>
      <c r="BO111" s="59">
        <v>0.97047000000000005</v>
      </c>
      <c r="BP111" s="59">
        <v>1.0936600000000001</v>
      </c>
      <c r="BQ111" s="58">
        <f t="shared" ref="BQ111:BR111" si="172">BQ31/1000</f>
        <v>1.93E-4</v>
      </c>
      <c r="BR111" s="58">
        <f t="shared" si="172"/>
        <v>3.1999999999999999E-5</v>
      </c>
    </row>
    <row r="112" spans="1:70" ht="15.95" customHeight="1" x14ac:dyDescent="0.25">
      <c r="A112" s="58" t="s">
        <v>76</v>
      </c>
      <c r="B112" s="58">
        <f t="shared" ref="B112:G112" si="173">B32/1000</f>
        <v>0.32989999999999997</v>
      </c>
      <c r="C112" s="58">
        <f t="shared" si="173"/>
        <v>4.5140000000000002</v>
      </c>
      <c r="D112" s="58">
        <f t="shared" si="173"/>
        <v>0.54389999999999994</v>
      </c>
      <c r="E112" s="58">
        <f t="shared" si="173"/>
        <v>1.4870000000000001</v>
      </c>
      <c r="F112" s="58">
        <f t="shared" si="173"/>
        <v>26.12</v>
      </c>
      <c r="G112" s="58">
        <f t="shared" si="173"/>
        <v>58.03</v>
      </c>
      <c r="H112" s="59">
        <v>1.21993</v>
      </c>
      <c r="I112" s="59">
        <v>1.1628099999999999</v>
      </c>
      <c r="J112" s="58">
        <f t="shared" ref="J112:T112" si="174">J32/1000</f>
        <v>0.32389999999999997</v>
      </c>
      <c r="K112" s="58">
        <f t="shared" si="174"/>
        <v>2.009E-2</v>
      </c>
      <c r="L112" s="58">
        <f t="shared" si="174"/>
        <v>3.3070000000000002E-2</v>
      </c>
      <c r="M112" s="58">
        <f t="shared" si="174"/>
        <v>3.4609999999999997E-3</v>
      </c>
      <c r="N112" s="58">
        <f t="shared" si="174"/>
        <v>0.1143</v>
      </c>
      <c r="O112" s="58">
        <f t="shared" si="174"/>
        <v>0.65029999999999999</v>
      </c>
      <c r="P112" s="58">
        <f t="shared" si="174"/>
        <v>4.46E-4</v>
      </c>
      <c r="Q112" s="58">
        <f t="shared" si="174"/>
        <v>4.1380000000000002E-3</v>
      </c>
      <c r="R112" s="58">
        <f t="shared" si="174"/>
        <v>1.4449999999999999E-2</v>
      </c>
      <c r="S112" s="58">
        <f t="shared" si="174"/>
        <v>1.8949999999999998E-2</v>
      </c>
      <c r="T112" s="58">
        <f t="shared" si="174"/>
        <v>1.804E-3</v>
      </c>
      <c r="U112" s="59">
        <v>1.0951299999999999</v>
      </c>
      <c r="V112" s="59">
        <v>1.0042199999999999</v>
      </c>
      <c r="W112" s="58">
        <f t="shared" ref="W112:Z112" si="175">W32/1000</f>
        <v>1.9800000000000002E-4</v>
      </c>
      <c r="X112" s="58">
        <f t="shared" si="175"/>
        <v>1.291E-2</v>
      </c>
      <c r="Y112" s="58">
        <f t="shared" si="175"/>
        <v>1.4880000000000001E-2</v>
      </c>
      <c r="Z112" s="58">
        <f t="shared" si="175"/>
        <v>0.1789</v>
      </c>
      <c r="AA112" s="59">
        <v>1.17944</v>
      </c>
      <c r="AB112" s="59">
        <v>1.1823699999999999</v>
      </c>
      <c r="AC112" s="58">
        <f t="shared" ref="AC112:AI112" si="176">AC32/1000</f>
        <v>6.5000000000000008E-5</v>
      </c>
      <c r="AD112" s="58">
        <f t="shared" si="176"/>
        <v>5.53E-4</v>
      </c>
      <c r="AE112" s="58">
        <f t="shared" si="176"/>
        <v>9.9999999999999995E-7</v>
      </c>
      <c r="AF112" s="58">
        <f t="shared" si="176"/>
        <v>3.0000000000000001E-6</v>
      </c>
      <c r="AG112" s="58">
        <f t="shared" si="176"/>
        <v>4.6E-5</v>
      </c>
      <c r="AH112" s="58">
        <f t="shared" si="176"/>
        <v>8.7000000000000001E-4</v>
      </c>
      <c r="AI112" s="58">
        <f t="shared" si="176"/>
        <v>6.900000000000001E-5</v>
      </c>
      <c r="AJ112" s="59">
        <v>1.07931</v>
      </c>
      <c r="AK112" s="59">
        <v>1.16276</v>
      </c>
      <c r="AL112" s="58">
        <f t="shared" ref="AL112:BN112" si="177">AM32/1000</f>
        <v>9.7E-5</v>
      </c>
      <c r="AM112" s="58">
        <f t="shared" si="177"/>
        <v>3.0000000000000001E-6</v>
      </c>
      <c r="AN112" s="58">
        <f t="shared" si="177"/>
        <v>2.22E-4</v>
      </c>
      <c r="AO112" s="58">
        <f t="shared" si="177"/>
        <v>4.6359999999999998E-2</v>
      </c>
      <c r="AP112" s="58">
        <f t="shared" si="177"/>
        <v>5.2859999999999997E-2</v>
      </c>
      <c r="AQ112" s="58">
        <f t="shared" si="177"/>
        <v>5.6599999999999999E-4</v>
      </c>
      <c r="AR112" s="58">
        <f t="shared" si="177"/>
        <v>1.052E-3</v>
      </c>
      <c r="AS112" s="58">
        <f t="shared" si="177"/>
        <v>1.2899999999999999E-4</v>
      </c>
      <c r="AT112" s="58">
        <f t="shared" si="177"/>
        <v>4.8200000000000001E-4</v>
      </c>
      <c r="AU112" s="58">
        <f t="shared" si="177"/>
        <v>9.2E-5</v>
      </c>
      <c r="AV112" s="58">
        <f t="shared" si="177"/>
        <v>2.5999999999999998E-5</v>
      </c>
      <c r="AW112" s="58">
        <f t="shared" si="177"/>
        <v>8.2000000000000001E-5</v>
      </c>
      <c r="AX112" s="58">
        <f t="shared" si="177"/>
        <v>1.2999999999999999E-5</v>
      </c>
      <c r="AY112" s="58">
        <f t="shared" si="177"/>
        <v>5.8999999999999998E-5</v>
      </c>
      <c r="AZ112" s="58">
        <f t="shared" si="177"/>
        <v>1.1E-5</v>
      </c>
      <c r="BA112" s="58">
        <f t="shared" si="177"/>
        <v>3.1000000000000001E-5</v>
      </c>
      <c r="BB112" s="58">
        <f t="shared" si="177"/>
        <v>3.9999999999999998E-6</v>
      </c>
      <c r="BC112" s="58">
        <f t="shared" si="177"/>
        <v>2.4000000000000001E-5</v>
      </c>
      <c r="BD112" s="58">
        <f t="shared" si="177"/>
        <v>3.9999999999999998E-6</v>
      </c>
      <c r="BE112" s="58">
        <f t="shared" si="177"/>
        <v>9.9999999999999995E-7</v>
      </c>
      <c r="BF112" s="58">
        <f t="shared" si="177"/>
        <v>7.1999999999999988E-5</v>
      </c>
      <c r="BG112" s="58">
        <f t="shared" si="177"/>
        <v>2.61E-4</v>
      </c>
      <c r="BH112" s="58">
        <f t="shared" si="177"/>
        <v>2.6600000000000001E-4</v>
      </c>
      <c r="BI112" s="58">
        <f t="shared" si="177"/>
        <v>0</v>
      </c>
      <c r="BJ112" s="58">
        <f t="shared" si="177"/>
        <v>0</v>
      </c>
      <c r="BK112" s="58">
        <f t="shared" si="177"/>
        <v>1.02E-4</v>
      </c>
      <c r="BL112" s="58">
        <f t="shared" si="177"/>
        <v>6.9999999999999999E-6</v>
      </c>
      <c r="BM112" s="58">
        <f t="shared" si="177"/>
        <v>1.0869999999999999E-3</v>
      </c>
      <c r="BN112" s="58">
        <f t="shared" si="177"/>
        <v>9.9062E-4</v>
      </c>
      <c r="BO112" s="59">
        <v>0.99061999999999995</v>
      </c>
      <c r="BP112" s="59">
        <v>1.0948599999999999</v>
      </c>
      <c r="BQ112" s="58">
        <f t="shared" ref="BQ112:BR112" si="178">BQ32/1000</f>
        <v>1.6700000000000002E-4</v>
      </c>
      <c r="BR112" s="58">
        <f t="shared" si="178"/>
        <v>2.5999999999999998E-5</v>
      </c>
    </row>
    <row r="113" spans="1:70" ht="15.95" customHeight="1" x14ac:dyDescent="0.25">
      <c r="A113" s="58" t="s">
        <v>77</v>
      </c>
      <c r="B113" s="58">
        <f t="shared" ref="B113:G113" si="179">B33/1000</f>
        <v>0.4355</v>
      </c>
      <c r="C113" s="58">
        <f t="shared" si="179"/>
        <v>2.944</v>
      </c>
      <c r="D113" s="58">
        <f t="shared" si="179"/>
        <v>0.65029999999999999</v>
      </c>
      <c r="E113" s="58">
        <f t="shared" si="179"/>
        <v>1.4350000000000001</v>
      </c>
      <c r="F113" s="58">
        <f t="shared" si="179"/>
        <v>48.47</v>
      </c>
      <c r="G113" s="58">
        <f t="shared" si="179"/>
        <v>40.520000000000003</v>
      </c>
      <c r="H113" s="59">
        <v>1.1898899999999999</v>
      </c>
      <c r="I113" s="59">
        <v>1.15412</v>
      </c>
      <c r="J113" s="58">
        <f t="shared" ref="J113:T113" si="180">J33/1000</f>
        <v>0.24030000000000001</v>
      </c>
      <c r="K113" s="58">
        <f t="shared" si="180"/>
        <v>2.445E-2</v>
      </c>
      <c r="L113" s="58">
        <f t="shared" si="180"/>
        <v>3.4529999999999998E-2</v>
      </c>
      <c r="M113" s="58">
        <f t="shared" si="180"/>
        <v>3.7679999999999996E-3</v>
      </c>
      <c r="N113" s="58">
        <f t="shared" si="180"/>
        <v>6.2649999999999997E-2</v>
      </c>
      <c r="O113" s="58">
        <f t="shared" si="180"/>
        <v>0.77349999999999997</v>
      </c>
      <c r="P113" s="58">
        <f t="shared" si="180"/>
        <v>3.9200000000000004E-4</v>
      </c>
      <c r="Q113" s="58">
        <f t="shared" si="180"/>
        <v>2.4580000000000001E-3</v>
      </c>
      <c r="R113" s="58">
        <f t="shared" si="180"/>
        <v>2.2380000000000001E-2</v>
      </c>
      <c r="S113" s="58">
        <f t="shared" si="180"/>
        <v>3.3619999999999997E-2</v>
      </c>
      <c r="T113" s="58">
        <f t="shared" si="180"/>
        <v>9.8400000000000007E-4</v>
      </c>
      <c r="U113" s="59">
        <v>1.0704100000000001</v>
      </c>
      <c r="V113" s="59">
        <v>1.00464</v>
      </c>
      <c r="W113" s="58">
        <f t="shared" ref="W113:Z113" si="181">W33/1000</f>
        <v>2.8399999999999996E-4</v>
      </c>
      <c r="X113" s="58">
        <f t="shared" si="181"/>
        <v>6.3819999999999997E-3</v>
      </c>
      <c r="Y113" s="58">
        <f t="shared" si="181"/>
        <v>1.3529999999999999E-2</v>
      </c>
      <c r="Z113" s="58">
        <f t="shared" si="181"/>
        <v>0.18390000000000001</v>
      </c>
      <c r="AA113" s="59">
        <v>1.1533800000000001</v>
      </c>
      <c r="AB113" s="59">
        <v>1.1758900000000001</v>
      </c>
      <c r="AC113" s="58">
        <f t="shared" ref="AC113:AI113" si="182">AC33/1000</f>
        <v>7.1999999999999988E-5</v>
      </c>
      <c r="AD113" s="58">
        <f t="shared" si="182"/>
        <v>6.5300000000000004E-4</v>
      </c>
      <c r="AE113" s="58">
        <f t="shared" si="182"/>
        <v>9.9999999999999995E-7</v>
      </c>
      <c r="AF113" s="58">
        <f t="shared" si="182"/>
        <v>3.0000000000000001E-6</v>
      </c>
      <c r="AG113" s="58">
        <f t="shared" si="182"/>
        <v>4.6999999999999997E-5</v>
      </c>
      <c r="AH113" s="58">
        <f t="shared" si="182"/>
        <v>2.1900000000000001E-4</v>
      </c>
      <c r="AI113" s="58">
        <f t="shared" si="182"/>
        <v>6.6000000000000005E-5</v>
      </c>
      <c r="AJ113" s="59">
        <v>1.0559400000000001</v>
      </c>
      <c r="AK113" s="59">
        <v>1.1562600000000001</v>
      </c>
      <c r="AL113" s="58">
        <f t="shared" ref="AL113:BN113" si="183">AM33/1000</f>
        <v>1.5799999999999999E-4</v>
      </c>
      <c r="AM113" s="58">
        <f t="shared" si="183"/>
        <v>9.9999999999999995E-7</v>
      </c>
      <c r="AN113" s="58">
        <f t="shared" si="183"/>
        <v>1.45E-4</v>
      </c>
      <c r="AO113" s="58">
        <f t="shared" si="183"/>
        <v>2.3969999999999998E-2</v>
      </c>
      <c r="AP113" s="58">
        <f t="shared" si="183"/>
        <v>2.401E-2</v>
      </c>
      <c r="AQ113" s="58">
        <f t="shared" si="183"/>
        <v>5.7399999999999997E-4</v>
      </c>
      <c r="AR113" s="58">
        <f t="shared" si="183"/>
        <v>1.127E-3</v>
      </c>
      <c r="AS113" s="58">
        <f t="shared" si="183"/>
        <v>1.35E-4</v>
      </c>
      <c r="AT113" s="58">
        <f t="shared" si="183"/>
        <v>5.1500000000000005E-4</v>
      </c>
      <c r="AU113" s="58">
        <f t="shared" si="183"/>
        <v>1E-4</v>
      </c>
      <c r="AV113" s="58">
        <f t="shared" si="183"/>
        <v>2.3E-5</v>
      </c>
      <c r="AW113" s="58">
        <f t="shared" si="183"/>
        <v>8.7999999999999998E-5</v>
      </c>
      <c r="AX113" s="58">
        <f t="shared" si="183"/>
        <v>1.4E-5</v>
      </c>
      <c r="AY113" s="58">
        <f t="shared" si="183"/>
        <v>6.3E-5</v>
      </c>
      <c r="AZ113" s="58">
        <f t="shared" si="183"/>
        <v>1.2E-5</v>
      </c>
      <c r="BA113" s="58">
        <f t="shared" si="183"/>
        <v>3.5000000000000004E-5</v>
      </c>
      <c r="BB113" s="58">
        <f t="shared" si="183"/>
        <v>3.9999999999999998E-6</v>
      </c>
      <c r="BC113" s="58">
        <f t="shared" si="183"/>
        <v>2.6999999999999999E-5</v>
      </c>
      <c r="BD113" s="58">
        <f t="shared" si="183"/>
        <v>3.9999999999999998E-6</v>
      </c>
      <c r="BE113" s="58">
        <f t="shared" si="183"/>
        <v>1.9999999999999999E-6</v>
      </c>
      <c r="BF113" s="58">
        <f t="shared" si="183"/>
        <v>8.7999999999999998E-5</v>
      </c>
      <c r="BG113" s="58">
        <f t="shared" si="183"/>
        <v>2.7E-4</v>
      </c>
      <c r="BH113" s="58">
        <f t="shared" si="183"/>
        <v>2.7800000000000004E-4</v>
      </c>
      <c r="BI113" s="58">
        <f t="shared" si="183"/>
        <v>0</v>
      </c>
      <c r="BJ113" s="58">
        <f t="shared" si="183"/>
        <v>0</v>
      </c>
      <c r="BK113" s="58">
        <f t="shared" si="183"/>
        <v>1.4799999999999999E-4</v>
      </c>
      <c r="BL113" s="58">
        <f t="shared" si="183"/>
        <v>7.9999999999999996E-6</v>
      </c>
      <c r="BM113" s="58">
        <f t="shared" si="183"/>
        <v>1.2340000000000001E-3</v>
      </c>
      <c r="BN113" s="58">
        <f t="shared" si="183"/>
        <v>9.7776000000000004E-4</v>
      </c>
      <c r="BO113" s="59">
        <v>0.97775999999999996</v>
      </c>
      <c r="BP113" s="59">
        <v>1.09456</v>
      </c>
      <c r="BQ113" s="58">
        <f t="shared" ref="BQ113:BR113" si="184">BQ33/1000</f>
        <v>1.55E-4</v>
      </c>
      <c r="BR113" s="58">
        <f t="shared" si="184"/>
        <v>2.6999999999999999E-5</v>
      </c>
    </row>
    <row r="114" spans="1:70" ht="15.95" customHeight="1" x14ac:dyDescent="0.25">
      <c r="A114" s="58" t="s">
        <v>78</v>
      </c>
      <c r="B114" s="58">
        <f t="shared" ref="B114:G114" si="185">B34/1000</f>
        <v>0.44750000000000001</v>
      </c>
      <c r="C114" s="58">
        <f t="shared" si="185"/>
        <v>4.5469999999999997</v>
      </c>
      <c r="D114" s="58">
        <f t="shared" si="185"/>
        <v>0.80059999999999998</v>
      </c>
      <c r="E114" s="58">
        <f t="shared" si="185"/>
        <v>1.224</v>
      </c>
      <c r="F114" s="58">
        <f t="shared" si="185"/>
        <v>24.03</v>
      </c>
      <c r="G114" s="58">
        <f t="shared" si="185"/>
        <v>66.31</v>
      </c>
      <c r="H114" s="59">
        <v>1.2220800000000001</v>
      </c>
      <c r="I114" s="59">
        <v>1.1731</v>
      </c>
      <c r="J114" s="58">
        <f t="shared" ref="J114:T114" si="186">J34/1000</f>
        <v>0.38200000000000001</v>
      </c>
      <c r="K114" s="58">
        <f t="shared" si="186"/>
        <v>2.971E-2</v>
      </c>
      <c r="L114" s="58">
        <f t="shared" si="186"/>
        <v>3.841E-2</v>
      </c>
      <c r="M114" s="58">
        <f t="shared" si="186"/>
        <v>3.7029999999999997E-3</v>
      </c>
      <c r="N114" s="58">
        <f t="shared" si="186"/>
        <v>0.1527</v>
      </c>
      <c r="O114" s="58">
        <f t="shared" si="186"/>
        <v>1.054</v>
      </c>
      <c r="P114" s="58">
        <f t="shared" si="186"/>
        <v>4.6800000000000005E-4</v>
      </c>
      <c r="Q114" s="58">
        <f t="shared" si="186"/>
        <v>2.686E-3</v>
      </c>
      <c r="R114" s="58">
        <f t="shared" si="186"/>
        <v>2.8719999999999999E-2</v>
      </c>
      <c r="S114" s="58">
        <f t="shared" si="186"/>
        <v>3.091E-2</v>
      </c>
      <c r="T114" s="58">
        <f t="shared" si="186"/>
        <v>1.189E-3</v>
      </c>
      <c r="U114" s="59">
        <v>1.0781499999999999</v>
      </c>
      <c r="V114" s="59">
        <v>1.0036799999999999</v>
      </c>
      <c r="W114" s="58">
        <f t="shared" ref="W114:Z114" si="187">W34/1000</f>
        <v>3.2000000000000003E-4</v>
      </c>
      <c r="X114" s="58">
        <f t="shared" si="187"/>
        <v>5.9150000000000001E-3</v>
      </c>
      <c r="Y114" s="58">
        <f t="shared" si="187"/>
        <v>1.4080000000000001E-2</v>
      </c>
      <c r="Z114" s="58">
        <f t="shared" si="187"/>
        <v>0.25819999999999999</v>
      </c>
      <c r="AA114" s="59">
        <v>1.1722699999999999</v>
      </c>
      <c r="AB114" s="59">
        <v>1.19414</v>
      </c>
      <c r="AC114" s="58">
        <f t="shared" ref="AC114:AI114" si="188">AC34/1000</f>
        <v>8.2999999999999998E-5</v>
      </c>
      <c r="AD114" s="58">
        <f t="shared" si="188"/>
        <v>5.2099999999999998E-4</v>
      </c>
      <c r="AE114" s="58">
        <f t="shared" si="188"/>
        <v>9.9999999999999995E-7</v>
      </c>
      <c r="AF114" s="58">
        <f t="shared" si="188"/>
        <v>3.9999999999999998E-6</v>
      </c>
      <c r="AG114" s="58">
        <f t="shared" si="188"/>
        <v>6.2000000000000003E-5</v>
      </c>
      <c r="AH114" s="58">
        <f t="shared" si="188"/>
        <v>2.7100000000000003E-4</v>
      </c>
      <c r="AI114" s="58">
        <f t="shared" si="188"/>
        <v>1.3000000000000002E-4</v>
      </c>
      <c r="AJ114" s="59">
        <v>1.06795</v>
      </c>
      <c r="AK114" s="59">
        <v>1.16648</v>
      </c>
      <c r="AL114" s="58">
        <f t="shared" ref="AL114:BN114" si="189">AM34/1000</f>
        <v>1.7199999999999998E-4</v>
      </c>
      <c r="AM114" s="58">
        <f t="shared" si="189"/>
        <v>3.0000000000000001E-6</v>
      </c>
      <c r="AN114" s="58">
        <f t="shared" si="189"/>
        <v>3.59E-4</v>
      </c>
      <c r="AO114" s="58">
        <f t="shared" si="189"/>
        <v>2.8629999999999999E-2</v>
      </c>
      <c r="AP114" s="58">
        <f t="shared" si="189"/>
        <v>2.8680000000000001E-2</v>
      </c>
      <c r="AQ114" s="58">
        <f t="shared" si="189"/>
        <v>6.7500000000000004E-4</v>
      </c>
      <c r="AR114" s="58">
        <f t="shared" si="189"/>
        <v>1.2829999999999999E-3</v>
      </c>
      <c r="AS114" s="58">
        <f t="shared" si="189"/>
        <v>1.56E-4</v>
      </c>
      <c r="AT114" s="58">
        <f t="shared" si="189"/>
        <v>5.9299999999999999E-4</v>
      </c>
      <c r="AU114" s="58">
        <f t="shared" si="189"/>
        <v>1.15E-4</v>
      </c>
      <c r="AV114" s="58">
        <f t="shared" si="189"/>
        <v>2.9E-5</v>
      </c>
      <c r="AW114" s="58">
        <f t="shared" si="189"/>
        <v>1.03E-4</v>
      </c>
      <c r="AX114" s="58">
        <f t="shared" si="189"/>
        <v>2.0000000000000002E-5</v>
      </c>
      <c r="AY114" s="58">
        <f t="shared" si="189"/>
        <v>7.1999999999999988E-5</v>
      </c>
      <c r="AZ114" s="58">
        <f t="shared" si="189"/>
        <v>1.4E-5</v>
      </c>
      <c r="BA114" s="58">
        <f t="shared" si="189"/>
        <v>3.8000000000000002E-5</v>
      </c>
      <c r="BB114" s="58">
        <f t="shared" si="189"/>
        <v>5.0000000000000004E-6</v>
      </c>
      <c r="BC114" s="58">
        <f t="shared" si="189"/>
        <v>3.4E-5</v>
      </c>
      <c r="BD114" s="58">
        <f t="shared" si="189"/>
        <v>5.0000000000000004E-6</v>
      </c>
      <c r="BE114" s="58">
        <f t="shared" si="189"/>
        <v>1.9999999999999999E-6</v>
      </c>
      <c r="BF114" s="58">
        <f t="shared" si="189"/>
        <v>1E-4</v>
      </c>
      <c r="BG114" s="58">
        <f t="shared" si="189"/>
        <v>2.1100000000000001E-4</v>
      </c>
      <c r="BH114" s="58">
        <f t="shared" si="189"/>
        <v>2.1599999999999999E-4</v>
      </c>
      <c r="BI114" s="58">
        <f t="shared" si="189"/>
        <v>0</v>
      </c>
      <c r="BJ114" s="58">
        <f t="shared" si="189"/>
        <v>0</v>
      </c>
      <c r="BK114" s="58">
        <f t="shared" si="189"/>
        <v>1.8699999999999999E-4</v>
      </c>
      <c r="BL114" s="58">
        <f t="shared" si="189"/>
        <v>1.0000000000000001E-5</v>
      </c>
      <c r="BM114" s="58">
        <f t="shared" si="189"/>
        <v>1.157E-3</v>
      </c>
      <c r="BN114" s="58">
        <f t="shared" si="189"/>
        <v>9.8253000000000012E-4</v>
      </c>
      <c r="BO114" s="59">
        <v>0.98253000000000001</v>
      </c>
      <c r="BP114" s="59">
        <v>1.0951299999999999</v>
      </c>
      <c r="BQ114" s="58">
        <f t="shared" ref="BQ114:BR114" si="190">BQ34/1000</f>
        <v>1.7699999999999999E-4</v>
      </c>
      <c r="BR114" s="58">
        <f t="shared" si="190"/>
        <v>3.5000000000000004E-5</v>
      </c>
    </row>
    <row r="115" spans="1:70" ht="15.95" customHeight="1" x14ac:dyDescent="0.25">
      <c r="A115" s="58" t="s">
        <v>79</v>
      </c>
      <c r="B115" s="58">
        <f t="shared" ref="B115:G115" si="191">B35/1000</f>
        <v>0.7107</v>
      </c>
      <c r="C115" s="58">
        <f t="shared" si="191"/>
        <v>5.3920000000000003</v>
      </c>
      <c r="D115" s="58">
        <f t="shared" si="191"/>
        <v>0.64500000000000002</v>
      </c>
      <c r="E115" s="58">
        <f t="shared" si="191"/>
        <v>1.5820000000000001</v>
      </c>
      <c r="F115" s="58">
        <f t="shared" si="191"/>
        <v>36.75</v>
      </c>
      <c r="G115" s="58">
        <f t="shared" si="191"/>
        <v>70.66</v>
      </c>
      <c r="H115" s="59">
        <v>1.20312</v>
      </c>
      <c r="I115" s="59">
        <v>1.1564399999999999</v>
      </c>
      <c r="J115" s="58">
        <f t="shared" ref="J115:T115" si="192">J35/1000</f>
        <v>0.39189999999999997</v>
      </c>
      <c r="K115" s="58">
        <f t="shared" si="192"/>
        <v>2.6019999999999998E-2</v>
      </c>
      <c r="L115" s="58">
        <f t="shared" si="192"/>
        <v>3.6950000000000004E-2</v>
      </c>
      <c r="M115" s="58">
        <f t="shared" si="192"/>
        <v>3.722E-3</v>
      </c>
      <c r="N115" s="58">
        <f t="shared" si="192"/>
        <v>0.17449999999999999</v>
      </c>
      <c r="O115" s="58">
        <f t="shared" si="192"/>
        <v>0.87639999999999996</v>
      </c>
      <c r="P115" s="58">
        <f t="shared" si="192"/>
        <v>5.0500000000000002E-4</v>
      </c>
      <c r="Q115" s="58">
        <f t="shared" si="192"/>
        <v>3.3599999999999997E-3</v>
      </c>
      <c r="R115" s="58">
        <f t="shared" si="192"/>
        <v>2.307E-2</v>
      </c>
      <c r="S115" s="58">
        <f t="shared" si="192"/>
        <v>1.469E-2</v>
      </c>
      <c r="T115" s="58">
        <f t="shared" si="192"/>
        <v>1.737E-3</v>
      </c>
      <c r="U115" s="59">
        <v>1.0763400000000001</v>
      </c>
      <c r="V115" s="59">
        <v>0.99324999999999997</v>
      </c>
      <c r="W115" s="58">
        <f t="shared" ref="W115:Z115" si="193">W35/1000</f>
        <v>3.1199999999999999E-4</v>
      </c>
      <c r="X115" s="58">
        <f t="shared" si="193"/>
        <v>3.832E-2</v>
      </c>
      <c r="Y115" s="58">
        <f t="shared" si="193"/>
        <v>7.2690000000000003E-3</v>
      </c>
      <c r="Z115" s="58">
        <f t="shared" si="193"/>
        <v>0.33800000000000002</v>
      </c>
      <c r="AA115" s="59">
        <v>1.15822</v>
      </c>
      <c r="AB115" s="59">
        <v>1.1755500000000001</v>
      </c>
      <c r="AC115" s="58">
        <f t="shared" ref="AC115:AI115" si="194">AC35/1000</f>
        <v>7.3999999999999996E-5</v>
      </c>
      <c r="AD115" s="58">
        <f t="shared" si="194"/>
        <v>5.6599999999999999E-4</v>
      </c>
      <c r="AE115" s="58">
        <f t="shared" si="194"/>
        <v>9.9999999999999995E-7</v>
      </c>
      <c r="AF115" s="58">
        <f t="shared" si="194"/>
        <v>6.0000000000000002E-6</v>
      </c>
      <c r="AG115" s="58">
        <f t="shared" si="194"/>
        <v>8.5000000000000006E-5</v>
      </c>
      <c r="AH115" s="58">
        <f t="shared" si="194"/>
        <v>3.6600000000000001E-4</v>
      </c>
      <c r="AI115" s="58">
        <f t="shared" si="194"/>
        <v>8.1000000000000004E-5</v>
      </c>
      <c r="AJ115" s="59">
        <v>1.0573600000000001</v>
      </c>
      <c r="AK115" s="59">
        <v>1.15469</v>
      </c>
      <c r="AL115" s="58">
        <f t="shared" ref="AL115:BN115" si="195">AM35/1000</f>
        <v>1.9900000000000001E-4</v>
      </c>
      <c r="AM115" s="58">
        <f t="shared" si="195"/>
        <v>3.0000000000000001E-6</v>
      </c>
      <c r="AN115" s="58">
        <f t="shared" si="195"/>
        <v>1.36E-4</v>
      </c>
      <c r="AO115" s="58">
        <f t="shared" si="195"/>
        <v>4.4469999999999996E-2</v>
      </c>
      <c r="AP115" s="58">
        <f t="shared" si="195"/>
        <v>4.4229999999999998E-2</v>
      </c>
      <c r="AQ115" s="58">
        <f t="shared" si="195"/>
        <v>8.0800000000000002E-4</v>
      </c>
      <c r="AR115" s="58">
        <f t="shared" si="195"/>
        <v>1.3209999999999999E-3</v>
      </c>
      <c r="AS115" s="58">
        <f t="shared" si="195"/>
        <v>1.64E-4</v>
      </c>
      <c r="AT115" s="58">
        <f t="shared" si="195"/>
        <v>6.0700000000000001E-4</v>
      </c>
      <c r="AU115" s="58">
        <f t="shared" si="195"/>
        <v>1.16E-4</v>
      </c>
      <c r="AV115" s="58">
        <f t="shared" si="195"/>
        <v>3.1000000000000001E-5</v>
      </c>
      <c r="AW115" s="58">
        <f t="shared" si="195"/>
        <v>1.12E-4</v>
      </c>
      <c r="AX115" s="58">
        <f t="shared" si="195"/>
        <v>1.4999999999999999E-5</v>
      </c>
      <c r="AY115" s="58">
        <f t="shared" si="195"/>
        <v>7.4999999999999993E-5</v>
      </c>
      <c r="AZ115" s="58">
        <f t="shared" si="195"/>
        <v>1.4E-5</v>
      </c>
      <c r="BA115" s="58">
        <f t="shared" si="195"/>
        <v>3.6999999999999998E-5</v>
      </c>
      <c r="BB115" s="58">
        <f t="shared" si="195"/>
        <v>5.0000000000000004E-6</v>
      </c>
      <c r="BC115" s="58">
        <f t="shared" si="195"/>
        <v>3.1000000000000001E-5</v>
      </c>
      <c r="BD115" s="58">
        <f t="shared" si="195"/>
        <v>5.0000000000000004E-6</v>
      </c>
      <c r="BE115" s="58">
        <f t="shared" si="195"/>
        <v>1.9999999999999999E-6</v>
      </c>
      <c r="BF115" s="58">
        <f t="shared" si="195"/>
        <v>9.5000000000000005E-5</v>
      </c>
      <c r="BG115" s="58">
        <f t="shared" si="195"/>
        <v>2.7E-4</v>
      </c>
      <c r="BH115" s="58">
        <f t="shared" si="195"/>
        <v>2.7400000000000005E-4</v>
      </c>
      <c r="BI115" s="58">
        <f t="shared" si="195"/>
        <v>0</v>
      </c>
      <c r="BJ115" s="58">
        <f t="shared" si="195"/>
        <v>0</v>
      </c>
      <c r="BK115" s="58">
        <f t="shared" si="195"/>
        <v>8.2000000000000001E-5</v>
      </c>
      <c r="BL115" s="58">
        <f t="shared" si="195"/>
        <v>6.9999999999999999E-6</v>
      </c>
      <c r="BM115" s="58">
        <f t="shared" si="195"/>
        <v>1.2410000000000001E-3</v>
      </c>
      <c r="BN115" s="58">
        <f t="shared" si="195"/>
        <v>9.7302E-4</v>
      </c>
      <c r="BO115" s="59">
        <v>0.97302</v>
      </c>
      <c r="BP115" s="59">
        <v>1.08985</v>
      </c>
      <c r="BQ115" s="58">
        <f t="shared" ref="BQ115:BR115" si="196">BQ35/1000</f>
        <v>2.05E-4</v>
      </c>
      <c r="BR115" s="58">
        <f t="shared" si="196"/>
        <v>2.9999999999999997E-5</v>
      </c>
    </row>
    <row r="116" spans="1:70" ht="15.95" customHeight="1" x14ac:dyDescent="0.25">
      <c r="A116" s="58" t="s">
        <v>80</v>
      </c>
      <c r="B116" s="58">
        <f t="shared" ref="B116:G116" si="197">B36/1000</f>
        <v>0.44060000000000005</v>
      </c>
      <c r="C116" s="58">
        <f t="shared" si="197"/>
        <v>5.7640000000000002</v>
      </c>
      <c r="D116" s="58">
        <f t="shared" si="197"/>
        <v>0.90070000000000006</v>
      </c>
      <c r="E116" s="58">
        <f t="shared" si="197"/>
        <v>2.0649999999999999</v>
      </c>
      <c r="F116" s="58">
        <f t="shared" si="197"/>
        <v>36.49</v>
      </c>
      <c r="G116" s="58">
        <f t="shared" si="197"/>
        <v>45.52</v>
      </c>
      <c r="H116" s="59">
        <v>1.16516</v>
      </c>
      <c r="I116" s="59">
        <v>1.12313</v>
      </c>
      <c r="J116" s="58">
        <f t="shared" ref="J116:T116" si="198">J36/1000</f>
        <v>0.28079999999999999</v>
      </c>
      <c r="K116" s="58">
        <f t="shared" si="198"/>
        <v>3.2329999999999998E-2</v>
      </c>
      <c r="L116" s="58">
        <f t="shared" si="198"/>
        <v>4.1369999999999997E-2</v>
      </c>
      <c r="M116" s="58">
        <f t="shared" si="198"/>
        <v>3.4620000000000002E-3</v>
      </c>
      <c r="N116" s="58">
        <f t="shared" si="198"/>
        <v>0.12540000000000001</v>
      </c>
      <c r="O116" s="58">
        <f t="shared" si="198"/>
        <v>1.0209999999999999</v>
      </c>
      <c r="P116" s="58">
        <f t="shared" si="198"/>
        <v>4.6700000000000002E-4</v>
      </c>
      <c r="Q116" s="58">
        <f t="shared" si="198"/>
        <v>3.9880000000000002E-3</v>
      </c>
      <c r="R116" s="58">
        <f t="shared" si="198"/>
        <v>2.2879999999999998E-2</v>
      </c>
      <c r="S116" s="58">
        <f t="shared" si="198"/>
        <v>2.085E-2</v>
      </c>
      <c r="T116" s="58">
        <f t="shared" si="198"/>
        <v>1.5249999999999999E-3</v>
      </c>
      <c r="U116" s="59">
        <v>1.0636300000000001</v>
      </c>
      <c r="V116" s="59">
        <v>0.98646</v>
      </c>
      <c r="W116" s="58">
        <f t="shared" ref="W116:Z116" si="199">W36/1000</f>
        <v>3.1700000000000001E-4</v>
      </c>
      <c r="X116" s="58">
        <f t="shared" si="199"/>
        <v>8.43E-3</v>
      </c>
      <c r="Y116" s="58">
        <f t="shared" si="199"/>
        <v>1.4800000000000001E-2</v>
      </c>
      <c r="Z116" s="58">
        <f t="shared" si="199"/>
        <v>0.19040000000000001</v>
      </c>
      <c r="AA116" s="59">
        <v>1.1250800000000001</v>
      </c>
      <c r="AB116" s="59">
        <v>1.14611</v>
      </c>
      <c r="AC116" s="58">
        <f t="shared" ref="AC116:AI116" si="200">AC36/1000</f>
        <v>9.9000000000000008E-5</v>
      </c>
      <c r="AD116" s="58">
        <f t="shared" si="200"/>
        <v>9.5999999999999992E-4</v>
      </c>
      <c r="AE116" s="58">
        <f t="shared" si="200"/>
        <v>9.9999999999999995E-7</v>
      </c>
      <c r="AF116" s="58">
        <f t="shared" si="200"/>
        <v>3.0000000000000001E-6</v>
      </c>
      <c r="AG116" s="58">
        <f t="shared" si="200"/>
        <v>4.6999999999999997E-5</v>
      </c>
      <c r="AH116" s="58">
        <f t="shared" si="200"/>
        <v>2.2700000000000002E-4</v>
      </c>
      <c r="AI116" s="58">
        <f t="shared" si="200"/>
        <v>6.900000000000001E-5</v>
      </c>
      <c r="AJ116" s="59">
        <v>1.03626</v>
      </c>
      <c r="AK116" s="59">
        <v>1.13002</v>
      </c>
      <c r="AL116" s="58">
        <f t="shared" ref="AL116:BN116" si="201">AM36/1000</f>
        <v>1.08E-4</v>
      </c>
      <c r="AM116" s="58">
        <f t="shared" si="201"/>
        <v>3.9999999999999998E-6</v>
      </c>
      <c r="AN116" s="58">
        <f t="shared" si="201"/>
        <v>2.52E-4</v>
      </c>
      <c r="AO116" s="58">
        <f t="shared" si="201"/>
        <v>3.8509999999999996E-2</v>
      </c>
      <c r="AP116" s="58">
        <f t="shared" si="201"/>
        <v>3.8359999999999998E-2</v>
      </c>
      <c r="AQ116" s="58">
        <f t="shared" si="201"/>
        <v>7.6300000000000001E-4</v>
      </c>
      <c r="AR116" s="58">
        <f t="shared" si="201"/>
        <v>1.521E-3</v>
      </c>
      <c r="AS116" s="58">
        <f t="shared" si="201"/>
        <v>1.85E-4</v>
      </c>
      <c r="AT116" s="58">
        <f t="shared" si="201"/>
        <v>6.8999999999999997E-4</v>
      </c>
      <c r="AU116" s="58">
        <f t="shared" si="201"/>
        <v>1.36E-4</v>
      </c>
      <c r="AV116" s="58">
        <f t="shared" si="201"/>
        <v>2.9999999999999997E-5</v>
      </c>
      <c r="AW116" s="58">
        <f t="shared" si="201"/>
        <v>1.1999999999999999E-4</v>
      </c>
      <c r="AX116" s="58">
        <f t="shared" si="201"/>
        <v>1.7999999999999997E-5</v>
      </c>
      <c r="AY116" s="58">
        <f t="shared" si="201"/>
        <v>8.7000000000000001E-5</v>
      </c>
      <c r="AZ116" s="58">
        <f t="shared" si="201"/>
        <v>1.5999999999999999E-5</v>
      </c>
      <c r="BA116" s="58">
        <f t="shared" si="201"/>
        <v>4.2999999999999995E-5</v>
      </c>
      <c r="BB116" s="58">
        <f t="shared" si="201"/>
        <v>6.0000000000000002E-6</v>
      </c>
      <c r="BC116" s="58">
        <f t="shared" si="201"/>
        <v>3.5999999999999994E-5</v>
      </c>
      <c r="BD116" s="58">
        <f t="shared" si="201"/>
        <v>5.0000000000000004E-6</v>
      </c>
      <c r="BE116" s="58">
        <f t="shared" si="201"/>
        <v>1.9999999999999999E-6</v>
      </c>
      <c r="BF116" s="58">
        <f t="shared" si="201"/>
        <v>8.2999999999999998E-5</v>
      </c>
      <c r="BG116" s="58">
        <f t="shared" si="201"/>
        <v>2.99E-4</v>
      </c>
      <c r="BH116" s="58">
        <f t="shared" si="201"/>
        <v>3.0299999999999999E-4</v>
      </c>
      <c r="BI116" s="58">
        <f t="shared" si="201"/>
        <v>0</v>
      </c>
      <c r="BJ116" s="58">
        <f t="shared" si="201"/>
        <v>0</v>
      </c>
      <c r="BK116" s="58">
        <f t="shared" si="201"/>
        <v>1.15E-4</v>
      </c>
      <c r="BL116" s="58">
        <f t="shared" si="201"/>
        <v>1.1E-5</v>
      </c>
      <c r="BM116" s="58">
        <f t="shared" si="201"/>
        <v>2.4919999999999999E-3</v>
      </c>
      <c r="BN116" s="58">
        <f t="shared" si="201"/>
        <v>9.7121999999999996E-4</v>
      </c>
      <c r="BO116" s="59">
        <v>0.97121999999999997</v>
      </c>
      <c r="BP116" s="59">
        <v>1.07575</v>
      </c>
      <c r="BQ116" s="58">
        <f t="shared" ref="BQ116:BR116" si="202">BQ36/1000</f>
        <v>2.2499999999999999E-4</v>
      </c>
      <c r="BR116" s="58">
        <f t="shared" si="202"/>
        <v>3.5000000000000004E-5</v>
      </c>
    </row>
    <row r="117" spans="1:70" ht="15.95" customHeight="1" x14ac:dyDescent="0.25">
      <c r="A117" s="58" t="s">
        <v>81</v>
      </c>
      <c r="B117" s="58">
        <f t="shared" ref="B117:G117" si="203">B37/1000</f>
        <v>0.26730000000000004</v>
      </c>
      <c r="C117" s="58">
        <f t="shared" si="203"/>
        <v>4.157</v>
      </c>
      <c r="D117" s="58">
        <f t="shared" si="203"/>
        <v>0.62720000000000009</v>
      </c>
      <c r="E117" s="58">
        <f t="shared" si="203"/>
        <v>1.665</v>
      </c>
      <c r="F117" s="58">
        <f t="shared" si="203"/>
        <v>43.98</v>
      </c>
      <c r="G117" s="58">
        <f t="shared" si="203"/>
        <v>54.28</v>
      </c>
      <c r="H117" s="59">
        <v>1.20201</v>
      </c>
      <c r="I117" s="59">
        <v>1.1789099999999999</v>
      </c>
      <c r="J117" s="58">
        <f t="shared" ref="J117:T117" si="204">J37/1000</f>
        <v>0.31260000000000004</v>
      </c>
      <c r="K117" s="58">
        <f t="shared" si="204"/>
        <v>2.613E-2</v>
      </c>
      <c r="L117" s="58">
        <f t="shared" si="204"/>
        <v>4.0070000000000001E-2</v>
      </c>
      <c r="M117" s="58">
        <f t="shared" si="204"/>
        <v>4.3170000000000005E-3</v>
      </c>
      <c r="N117" s="58">
        <f t="shared" si="204"/>
        <v>9.7689999999999999E-2</v>
      </c>
      <c r="O117" s="58">
        <f t="shared" si="204"/>
        <v>0.96060000000000001</v>
      </c>
      <c r="P117" s="58">
        <f t="shared" si="204"/>
        <v>4.75E-4</v>
      </c>
      <c r="Q117" s="58">
        <f t="shared" si="204"/>
        <v>2.7209999999999999E-3</v>
      </c>
      <c r="R117" s="58">
        <f t="shared" si="204"/>
        <v>2.598E-2</v>
      </c>
      <c r="S117" s="58">
        <f t="shared" si="204"/>
        <v>3.3329999999999999E-2</v>
      </c>
      <c r="T117" s="58">
        <f t="shared" si="204"/>
        <v>1.011E-3</v>
      </c>
      <c r="U117" s="59">
        <v>1.0781799999999999</v>
      </c>
      <c r="V117" s="59">
        <v>1.0093000000000001</v>
      </c>
      <c r="W117" s="58">
        <f t="shared" ref="W117:Z117" si="205">W37/1000</f>
        <v>3.5999999999999997E-4</v>
      </c>
      <c r="X117" s="58">
        <f t="shared" si="205"/>
        <v>7.6600000000000001E-3</v>
      </c>
      <c r="Y117" s="58">
        <f t="shared" si="205"/>
        <v>3.0249999999999999E-2</v>
      </c>
      <c r="Z117" s="58">
        <f t="shared" si="205"/>
        <v>0.1777</v>
      </c>
      <c r="AA117" s="59">
        <v>1.1575</v>
      </c>
      <c r="AB117" s="59">
        <v>1.19312</v>
      </c>
      <c r="AC117" s="58">
        <f t="shared" ref="AC117:AI117" si="206">AC37/1000</f>
        <v>8.1000000000000004E-5</v>
      </c>
      <c r="AD117" s="58">
        <f t="shared" si="206"/>
        <v>7.0799999999999997E-4</v>
      </c>
      <c r="AE117" s="58">
        <f t="shared" si="206"/>
        <v>9.9999999999999995E-7</v>
      </c>
      <c r="AF117" s="58">
        <f t="shared" si="206"/>
        <v>3.0000000000000001E-6</v>
      </c>
      <c r="AG117" s="58">
        <f t="shared" si="206"/>
        <v>4.2999999999999995E-5</v>
      </c>
      <c r="AH117" s="58">
        <f t="shared" si="206"/>
        <v>1.9700000000000002E-4</v>
      </c>
      <c r="AI117" s="58">
        <f t="shared" si="206"/>
        <v>1.02E-4</v>
      </c>
      <c r="AJ117" s="59">
        <v>1.05681</v>
      </c>
      <c r="AK117" s="59">
        <v>1.17303</v>
      </c>
      <c r="AL117" s="58">
        <f t="shared" ref="AL117:BN117" si="207">AM37/1000</f>
        <v>1.6800000000000002E-4</v>
      </c>
      <c r="AM117" s="58">
        <f t="shared" si="207"/>
        <v>3.0000000000000001E-6</v>
      </c>
      <c r="AN117" s="58">
        <f t="shared" si="207"/>
        <v>2.8399999999999996E-4</v>
      </c>
      <c r="AO117" s="58">
        <f t="shared" si="207"/>
        <v>2.445E-2</v>
      </c>
      <c r="AP117" s="58">
        <f t="shared" si="207"/>
        <v>2.462E-2</v>
      </c>
      <c r="AQ117" s="58">
        <f t="shared" si="207"/>
        <v>7.2999999999999996E-4</v>
      </c>
      <c r="AR117" s="58">
        <f t="shared" si="207"/>
        <v>1.4059999999999999E-3</v>
      </c>
      <c r="AS117" s="58">
        <f t="shared" si="207"/>
        <v>1.7199999999999998E-4</v>
      </c>
      <c r="AT117" s="58">
        <f t="shared" si="207"/>
        <v>6.3299999999999999E-4</v>
      </c>
      <c r="AU117" s="58">
        <f t="shared" si="207"/>
        <v>1.1899999999999999E-4</v>
      </c>
      <c r="AV117" s="58">
        <f t="shared" si="207"/>
        <v>2.6999999999999999E-5</v>
      </c>
      <c r="AW117" s="58">
        <f t="shared" si="207"/>
        <v>1.0899999999999999E-4</v>
      </c>
      <c r="AX117" s="58">
        <f t="shared" si="207"/>
        <v>1.5999999999999999E-5</v>
      </c>
      <c r="AY117" s="58">
        <f t="shared" si="207"/>
        <v>7.8999999999999996E-5</v>
      </c>
      <c r="AZ117" s="58">
        <f t="shared" si="207"/>
        <v>1.4E-5</v>
      </c>
      <c r="BA117" s="58">
        <f t="shared" si="207"/>
        <v>3.8000000000000002E-5</v>
      </c>
      <c r="BB117" s="58">
        <f t="shared" si="207"/>
        <v>5.0000000000000004E-6</v>
      </c>
      <c r="BC117" s="58">
        <f t="shared" si="207"/>
        <v>3.5000000000000004E-5</v>
      </c>
      <c r="BD117" s="58">
        <f t="shared" si="207"/>
        <v>5.0000000000000004E-6</v>
      </c>
      <c r="BE117" s="58">
        <f t="shared" si="207"/>
        <v>1.9999999999999999E-6</v>
      </c>
      <c r="BF117" s="58">
        <f t="shared" si="207"/>
        <v>1.01E-4</v>
      </c>
      <c r="BG117" s="58">
        <f t="shared" si="207"/>
        <v>1.25E-4</v>
      </c>
      <c r="BH117" s="58">
        <f t="shared" si="207"/>
        <v>1.27E-4</v>
      </c>
      <c r="BI117" s="58">
        <f t="shared" si="207"/>
        <v>0</v>
      </c>
      <c r="BJ117" s="58">
        <f t="shared" si="207"/>
        <v>0</v>
      </c>
      <c r="BK117" s="58">
        <f t="shared" si="207"/>
        <v>1.1700000000000001E-4</v>
      </c>
      <c r="BL117" s="58">
        <f t="shared" si="207"/>
        <v>1.2999999999999999E-5</v>
      </c>
      <c r="BM117" s="58">
        <f t="shared" si="207"/>
        <v>1.487E-3</v>
      </c>
      <c r="BN117" s="58">
        <f t="shared" si="207"/>
        <v>9.7504999999999998E-4</v>
      </c>
      <c r="BO117" s="59">
        <v>0.97504999999999997</v>
      </c>
      <c r="BP117" s="59">
        <v>1.0992299999999999</v>
      </c>
      <c r="BQ117" s="58">
        <f t="shared" ref="BQ117:BR117" si="208">BQ37/1000</f>
        <v>1.9700000000000002E-4</v>
      </c>
      <c r="BR117" s="58">
        <f t="shared" si="208"/>
        <v>2.9999999999999997E-5</v>
      </c>
    </row>
    <row r="118" spans="1:70" ht="15.95" customHeight="1" x14ac:dyDescent="0.25">
      <c r="A118" s="58" t="s">
        <v>82</v>
      </c>
      <c r="B118" s="58">
        <f t="shared" ref="B118:G118" si="209">B38/1000</f>
        <v>0.40360000000000001</v>
      </c>
      <c r="C118" s="58">
        <f t="shared" si="209"/>
        <v>6.0709999999999997</v>
      </c>
      <c r="D118" s="58">
        <f t="shared" si="209"/>
        <v>0.40670000000000001</v>
      </c>
      <c r="E118" s="58">
        <f t="shared" si="209"/>
        <v>3.839</v>
      </c>
      <c r="F118" s="58">
        <f t="shared" si="209"/>
        <v>46.68</v>
      </c>
      <c r="G118" s="58">
        <f t="shared" si="209"/>
        <v>51.83</v>
      </c>
      <c r="H118" s="59">
        <v>1.1865000000000001</v>
      </c>
      <c r="I118" s="59">
        <v>1.16856</v>
      </c>
      <c r="J118" s="58">
        <f t="shared" ref="J118:T118" si="210">J38/1000</f>
        <v>0.2767</v>
      </c>
      <c r="K118" s="58">
        <f t="shared" si="210"/>
        <v>1.5390000000000001E-2</v>
      </c>
      <c r="L118" s="58">
        <f t="shared" si="210"/>
        <v>2.981E-2</v>
      </c>
      <c r="M118" s="58">
        <f t="shared" si="210"/>
        <v>3.5099999999999997E-3</v>
      </c>
      <c r="N118" s="58">
        <f t="shared" si="210"/>
        <v>0.11090000000000001</v>
      </c>
      <c r="O118" s="58">
        <f t="shared" si="210"/>
        <v>0.51479999999999992</v>
      </c>
      <c r="P118" s="58">
        <f t="shared" si="210"/>
        <v>2.61E-4</v>
      </c>
      <c r="Q118" s="58">
        <f t="shared" si="210"/>
        <v>2.578E-3</v>
      </c>
      <c r="R118" s="58">
        <f t="shared" si="210"/>
        <v>1.7239999999999998E-2</v>
      </c>
      <c r="S118" s="58">
        <f t="shared" si="210"/>
        <v>1.6280000000000003E-2</v>
      </c>
      <c r="T118" s="58">
        <f t="shared" si="210"/>
        <v>1.8389999999999999E-3</v>
      </c>
      <c r="U118" s="59">
        <v>1.0745400000000001</v>
      </c>
      <c r="V118" s="59">
        <v>1.0047600000000001</v>
      </c>
      <c r="W118" s="58">
        <f t="shared" ref="W118:Z118" si="211">W38/1000</f>
        <v>2.6000000000000003E-4</v>
      </c>
      <c r="X118" s="58">
        <f t="shared" si="211"/>
        <v>1.112E-2</v>
      </c>
      <c r="Y118" s="58">
        <f t="shared" si="211"/>
        <v>1.061E-2</v>
      </c>
      <c r="Z118" s="58">
        <f t="shared" si="211"/>
        <v>0.28410000000000002</v>
      </c>
      <c r="AA118" s="59">
        <v>1.15595</v>
      </c>
      <c r="AB118" s="59">
        <v>1.18323</v>
      </c>
      <c r="AC118" s="58">
        <f t="shared" ref="AC118:AI118" si="212">AC38/1000</f>
        <v>3.8000000000000002E-5</v>
      </c>
      <c r="AD118" s="58">
        <f t="shared" si="212"/>
        <v>8.52E-4</v>
      </c>
      <c r="AE118" s="58">
        <f t="shared" si="212"/>
        <v>9.9999999999999995E-7</v>
      </c>
      <c r="AF118" s="58">
        <f t="shared" si="212"/>
        <v>3.9999999999999998E-6</v>
      </c>
      <c r="AG118" s="58">
        <f t="shared" si="212"/>
        <v>7.1999999999999988E-5</v>
      </c>
      <c r="AH118" s="58">
        <f t="shared" si="212"/>
        <v>1.1400000000000001E-4</v>
      </c>
      <c r="AI118" s="58">
        <f t="shared" si="212"/>
        <v>4.6E-5</v>
      </c>
      <c r="AJ118" s="59">
        <v>1.0527899999999999</v>
      </c>
      <c r="AK118" s="59">
        <v>1.1614100000000001</v>
      </c>
      <c r="AL118" s="58">
        <f t="shared" ref="AL118:BN118" si="213">AM38/1000</f>
        <v>1.9000000000000001E-5</v>
      </c>
      <c r="AM118" s="58">
        <f t="shared" si="213"/>
        <v>3.9999999999999998E-6</v>
      </c>
      <c r="AN118" s="58">
        <f t="shared" si="213"/>
        <v>9.800000000000001E-5</v>
      </c>
      <c r="AO118" s="58">
        <f t="shared" si="213"/>
        <v>4.8180000000000001E-2</v>
      </c>
      <c r="AP118" s="58">
        <f t="shared" si="213"/>
        <v>5.5140000000000002E-2</v>
      </c>
      <c r="AQ118" s="58">
        <f t="shared" si="213"/>
        <v>3.5099999999999997E-4</v>
      </c>
      <c r="AR118" s="58">
        <f t="shared" si="213"/>
        <v>6.8799999999999992E-4</v>
      </c>
      <c r="AS118" s="58">
        <f t="shared" si="213"/>
        <v>8.7999999999999998E-5</v>
      </c>
      <c r="AT118" s="58">
        <f t="shared" si="213"/>
        <v>3.2200000000000002E-4</v>
      </c>
      <c r="AU118" s="58">
        <f t="shared" si="213"/>
        <v>6.3E-5</v>
      </c>
      <c r="AV118" s="58">
        <f t="shared" si="213"/>
        <v>1.7999999999999997E-5</v>
      </c>
      <c r="AW118" s="58">
        <f t="shared" si="213"/>
        <v>5.5000000000000002E-5</v>
      </c>
      <c r="AX118" s="58">
        <f t="shared" si="213"/>
        <v>6.9999999999999999E-6</v>
      </c>
      <c r="AY118" s="58">
        <f t="shared" si="213"/>
        <v>3.5999999999999994E-5</v>
      </c>
      <c r="AZ118" s="58">
        <f t="shared" si="213"/>
        <v>6.9999999999999999E-6</v>
      </c>
      <c r="BA118" s="58">
        <f t="shared" si="213"/>
        <v>1.9000000000000001E-5</v>
      </c>
      <c r="BB118" s="58">
        <f t="shared" si="213"/>
        <v>1.9999999999999999E-6</v>
      </c>
      <c r="BC118" s="58">
        <f t="shared" si="213"/>
        <v>1.5999999999999999E-5</v>
      </c>
      <c r="BD118" s="58">
        <f t="shared" si="213"/>
        <v>1.9999999999999999E-6</v>
      </c>
      <c r="BE118" s="58">
        <f t="shared" si="213"/>
        <v>9.9999999999999995E-7</v>
      </c>
      <c r="BF118" s="58">
        <f t="shared" si="213"/>
        <v>6.5000000000000008E-5</v>
      </c>
      <c r="BG118" s="58">
        <f t="shared" si="213"/>
        <v>2.22E-4</v>
      </c>
      <c r="BH118" s="58">
        <f t="shared" si="213"/>
        <v>2.3000000000000001E-4</v>
      </c>
      <c r="BI118" s="58">
        <f t="shared" si="213"/>
        <v>0</v>
      </c>
      <c r="BJ118" s="58">
        <f t="shared" si="213"/>
        <v>0</v>
      </c>
      <c r="BK118" s="58">
        <f t="shared" si="213"/>
        <v>1.1300000000000001E-4</v>
      </c>
      <c r="BL118" s="58">
        <f t="shared" si="213"/>
        <v>1.0000000000000001E-5</v>
      </c>
      <c r="BM118" s="58">
        <f t="shared" si="213"/>
        <v>4.0899999999999997E-4</v>
      </c>
      <c r="BN118" s="58">
        <f t="shared" si="213"/>
        <v>9.7401000000000009E-4</v>
      </c>
      <c r="BO118" s="59">
        <v>0.97401000000000004</v>
      </c>
      <c r="BP118" s="59">
        <v>1.0908</v>
      </c>
      <c r="BQ118" s="58">
        <f t="shared" ref="BQ118:BR118" si="214">BQ38/1000</f>
        <v>1.2799999999999999E-4</v>
      </c>
      <c r="BR118" s="58">
        <f t="shared" si="214"/>
        <v>1.4E-5</v>
      </c>
    </row>
    <row r="119" spans="1:70" ht="15.95" customHeight="1" x14ac:dyDescent="0.25">
      <c r="A119" s="58" t="s">
        <v>83</v>
      </c>
      <c r="B119" s="58">
        <f t="shared" ref="B119:G119" si="215">B39/1000</f>
        <v>0.43669999999999998</v>
      </c>
      <c r="C119" s="58">
        <f t="shared" si="215"/>
        <v>5.5460000000000003</v>
      </c>
      <c r="D119" s="58">
        <f t="shared" si="215"/>
        <v>0.5071</v>
      </c>
      <c r="E119" s="58">
        <f t="shared" si="215"/>
        <v>3.3109999999999999</v>
      </c>
      <c r="F119" s="58">
        <f t="shared" si="215"/>
        <v>50.55</v>
      </c>
      <c r="G119" s="58">
        <f t="shared" si="215"/>
        <v>38.700000000000003</v>
      </c>
      <c r="H119" s="59">
        <v>1.18824</v>
      </c>
      <c r="I119" s="59">
        <v>1.1652499999999999</v>
      </c>
      <c r="J119" s="58">
        <f t="shared" ref="J119:T119" si="216">J39/1000</f>
        <v>0.2261</v>
      </c>
      <c r="K119" s="58">
        <f t="shared" si="216"/>
        <v>1.856E-2</v>
      </c>
      <c r="L119" s="58">
        <f t="shared" si="216"/>
        <v>3.4340000000000002E-2</v>
      </c>
      <c r="M119" s="58">
        <f t="shared" si="216"/>
        <v>3.787E-3</v>
      </c>
      <c r="N119" s="58">
        <f t="shared" si="216"/>
        <v>0.1181</v>
      </c>
      <c r="O119" s="58">
        <f t="shared" si="216"/>
        <v>0.66559999999999997</v>
      </c>
      <c r="P119" s="58">
        <f t="shared" si="216"/>
        <v>4.08E-4</v>
      </c>
      <c r="Q119" s="58">
        <f t="shared" si="216"/>
        <v>3.6359999999999999E-3</v>
      </c>
      <c r="R119" s="58">
        <f t="shared" si="216"/>
        <v>3.1890000000000002E-2</v>
      </c>
      <c r="S119" s="58">
        <f t="shared" si="216"/>
        <v>1.874E-2</v>
      </c>
      <c r="T119" s="58">
        <f t="shared" si="216"/>
        <v>1.2179999999999999E-3</v>
      </c>
      <c r="U119" s="59">
        <v>1.06412</v>
      </c>
      <c r="V119" s="59">
        <v>1.0007200000000001</v>
      </c>
      <c r="W119" s="58">
        <f t="shared" ref="W119:Z119" si="217">W39/1000</f>
        <v>1.4399999999999998E-4</v>
      </c>
      <c r="X119" s="58">
        <f t="shared" si="217"/>
        <v>6.3479999999999995E-3</v>
      </c>
      <c r="Y119" s="58">
        <f t="shared" si="217"/>
        <v>1.3679999999999999E-2</v>
      </c>
      <c r="Z119" s="58">
        <f t="shared" si="217"/>
        <v>0.25650000000000001</v>
      </c>
      <c r="AA119" s="59">
        <v>1.13113</v>
      </c>
      <c r="AB119" s="59">
        <v>1.1833499999999999</v>
      </c>
      <c r="AC119" s="58">
        <f t="shared" ref="AC119:AI119" si="218">AC39/1000</f>
        <v>5.1E-5</v>
      </c>
      <c r="AD119" s="58">
        <f t="shared" si="218"/>
        <v>1.2030000000000001E-3</v>
      </c>
      <c r="AE119" s="58">
        <f t="shared" si="218"/>
        <v>9.9999999999999995E-7</v>
      </c>
      <c r="AF119" s="58">
        <f t="shared" si="218"/>
        <v>5.0000000000000004E-6</v>
      </c>
      <c r="AG119" s="58">
        <f t="shared" si="218"/>
        <v>6.900000000000001E-5</v>
      </c>
      <c r="AH119" s="58">
        <f t="shared" si="218"/>
        <v>1.2999999999999999E-5</v>
      </c>
      <c r="AI119" s="58">
        <f t="shared" si="218"/>
        <v>1.01E-4</v>
      </c>
      <c r="AJ119" s="59">
        <v>1.0341800000000001</v>
      </c>
      <c r="AK119" s="59">
        <v>1.15943</v>
      </c>
      <c r="AL119" s="58">
        <f t="shared" ref="AL119:BN119" si="219">AM39/1000</f>
        <v>2.1999999999999999E-5</v>
      </c>
      <c r="AM119" s="58">
        <f t="shared" si="219"/>
        <v>-9.9999999999999995E-7</v>
      </c>
      <c r="AN119" s="58">
        <f t="shared" si="219"/>
        <v>1.6200000000000001E-4</v>
      </c>
      <c r="AO119" s="58">
        <f t="shared" si="219"/>
        <v>3.1E-2</v>
      </c>
      <c r="AP119" s="58">
        <f t="shared" si="219"/>
        <v>3.108E-2</v>
      </c>
      <c r="AQ119" s="58">
        <f t="shared" si="219"/>
        <v>5.2999999999999998E-4</v>
      </c>
      <c r="AR119" s="58">
        <f t="shared" si="219"/>
        <v>1.029E-3</v>
      </c>
      <c r="AS119" s="58">
        <f t="shared" si="219"/>
        <v>1.3000000000000002E-4</v>
      </c>
      <c r="AT119" s="58">
        <f t="shared" si="219"/>
        <v>4.86E-4</v>
      </c>
      <c r="AU119" s="58">
        <f t="shared" si="219"/>
        <v>9.2E-5</v>
      </c>
      <c r="AV119" s="58">
        <f t="shared" si="219"/>
        <v>1.9000000000000001E-5</v>
      </c>
      <c r="AW119" s="58">
        <f t="shared" si="219"/>
        <v>8.4000000000000009E-5</v>
      </c>
      <c r="AX119" s="58">
        <f t="shared" si="219"/>
        <v>1.1E-5</v>
      </c>
      <c r="AY119" s="58">
        <f t="shared" si="219"/>
        <v>5.5000000000000002E-5</v>
      </c>
      <c r="AZ119" s="58">
        <f t="shared" si="219"/>
        <v>1.0000000000000001E-5</v>
      </c>
      <c r="BA119" s="58">
        <f t="shared" si="219"/>
        <v>2.6999999999999999E-5</v>
      </c>
      <c r="BB119" s="58">
        <f t="shared" si="219"/>
        <v>3.9999999999999998E-6</v>
      </c>
      <c r="BC119" s="58">
        <f t="shared" si="219"/>
        <v>2.1999999999999999E-5</v>
      </c>
      <c r="BD119" s="58">
        <f t="shared" si="219"/>
        <v>3.0000000000000001E-6</v>
      </c>
      <c r="BE119" s="58">
        <f t="shared" si="219"/>
        <v>9.9999999999999995E-7</v>
      </c>
      <c r="BF119" s="58">
        <f t="shared" si="219"/>
        <v>1.07E-4</v>
      </c>
      <c r="BG119" s="58">
        <f t="shared" si="219"/>
        <v>2.7300000000000002E-4</v>
      </c>
      <c r="BH119" s="58">
        <f t="shared" si="219"/>
        <v>2.8199999999999997E-4</v>
      </c>
      <c r="BI119" s="58">
        <f t="shared" si="219"/>
        <v>0</v>
      </c>
      <c r="BJ119" s="58">
        <f t="shared" si="219"/>
        <v>0</v>
      </c>
      <c r="BK119" s="58">
        <f t="shared" si="219"/>
        <v>9.6000000000000002E-5</v>
      </c>
      <c r="BL119" s="58">
        <f t="shared" si="219"/>
        <v>1.4E-5</v>
      </c>
      <c r="BM119" s="58">
        <f t="shared" si="219"/>
        <v>4.8499999999999997E-4</v>
      </c>
      <c r="BN119" s="58">
        <f t="shared" si="219"/>
        <v>9.6309999999999994E-4</v>
      </c>
      <c r="BO119" s="59">
        <v>0.96309999999999996</v>
      </c>
      <c r="BP119" s="59">
        <v>1.0970299999999999</v>
      </c>
      <c r="BQ119" s="58">
        <f t="shared" ref="BQ119:BR119" si="220">BQ39/1000</f>
        <v>1.94E-4</v>
      </c>
      <c r="BR119" s="58">
        <f t="shared" si="220"/>
        <v>2.4000000000000001E-5</v>
      </c>
    </row>
    <row r="120" spans="1:70" ht="15.95" customHeight="1" x14ac:dyDescent="0.25">
      <c r="A120" s="58" t="s">
        <v>84</v>
      </c>
      <c r="B120" s="58">
        <f t="shared" ref="B120:G120" si="221">B40/1000</f>
        <v>0.3639</v>
      </c>
      <c r="C120" s="58">
        <f t="shared" si="221"/>
        <v>5.0599999999999996</v>
      </c>
      <c r="D120" s="58">
        <f t="shared" si="221"/>
        <v>0.47349999999999998</v>
      </c>
      <c r="E120" s="58">
        <f t="shared" si="221"/>
        <v>5.3819999999999997</v>
      </c>
      <c r="F120" s="58">
        <f t="shared" si="221"/>
        <v>50.94</v>
      </c>
      <c r="G120" s="58">
        <f t="shared" si="221"/>
        <v>43.74</v>
      </c>
      <c r="H120" s="59">
        <v>1.17622</v>
      </c>
      <c r="I120" s="59">
        <v>1.1636</v>
      </c>
      <c r="J120" s="58">
        <f t="shared" ref="J120:T120" si="222">J40/1000</f>
        <v>0.2432</v>
      </c>
      <c r="K120" s="58">
        <f t="shared" si="222"/>
        <v>1.873E-2</v>
      </c>
      <c r="L120" s="58">
        <f t="shared" si="222"/>
        <v>3.1289999999999998E-2</v>
      </c>
      <c r="M120" s="58">
        <f t="shared" si="222"/>
        <v>3.6520000000000003E-3</v>
      </c>
      <c r="N120" s="58">
        <f t="shared" si="222"/>
        <v>0.1007</v>
      </c>
      <c r="O120" s="58">
        <f t="shared" si="222"/>
        <v>0.59010000000000007</v>
      </c>
      <c r="P120" s="58">
        <f t="shared" si="222"/>
        <v>4.46E-4</v>
      </c>
      <c r="Q120" s="58">
        <f t="shared" si="222"/>
        <v>5.2209999999999999E-3</v>
      </c>
      <c r="R120" s="58">
        <f t="shared" si="222"/>
        <v>2.2969999999999997E-2</v>
      </c>
      <c r="S120" s="58">
        <f t="shared" si="222"/>
        <v>9.5630000000000003E-3</v>
      </c>
      <c r="T120" s="58">
        <f t="shared" si="222"/>
        <v>1.9419999999999999E-3</v>
      </c>
      <c r="U120" s="59">
        <v>1.0589299999999999</v>
      </c>
      <c r="V120" s="59">
        <v>0.99768000000000001</v>
      </c>
      <c r="W120" s="58">
        <f t="shared" ref="W120:Z120" si="223">W40/1000</f>
        <v>1.8099999999999998E-4</v>
      </c>
      <c r="X120" s="58">
        <f t="shared" si="223"/>
        <v>1.6539999999999999E-2</v>
      </c>
      <c r="Y120" s="58">
        <f t="shared" si="223"/>
        <v>1.7579999999999998E-2</v>
      </c>
      <c r="Z120" s="58">
        <f t="shared" si="223"/>
        <v>0.3397</v>
      </c>
      <c r="AA120" s="59">
        <v>1.13008</v>
      </c>
      <c r="AB120" s="59">
        <v>1.1795</v>
      </c>
      <c r="AC120" s="58">
        <f t="shared" ref="AC120:AI120" si="224">AC40/1000</f>
        <v>3.8999999999999999E-5</v>
      </c>
      <c r="AD120" s="58">
        <f t="shared" si="224"/>
        <v>6.5700000000000003E-4</v>
      </c>
      <c r="AE120" s="58">
        <f t="shared" si="224"/>
        <v>9.9999999999999995E-7</v>
      </c>
      <c r="AF120" s="58">
        <f t="shared" si="224"/>
        <v>5.0000000000000004E-6</v>
      </c>
      <c r="AG120" s="58">
        <f t="shared" si="224"/>
        <v>8.7000000000000001E-5</v>
      </c>
      <c r="AH120" s="58">
        <f t="shared" si="224"/>
        <v>2.5000000000000001E-4</v>
      </c>
      <c r="AI120" s="58">
        <f t="shared" si="224"/>
        <v>1.6200000000000001E-4</v>
      </c>
      <c r="AJ120" s="59">
        <v>1.0310699999999999</v>
      </c>
      <c r="AK120" s="59">
        <v>1.1631899999999999</v>
      </c>
      <c r="AL120" s="58">
        <f t="shared" ref="AL120:BN120" si="225">AM40/1000</f>
        <v>2.4000000000000001E-5</v>
      </c>
      <c r="AM120" s="58">
        <f t="shared" si="225"/>
        <v>3.0000000000000001E-6</v>
      </c>
      <c r="AN120" s="58">
        <f t="shared" si="225"/>
        <v>1.35E-4</v>
      </c>
      <c r="AO120" s="58">
        <f t="shared" si="225"/>
        <v>5.0439999999999999E-2</v>
      </c>
      <c r="AP120" s="58">
        <f t="shared" si="225"/>
        <v>5.765E-2</v>
      </c>
      <c r="AQ120" s="58">
        <f t="shared" si="225"/>
        <v>3.3700000000000001E-4</v>
      </c>
      <c r="AR120" s="58">
        <f t="shared" si="225"/>
        <v>6.3500000000000004E-4</v>
      </c>
      <c r="AS120" s="58">
        <f t="shared" si="225"/>
        <v>8.4000000000000009E-5</v>
      </c>
      <c r="AT120" s="58">
        <f t="shared" si="225"/>
        <v>3.19E-4</v>
      </c>
      <c r="AU120" s="58">
        <f t="shared" si="225"/>
        <v>6.3999999999999997E-5</v>
      </c>
      <c r="AV120" s="58">
        <f t="shared" si="225"/>
        <v>2.0000000000000002E-5</v>
      </c>
      <c r="AW120" s="58">
        <f t="shared" si="225"/>
        <v>5.7000000000000003E-5</v>
      </c>
      <c r="AX120" s="58">
        <f t="shared" si="225"/>
        <v>7.9999999999999996E-6</v>
      </c>
      <c r="AY120" s="58">
        <f t="shared" si="225"/>
        <v>4.1E-5</v>
      </c>
      <c r="AZ120" s="58">
        <f t="shared" si="225"/>
        <v>7.9999999999999996E-6</v>
      </c>
      <c r="BA120" s="58">
        <f t="shared" si="225"/>
        <v>2.1000000000000002E-5</v>
      </c>
      <c r="BB120" s="58">
        <f t="shared" si="225"/>
        <v>3.0000000000000001E-6</v>
      </c>
      <c r="BC120" s="58">
        <f t="shared" si="225"/>
        <v>1.7E-5</v>
      </c>
      <c r="BD120" s="58">
        <f t="shared" si="225"/>
        <v>3.0000000000000001E-6</v>
      </c>
      <c r="BE120" s="58">
        <f t="shared" si="225"/>
        <v>9.9999999999999995E-7</v>
      </c>
      <c r="BF120" s="58">
        <f t="shared" si="225"/>
        <v>1.16E-4</v>
      </c>
      <c r="BG120" s="58">
        <f t="shared" si="225"/>
        <v>2.8100000000000005E-4</v>
      </c>
      <c r="BH120" s="58">
        <f t="shared" si="225"/>
        <v>2.8599999999999996E-4</v>
      </c>
      <c r="BI120" s="58">
        <f t="shared" si="225"/>
        <v>0</v>
      </c>
      <c r="BJ120" s="58">
        <f t="shared" si="225"/>
        <v>9.9999999999999995E-7</v>
      </c>
      <c r="BK120" s="58">
        <f t="shared" si="225"/>
        <v>1.9700000000000002E-4</v>
      </c>
      <c r="BL120" s="58">
        <f t="shared" si="225"/>
        <v>8.9999999999999985E-6</v>
      </c>
      <c r="BM120" s="58">
        <f t="shared" si="225"/>
        <v>4.4299999999999998E-4</v>
      </c>
      <c r="BN120" s="58">
        <f t="shared" si="225"/>
        <v>9.6136999999999991E-4</v>
      </c>
      <c r="BO120" s="59">
        <v>0.96136999999999995</v>
      </c>
      <c r="BP120" s="59">
        <v>1.0960300000000001</v>
      </c>
      <c r="BQ120" s="58">
        <f t="shared" ref="BQ120:BR120" si="226">BQ40/1000</f>
        <v>9.2E-5</v>
      </c>
      <c r="BR120" s="58">
        <f t="shared" si="226"/>
        <v>1.4E-5</v>
      </c>
    </row>
    <row r="121" spans="1:70" ht="15.95" customHeight="1" x14ac:dyDescent="0.25">
      <c r="A121" s="58" t="s">
        <v>85</v>
      </c>
      <c r="B121" s="58">
        <f t="shared" ref="B121:G121" si="227">B41/1000</f>
        <v>0.58299999999999996</v>
      </c>
      <c r="C121" s="58">
        <f t="shared" si="227"/>
        <v>3.4950000000000001</v>
      </c>
      <c r="D121" s="58">
        <f t="shared" si="227"/>
        <v>0.57499999999999996</v>
      </c>
      <c r="E121" s="58">
        <f t="shared" si="227"/>
        <v>2.6819999999999999</v>
      </c>
      <c r="F121" s="58">
        <f t="shared" si="227"/>
        <v>43.62</v>
      </c>
      <c r="G121" s="58">
        <f t="shared" si="227"/>
        <v>44.59</v>
      </c>
      <c r="H121" s="59">
        <v>1.15794</v>
      </c>
      <c r="I121" s="59">
        <v>1.14178</v>
      </c>
      <c r="J121" s="58">
        <f t="shared" ref="J121:T121" si="228">J41/1000</f>
        <v>0.25780000000000003</v>
      </c>
      <c r="K121" s="58">
        <f t="shared" si="228"/>
        <v>2.111E-2</v>
      </c>
      <c r="L121" s="58">
        <f t="shared" si="228"/>
        <v>3.7819999999999999E-2</v>
      </c>
      <c r="M121" s="58">
        <f t="shared" si="228"/>
        <v>4.2529999999999998E-3</v>
      </c>
      <c r="N121" s="58">
        <f t="shared" si="228"/>
        <v>0.1145</v>
      </c>
      <c r="O121" s="58">
        <f t="shared" si="228"/>
        <v>0.70889999999999997</v>
      </c>
      <c r="P121" s="58">
        <f t="shared" si="228"/>
        <v>6.4500000000000007E-4</v>
      </c>
      <c r="Q121" s="58">
        <f t="shared" si="228"/>
        <v>5.2199999999999998E-3</v>
      </c>
      <c r="R121" s="58">
        <f t="shared" si="228"/>
        <v>2.3219999999999998E-2</v>
      </c>
      <c r="S121" s="58">
        <f t="shared" si="228"/>
        <v>9.9499999999999988E-3</v>
      </c>
      <c r="T121" s="58">
        <f t="shared" si="228"/>
        <v>1.534E-3</v>
      </c>
      <c r="U121" s="59">
        <v>1.0320400000000001</v>
      </c>
      <c r="V121" s="59">
        <v>0.97767000000000004</v>
      </c>
      <c r="W121" s="58">
        <f t="shared" ref="W121:Z121" si="229">W41/1000</f>
        <v>2.4800000000000001E-4</v>
      </c>
      <c r="X121" s="58">
        <f t="shared" si="229"/>
        <v>2.223E-2</v>
      </c>
      <c r="Y121" s="58">
        <f t="shared" si="229"/>
        <v>1.6640000000000002E-2</v>
      </c>
      <c r="Z121" s="58">
        <f t="shared" si="229"/>
        <v>0.2036</v>
      </c>
      <c r="AA121" s="59">
        <v>1.1072900000000001</v>
      </c>
      <c r="AB121" s="59">
        <v>1.1660200000000001</v>
      </c>
      <c r="AC121" s="58">
        <f t="shared" ref="AC121:AI121" si="230">AC41/1000</f>
        <v>6.3999999999999997E-5</v>
      </c>
      <c r="AD121" s="58">
        <f t="shared" si="230"/>
        <v>4.8200000000000001E-4</v>
      </c>
      <c r="AE121" s="58">
        <f t="shared" si="230"/>
        <v>9.9999999999999995E-7</v>
      </c>
      <c r="AF121" s="58">
        <f t="shared" si="230"/>
        <v>3.0000000000000001E-6</v>
      </c>
      <c r="AG121" s="58">
        <f t="shared" si="230"/>
        <v>5.0000000000000002E-5</v>
      </c>
      <c r="AH121" s="58">
        <f t="shared" si="230"/>
        <v>2.1799999999999999E-4</v>
      </c>
      <c r="AI121" s="58">
        <f t="shared" si="230"/>
        <v>9.6000000000000002E-5</v>
      </c>
      <c r="AJ121" s="59">
        <v>1.01271</v>
      </c>
      <c r="AK121" s="59">
        <v>1.1507400000000001</v>
      </c>
      <c r="AL121" s="58">
        <f t="shared" ref="AL121:BN121" si="231">AM41/1000</f>
        <v>5.7000000000000003E-5</v>
      </c>
      <c r="AM121" s="58">
        <f t="shared" si="231"/>
        <v>1.9999999999999999E-6</v>
      </c>
      <c r="AN121" s="58">
        <f t="shared" si="231"/>
        <v>1.5799999999999999E-4</v>
      </c>
      <c r="AO121" s="58">
        <f t="shared" si="231"/>
        <v>3.9259999999999996E-2</v>
      </c>
      <c r="AP121" s="58">
        <f t="shared" si="231"/>
        <v>3.8310000000000004E-2</v>
      </c>
      <c r="AQ121" s="58">
        <f t="shared" si="231"/>
        <v>5.44E-4</v>
      </c>
      <c r="AR121" s="58">
        <f t="shared" si="231"/>
        <v>1.0940000000000001E-3</v>
      </c>
      <c r="AS121" s="58">
        <f t="shared" si="231"/>
        <v>1.36E-4</v>
      </c>
      <c r="AT121" s="58">
        <f t="shared" si="231"/>
        <v>5.1199999999999998E-4</v>
      </c>
      <c r="AU121" s="58">
        <f t="shared" si="231"/>
        <v>1.0499999999999999E-4</v>
      </c>
      <c r="AV121" s="58">
        <f t="shared" si="231"/>
        <v>2.5999999999999998E-5</v>
      </c>
      <c r="AW121" s="58">
        <f t="shared" si="231"/>
        <v>9.3999999999999994E-5</v>
      </c>
      <c r="AX121" s="58">
        <f t="shared" si="231"/>
        <v>1.2999999999999999E-5</v>
      </c>
      <c r="AY121" s="58">
        <f t="shared" si="231"/>
        <v>6.7999999999999999E-5</v>
      </c>
      <c r="AZ121" s="58">
        <f t="shared" si="231"/>
        <v>1.2999999999999999E-5</v>
      </c>
      <c r="BA121" s="58">
        <f t="shared" si="231"/>
        <v>3.5000000000000004E-5</v>
      </c>
      <c r="BB121" s="58">
        <f t="shared" si="231"/>
        <v>5.0000000000000004E-6</v>
      </c>
      <c r="BC121" s="58">
        <f t="shared" si="231"/>
        <v>2.9999999999999997E-5</v>
      </c>
      <c r="BD121" s="58">
        <f t="shared" si="231"/>
        <v>3.9999999999999998E-6</v>
      </c>
      <c r="BE121" s="58">
        <f t="shared" si="231"/>
        <v>9.9999999999999995E-7</v>
      </c>
      <c r="BF121" s="58">
        <f t="shared" si="231"/>
        <v>7.2999999999999999E-5</v>
      </c>
      <c r="BG121" s="58">
        <f t="shared" si="231"/>
        <v>2.2499999999999999E-4</v>
      </c>
      <c r="BH121" s="58">
        <f t="shared" si="231"/>
        <v>2.3000000000000001E-4</v>
      </c>
      <c r="BI121" s="58">
        <f t="shared" si="231"/>
        <v>0</v>
      </c>
      <c r="BJ121" s="58">
        <f t="shared" si="231"/>
        <v>0</v>
      </c>
      <c r="BK121" s="58">
        <f t="shared" si="231"/>
        <v>8.7999999999999998E-5</v>
      </c>
      <c r="BL121" s="58">
        <f t="shared" si="231"/>
        <v>1.2E-5</v>
      </c>
      <c r="BM121" s="58">
        <f t="shared" si="231"/>
        <v>8.5399999999999994E-4</v>
      </c>
      <c r="BN121" s="58">
        <f t="shared" si="231"/>
        <v>9.5431999999999993E-4</v>
      </c>
      <c r="BO121" s="59">
        <v>0.95431999999999995</v>
      </c>
      <c r="BP121" s="59">
        <v>1.0924700000000001</v>
      </c>
      <c r="BQ121" s="58">
        <f t="shared" ref="BQ121:BR121" si="232">BQ41/1000</f>
        <v>1.6800000000000002E-4</v>
      </c>
      <c r="BR121" s="58">
        <f t="shared" si="232"/>
        <v>2.6999999999999999E-5</v>
      </c>
    </row>
    <row r="122" spans="1:70" ht="15.95" customHeight="1" x14ac:dyDescent="0.25">
      <c r="A122" s="58" t="s">
        <v>86</v>
      </c>
      <c r="B122" s="58">
        <f t="shared" ref="B122:G122" si="233">B42/1000</f>
        <v>0.4229</v>
      </c>
      <c r="C122" s="58">
        <f t="shared" si="233"/>
        <v>3.8519999999999999</v>
      </c>
      <c r="D122" s="58">
        <f t="shared" si="233"/>
        <v>0.73339999999999994</v>
      </c>
      <c r="E122" s="58">
        <f t="shared" si="233"/>
        <v>3.23</v>
      </c>
      <c r="F122" s="58">
        <f t="shared" si="233"/>
        <v>46.26</v>
      </c>
      <c r="G122" s="58">
        <f t="shared" si="233"/>
        <v>44.64</v>
      </c>
      <c r="H122" s="59">
        <v>1.11852</v>
      </c>
      <c r="I122" s="59">
        <v>1.1359300000000001</v>
      </c>
      <c r="J122" s="58">
        <f t="shared" ref="J122:T122" si="234">J42/1000</f>
        <v>0.2651</v>
      </c>
      <c r="K122" s="58">
        <f t="shared" si="234"/>
        <v>2.5579999999999999E-2</v>
      </c>
      <c r="L122" s="58">
        <f t="shared" si="234"/>
        <v>3.3919999999999999E-2</v>
      </c>
      <c r="M122" s="58">
        <f t="shared" si="234"/>
        <v>3.15E-3</v>
      </c>
      <c r="N122" s="58">
        <f t="shared" si="234"/>
        <v>0.128</v>
      </c>
      <c r="O122" s="58">
        <f t="shared" si="234"/>
        <v>1.097</v>
      </c>
      <c r="P122" s="58">
        <f t="shared" si="234"/>
        <v>4.0300000000000004E-4</v>
      </c>
      <c r="Q122" s="58">
        <f t="shared" si="234"/>
        <v>3.3790000000000001E-3</v>
      </c>
      <c r="R122" s="58">
        <f t="shared" si="234"/>
        <v>2.7449999999999999E-2</v>
      </c>
      <c r="S122" s="58">
        <f t="shared" si="234"/>
        <v>1.8440000000000002E-2</v>
      </c>
      <c r="T122" s="58">
        <f t="shared" si="234"/>
        <v>1.5900000000000001E-3</v>
      </c>
      <c r="U122" s="59">
        <v>1.00671</v>
      </c>
      <c r="V122" s="59">
        <v>0.97167000000000003</v>
      </c>
      <c r="W122" s="58">
        <f t="shared" ref="W122:Z122" si="235">W42/1000</f>
        <v>2.8399999999999996E-4</v>
      </c>
      <c r="X122" s="58">
        <f t="shared" si="235"/>
        <v>5.0880000000000005E-3</v>
      </c>
      <c r="Y122" s="58">
        <f t="shared" si="235"/>
        <v>1.259E-2</v>
      </c>
      <c r="Z122" s="58">
        <f t="shared" si="235"/>
        <v>0.1983</v>
      </c>
      <c r="AA122" s="59">
        <v>1.08941</v>
      </c>
      <c r="AB122" s="59">
        <v>1.1597200000000001</v>
      </c>
      <c r="AC122" s="58">
        <f t="shared" ref="AC122:AI122" si="236">AC42/1000</f>
        <v>7.2999999999999999E-5</v>
      </c>
      <c r="AD122" s="58">
        <f t="shared" si="236"/>
        <v>3.9800000000000002E-4</v>
      </c>
      <c r="AE122" s="58">
        <f t="shared" si="236"/>
        <v>9.9999999999999995E-7</v>
      </c>
      <c r="AF122" s="58">
        <f t="shared" si="236"/>
        <v>3.0000000000000001E-6</v>
      </c>
      <c r="AG122" s="58">
        <f t="shared" si="236"/>
        <v>4.8000000000000001E-5</v>
      </c>
      <c r="AH122" s="58">
        <f t="shared" si="236"/>
        <v>3.97E-4</v>
      </c>
      <c r="AI122" s="58">
        <f t="shared" si="236"/>
        <v>1.1400000000000001E-4</v>
      </c>
      <c r="AJ122" s="59">
        <v>0.99778</v>
      </c>
      <c r="AK122" s="59">
        <v>1.14463</v>
      </c>
      <c r="AL122" s="58">
        <f t="shared" ref="AL122:BN122" si="237">AM42/1000</f>
        <v>4.1E-5</v>
      </c>
      <c r="AM122" s="58">
        <f t="shared" si="237"/>
        <v>9.9999999999999995E-7</v>
      </c>
      <c r="AN122" s="58">
        <f t="shared" si="237"/>
        <v>1.7999999999999998E-4</v>
      </c>
      <c r="AO122" s="58">
        <f t="shared" si="237"/>
        <v>4.011E-2</v>
      </c>
      <c r="AP122" s="58">
        <f t="shared" si="237"/>
        <v>3.9509999999999997E-2</v>
      </c>
      <c r="AQ122" s="58">
        <f t="shared" si="237"/>
        <v>5.6999999999999998E-4</v>
      </c>
      <c r="AR122" s="58">
        <f t="shared" si="237"/>
        <v>1.111E-3</v>
      </c>
      <c r="AS122" s="58">
        <f t="shared" si="237"/>
        <v>1.3800000000000002E-4</v>
      </c>
      <c r="AT122" s="58">
        <f t="shared" si="237"/>
        <v>5.1800000000000001E-4</v>
      </c>
      <c r="AU122" s="58">
        <f t="shared" si="237"/>
        <v>9.9000000000000008E-5</v>
      </c>
      <c r="AV122" s="58">
        <f t="shared" si="237"/>
        <v>2.5000000000000001E-5</v>
      </c>
      <c r="AW122" s="58">
        <f t="shared" si="237"/>
        <v>9.6000000000000002E-5</v>
      </c>
      <c r="AX122" s="58">
        <f t="shared" si="237"/>
        <v>1.2999999999999999E-5</v>
      </c>
      <c r="AY122" s="58">
        <f t="shared" si="237"/>
        <v>6.3E-5</v>
      </c>
      <c r="AZ122" s="58">
        <f t="shared" si="237"/>
        <v>1.2E-5</v>
      </c>
      <c r="BA122" s="58">
        <f t="shared" si="237"/>
        <v>3.1999999999999999E-5</v>
      </c>
      <c r="BB122" s="58">
        <f t="shared" si="237"/>
        <v>3.9999999999999998E-6</v>
      </c>
      <c r="BC122" s="58">
        <f t="shared" si="237"/>
        <v>2.5999999999999998E-5</v>
      </c>
      <c r="BD122" s="58">
        <f t="shared" si="237"/>
        <v>3.9999999999999998E-6</v>
      </c>
      <c r="BE122" s="58">
        <f t="shared" si="237"/>
        <v>1.9999999999999999E-6</v>
      </c>
      <c r="BF122" s="58">
        <f t="shared" si="237"/>
        <v>7.8999999999999996E-5</v>
      </c>
      <c r="BG122" s="58">
        <f t="shared" si="237"/>
        <v>1.9600000000000002E-4</v>
      </c>
      <c r="BH122" s="58">
        <f t="shared" si="237"/>
        <v>2.04E-4</v>
      </c>
      <c r="BI122" s="58">
        <f t="shared" si="237"/>
        <v>0</v>
      </c>
      <c r="BJ122" s="58">
        <f t="shared" si="237"/>
        <v>0</v>
      </c>
      <c r="BK122" s="58">
        <f t="shared" si="237"/>
        <v>1.6900000000000002E-4</v>
      </c>
      <c r="BL122" s="58">
        <f t="shared" si="237"/>
        <v>7.9999999999999996E-6</v>
      </c>
      <c r="BM122" s="58">
        <f t="shared" si="237"/>
        <v>6.6500000000000001E-4</v>
      </c>
      <c r="BN122" s="58">
        <f t="shared" si="237"/>
        <v>9.391E-4</v>
      </c>
      <c r="BO122" s="59">
        <v>0.93910000000000005</v>
      </c>
      <c r="BP122" s="59">
        <v>1.08175</v>
      </c>
      <c r="BQ122" s="58">
        <f t="shared" ref="BQ122:BR122" si="238">BQ42/1000</f>
        <v>1.6100000000000001E-4</v>
      </c>
      <c r="BR122" s="58">
        <f t="shared" si="238"/>
        <v>2.6999999999999999E-5</v>
      </c>
    </row>
    <row r="123" spans="1:70" ht="15.95" customHeight="1" x14ac:dyDescent="0.25">
      <c r="A123" s="58" t="s">
        <v>88</v>
      </c>
      <c r="B123" s="58">
        <f t="shared" ref="B123:G123" si="239">B43/1000</f>
        <v>-1.3220000000000001E-2</v>
      </c>
      <c r="C123" s="58">
        <f t="shared" si="239"/>
        <v>6.900000000000001E-5</v>
      </c>
      <c r="D123" s="58">
        <f t="shared" si="239"/>
        <v>-2.0400000000000001E-3</v>
      </c>
      <c r="E123" s="58">
        <f t="shared" si="239"/>
        <v>2.078E-2</v>
      </c>
      <c r="F123" s="58">
        <f t="shared" si="239"/>
        <v>-1.7569999999999999E-3</v>
      </c>
      <c r="G123" s="58">
        <f t="shared" si="239"/>
        <v>1.3440000000000001E-3</v>
      </c>
      <c r="H123" s="59">
        <v>1.1013999999999999</v>
      </c>
      <c r="I123" s="59">
        <v>1.04504</v>
      </c>
      <c r="J123" s="58">
        <f t="shared" ref="J123:T123" si="240">J43/1000</f>
        <v>9.800000000000001E-5</v>
      </c>
      <c r="K123" s="58">
        <f t="shared" si="240"/>
        <v>4.2000000000000004E-5</v>
      </c>
      <c r="L123" s="58">
        <f t="shared" si="240"/>
        <v>6.9899999999999997E-4</v>
      </c>
      <c r="M123" s="58">
        <f t="shared" si="240"/>
        <v>1.9700000000000002E-4</v>
      </c>
      <c r="N123" s="58">
        <f t="shared" si="240"/>
        <v>8.0000000000000007E-5</v>
      </c>
      <c r="O123" s="58">
        <f t="shared" si="240"/>
        <v>0.1835</v>
      </c>
      <c r="P123" s="58">
        <f t="shared" si="240"/>
        <v>-2.3E-5</v>
      </c>
      <c r="Q123" s="58">
        <f t="shared" si="240"/>
        <v>6.0999999999999999E-5</v>
      </c>
      <c r="R123" s="58">
        <f t="shared" si="240"/>
        <v>4.6E-5</v>
      </c>
      <c r="S123" s="58">
        <f t="shared" si="240"/>
        <v>-2.3610000000000003E-3</v>
      </c>
      <c r="T123" s="58">
        <f t="shared" si="240"/>
        <v>-1.9999999999999999E-6</v>
      </c>
      <c r="U123" s="59">
        <v>1.0395300000000001</v>
      </c>
      <c r="V123" s="59">
        <v>0.94433999999999996</v>
      </c>
      <c r="W123" s="58">
        <f t="shared" ref="W123:Z123" si="241">W43/1000</f>
        <v>4.1E-5</v>
      </c>
      <c r="X123" s="58">
        <f t="shared" si="241"/>
        <v>-4.0000000000000003E-5</v>
      </c>
      <c r="Y123" s="58">
        <f t="shared" si="241"/>
        <v>9.9999999999999995E-7</v>
      </c>
      <c r="Z123" s="58">
        <f t="shared" si="241"/>
        <v>-1.4E-5</v>
      </c>
      <c r="AA123" s="59">
        <v>1.0746100000000001</v>
      </c>
      <c r="AB123" s="59">
        <v>1.0839399999999999</v>
      </c>
      <c r="AC123" s="58">
        <f t="shared" ref="AC123:AI123" si="242">AC43/1000</f>
        <v>0</v>
      </c>
      <c r="AD123" s="58">
        <f t="shared" si="242"/>
        <v>-1.9999999999999999E-6</v>
      </c>
      <c r="AE123" s="58">
        <f t="shared" si="242"/>
        <v>0</v>
      </c>
      <c r="AF123" s="58">
        <f t="shared" si="242"/>
        <v>0</v>
      </c>
      <c r="AG123" s="58">
        <f t="shared" si="242"/>
        <v>0</v>
      </c>
      <c r="AH123" s="58">
        <f t="shared" si="242"/>
        <v>-1.4999999999999999E-5</v>
      </c>
      <c r="AI123" s="58">
        <f t="shared" si="242"/>
        <v>1.07E-4</v>
      </c>
      <c r="AJ123" s="59">
        <v>0.98894000000000004</v>
      </c>
      <c r="AK123" s="59">
        <v>1.0801099999999999</v>
      </c>
      <c r="AL123" s="58">
        <f t="shared" ref="AL123:BN123" si="243">AM43/1000</f>
        <v>3.0000000000000001E-6</v>
      </c>
      <c r="AM123" s="58">
        <f t="shared" si="243"/>
        <v>-9.9999999999999995E-7</v>
      </c>
      <c r="AN123" s="58">
        <f t="shared" si="243"/>
        <v>0</v>
      </c>
      <c r="AO123" s="58">
        <f t="shared" si="243"/>
        <v>-7.9999999999999996E-6</v>
      </c>
      <c r="AP123" s="58">
        <f t="shared" si="243"/>
        <v>-6.0000000000000002E-6</v>
      </c>
      <c r="AQ123" s="58">
        <f t="shared" si="243"/>
        <v>3.9999999999999998E-6</v>
      </c>
      <c r="AR123" s="58">
        <f t="shared" si="243"/>
        <v>-8.9999999999999985E-6</v>
      </c>
      <c r="AS123" s="58">
        <f t="shared" si="243"/>
        <v>0</v>
      </c>
      <c r="AT123" s="58">
        <f t="shared" si="243"/>
        <v>-9.9999999999999995E-7</v>
      </c>
      <c r="AU123" s="58">
        <f t="shared" si="243"/>
        <v>0</v>
      </c>
      <c r="AV123" s="58">
        <f t="shared" si="243"/>
        <v>0</v>
      </c>
      <c r="AW123" s="58">
        <f t="shared" si="243"/>
        <v>0</v>
      </c>
      <c r="AX123" s="58">
        <f t="shared" si="243"/>
        <v>0</v>
      </c>
      <c r="AY123" s="58">
        <f t="shared" si="243"/>
        <v>0</v>
      </c>
      <c r="AZ123" s="58">
        <f t="shared" si="243"/>
        <v>0</v>
      </c>
      <c r="BA123" s="58">
        <f t="shared" si="243"/>
        <v>0</v>
      </c>
      <c r="BB123" s="58">
        <f t="shared" si="243"/>
        <v>0</v>
      </c>
      <c r="BC123" s="58">
        <f t="shared" si="243"/>
        <v>0</v>
      </c>
      <c r="BD123" s="58">
        <f t="shared" si="243"/>
        <v>0</v>
      </c>
      <c r="BE123" s="58">
        <f t="shared" si="243"/>
        <v>0</v>
      </c>
      <c r="BF123" s="58">
        <f t="shared" si="243"/>
        <v>5.0000000000000004E-6</v>
      </c>
      <c r="BG123" s="58">
        <f t="shared" si="243"/>
        <v>0</v>
      </c>
      <c r="BH123" s="58">
        <f t="shared" si="243"/>
        <v>0</v>
      </c>
      <c r="BI123" s="58">
        <f t="shared" si="243"/>
        <v>0</v>
      </c>
      <c r="BJ123" s="58">
        <f t="shared" si="243"/>
        <v>0</v>
      </c>
      <c r="BK123" s="58">
        <f t="shared" si="243"/>
        <v>6.900000000000001E-5</v>
      </c>
      <c r="BL123" s="58">
        <f t="shared" si="243"/>
        <v>-9.9999999999999995E-7</v>
      </c>
      <c r="BM123" s="58">
        <f t="shared" si="243"/>
        <v>1.2E-5</v>
      </c>
      <c r="BN123" s="58">
        <f t="shared" si="243"/>
        <v>9.5925999999999997E-4</v>
      </c>
      <c r="BO123" s="59">
        <v>0.95926</v>
      </c>
      <c r="BP123" s="59">
        <v>1.0628899999999999</v>
      </c>
      <c r="BQ123" s="58">
        <f t="shared" ref="BQ123:BR123" si="244">BQ43/1000</f>
        <v>9.9999999999999995E-7</v>
      </c>
      <c r="BR123" s="58">
        <f t="shared" si="244"/>
        <v>0</v>
      </c>
    </row>
    <row r="124" spans="1:70" ht="15.95" customHeight="1" x14ac:dyDescent="0.25">
      <c r="A124" s="58" t="s">
        <v>89</v>
      </c>
      <c r="B124" s="58">
        <f t="shared" ref="B124:G124" si="245">B44/1000</f>
        <v>4.2880000000000001E-2</v>
      </c>
      <c r="C124" s="58">
        <f t="shared" si="245"/>
        <v>7.27</v>
      </c>
      <c r="D124" s="58">
        <f t="shared" si="245"/>
        <v>0.58620000000000005</v>
      </c>
      <c r="E124" s="58">
        <f t="shared" si="245"/>
        <v>3.5449999999999999</v>
      </c>
      <c r="F124" s="58">
        <f t="shared" si="245"/>
        <v>41.64</v>
      </c>
      <c r="G124" s="58">
        <f t="shared" si="245"/>
        <v>39.08</v>
      </c>
      <c r="H124" s="59">
        <v>1.1443300000000001</v>
      </c>
      <c r="I124" s="59">
        <v>1.12666</v>
      </c>
      <c r="J124" s="58">
        <f t="shared" ref="J124:T124" si="246">J44/1000</f>
        <v>0.22369999999999998</v>
      </c>
      <c r="K124" s="58">
        <f t="shared" si="246"/>
        <v>1.014E-2</v>
      </c>
      <c r="L124" s="58">
        <f t="shared" si="246"/>
        <v>2.3370000000000002E-2</v>
      </c>
      <c r="M124" s="58">
        <f t="shared" si="246"/>
        <v>3.3050000000000002E-3</v>
      </c>
      <c r="N124" s="58">
        <f t="shared" si="246"/>
        <v>0.1384</v>
      </c>
      <c r="O124" s="58">
        <f t="shared" si="246"/>
        <v>0.29430000000000001</v>
      </c>
      <c r="P124" s="58">
        <f t="shared" si="246"/>
        <v>2.12E-4</v>
      </c>
      <c r="Q124" s="58">
        <f t="shared" si="246"/>
        <v>2.3940000000000003E-3</v>
      </c>
      <c r="R124" s="58">
        <f t="shared" si="246"/>
        <v>1.307E-2</v>
      </c>
      <c r="S124" s="58">
        <f t="shared" si="246"/>
        <v>1.9730000000000001E-2</v>
      </c>
      <c r="T124" s="58">
        <f t="shared" si="246"/>
        <v>3.676E-3</v>
      </c>
      <c r="U124" s="59">
        <v>1.04748</v>
      </c>
      <c r="V124" s="59">
        <v>0.97406999999999999</v>
      </c>
      <c r="W124" s="58">
        <f t="shared" ref="W124:Z124" si="247">W44/1000</f>
        <v>1.1690000000000001E-3</v>
      </c>
      <c r="X124" s="58">
        <f t="shared" si="247"/>
        <v>5.9919999999999999E-3</v>
      </c>
      <c r="Y124" s="58">
        <f t="shared" si="247"/>
        <v>1.9870000000000002E-2</v>
      </c>
      <c r="Z124" s="58">
        <f t="shared" si="247"/>
        <v>5.389E-2</v>
      </c>
      <c r="AA124" s="59">
        <v>1.2773399999999999</v>
      </c>
      <c r="AB124" s="59">
        <v>1.32294</v>
      </c>
      <c r="AC124" s="58">
        <f t="shared" ref="AC124:AI124" si="248">AC44/1000</f>
        <v>5.7000000000000003E-5</v>
      </c>
      <c r="AD124" s="58">
        <f t="shared" si="248"/>
        <v>1.64E-4</v>
      </c>
      <c r="AE124" s="58">
        <f t="shared" si="248"/>
        <v>0</v>
      </c>
      <c r="AF124" s="58">
        <f t="shared" si="248"/>
        <v>9.9999999999999995E-7</v>
      </c>
      <c r="AG124" s="58">
        <f t="shared" si="248"/>
        <v>1.7E-5</v>
      </c>
      <c r="AH124" s="58">
        <f t="shared" si="248"/>
        <v>4.0199999999999993E-3</v>
      </c>
      <c r="AI124" s="58">
        <f t="shared" si="248"/>
        <v>4.2000000000000004E-5</v>
      </c>
      <c r="AJ124" s="59">
        <v>1.0238100000000001</v>
      </c>
      <c r="AK124" s="59">
        <v>1.13906</v>
      </c>
      <c r="AL124" s="58">
        <f t="shared" ref="AL124:BN124" si="249">AM44/1000</f>
        <v>3.5000000000000004E-5</v>
      </c>
      <c r="AM124" s="58">
        <f t="shared" si="249"/>
        <v>3.0000000000000001E-6</v>
      </c>
      <c r="AN124" s="58">
        <f t="shared" si="249"/>
        <v>1.1E-5</v>
      </c>
      <c r="AO124" s="58">
        <f t="shared" si="249"/>
        <v>9.756999999999999E-2</v>
      </c>
      <c r="AP124" s="58">
        <f t="shared" si="249"/>
        <v>0.11159999999999999</v>
      </c>
      <c r="AQ124" s="58">
        <f t="shared" si="249"/>
        <v>4.8710000000000003E-2</v>
      </c>
      <c r="AR124" s="58">
        <f t="shared" si="249"/>
        <v>6.5650000000000005E-3</v>
      </c>
      <c r="AS124" s="58">
        <f t="shared" si="249"/>
        <v>9.214E-3</v>
      </c>
      <c r="AT124" s="58">
        <f t="shared" si="249"/>
        <v>3.5569999999999997E-2</v>
      </c>
      <c r="AU124" s="58">
        <f t="shared" si="249"/>
        <v>6.5629999999999994E-3</v>
      </c>
      <c r="AV124" s="58">
        <f t="shared" si="249"/>
        <v>5.8E-4</v>
      </c>
      <c r="AW124" s="58">
        <f t="shared" si="249"/>
        <v>6.6969999999999998E-3</v>
      </c>
      <c r="AX124" s="58">
        <f t="shared" si="249"/>
        <v>8.6200000000000003E-4</v>
      </c>
      <c r="AY124" s="58">
        <f t="shared" si="249"/>
        <v>3.9820000000000003E-3</v>
      </c>
      <c r="AZ124" s="58">
        <f t="shared" si="249"/>
        <v>6.7000000000000002E-4</v>
      </c>
      <c r="BA124" s="58">
        <f t="shared" si="249"/>
        <v>1.389E-3</v>
      </c>
      <c r="BB124" s="58">
        <f t="shared" si="249"/>
        <v>1.1700000000000001E-4</v>
      </c>
      <c r="BC124" s="58">
        <f t="shared" si="249"/>
        <v>4.6899999999999996E-4</v>
      </c>
      <c r="BD124" s="58">
        <f t="shared" si="249"/>
        <v>5.0000000000000002E-5</v>
      </c>
      <c r="BE124" s="58">
        <f t="shared" si="249"/>
        <v>9.9999999999999995E-7</v>
      </c>
      <c r="BF124" s="58">
        <f t="shared" si="249"/>
        <v>3.5999999999999994E-5</v>
      </c>
      <c r="BG124" s="58">
        <f t="shared" si="249"/>
        <v>9.9999999999999995E-7</v>
      </c>
      <c r="BH124" s="58">
        <f t="shared" si="249"/>
        <v>0</v>
      </c>
      <c r="BI124" s="58">
        <f t="shared" si="249"/>
        <v>0</v>
      </c>
      <c r="BJ124" s="58">
        <f t="shared" si="249"/>
        <v>0</v>
      </c>
      <c r="BK124" s="58">
        <f t="shared" si="249"/>
        <v>2.3300000000000003E-4</v>
      </c>
      <c r="BL124" s="58">
        <f t="shared" si="249"/>
        <v>2.9E-5</v>
      </c>
      <c r="BM124" s="58">
        <f t="shared" si="249"/>
        <v>9.8700000000000003E-4</v>
      </c>
      <c r="BN124" s="58">
        <f t="shared" si="249"/>
        <v>9.5381999999999997E-4</v>
      </c>
      <c r="BO124" s="59">
        <v>0.95382</v>
      </c>
      <c r="BP124" s="59">
        <v>1.0784899999999999</v>
      </c>
      <c r="BQ124" s="58">
        <f t="shared" ref="BQ124:BR124" si="250">BQ44/1000</f>
        <v>4.9000000000000005E-5</v>
      </c>
      <c r="BR124" s="58">
        <f t="shared" si="250"/>
        <v>1.2999999999999999E-5</v>
      </c>
    </row>
    <row r="125" spans="1:70" ht="15.95" customHeight="1" x14ac:dyDescent="0.25">
      <c r="A125" s="58" t="s">
        <v>90</v>
      </c>
      <c r="B125" s="58">
        <f t="shared" ref="B125:G125" si="251">B45/1000</f>
        <v>0.19540000000000002</v>
      </c>
      <c r="C125" s="58">
        <f t="shared" si="251"/>
        <v>0.40960000000000002</v>
      </c>
      <c r="D125" s="58">
        <f t="shared" si="251"/>
        <v>0.4118</v>
      </c>
      <c r="E125" s="58">
        <f t="shared" si="251"/>
        <v>0.16880000000000001</v>
      </c>
      <c r="F125" s="58">
        <f t="shared" si="251"/>
        <v>0.42110000000000003</v>
      </c>
      <c r="G125" s="58">
        <f t="shared" si="251"/>
        <v>0.25660000000000005</v>
      </c>
      <c r="H125" s="59">
        <v>1.06718</v>
      </c>
      <c r="I125" s="59">
        <v>1.02765</v>
      </c>
      <c r="J125" s="58">
        <f t="shared" ref="J125:T125" si="252">J45/1000</f>
        <v>0.24049999999999999</v>
      </c>
      <c r="K125" s="58">
        <f t="shared" si="252"/>
        <v>0.19169999999999998</v>
      </c>
      <c r="L125" s="58">
        <f t="shared" si="252"/>
        <v>0.16689999999999999</v>
      </c>
      <c r="M125" s="58">
        <f t="shared" si="252"/>
        <v>4.261E-3</v>
      </c>
      <c r="N125" s="58">
        <f t="shared" si="252"/>
        <v>3.2829999999999998E-2</v>
      </c>
      <c r="O125" s="58">
        <f t="shared" si="252"/>
        <v>0.44980000000000003</v>
      </c>
      <c r="P125" s="58">
        <f t="shared" si="252"/>
        <v>3.356E-3</v>
      </c>
      <c r="Q125" s="58">
        <f t="shared" si="252"/>
        <v>3.669E-3</v>
      </c>
      <c r="R125" s="58">
        <f t="shared" si="252"/>
        <v>4.274E-3</v>
      </c>
      <c r="S125" s="58">
        <f t="shared" si="252"/>
        <v>3.2620000000000001E-3</v>
      </c>
      <c r="T125" s="58">
        <f t="shared" si="252"/>
        <v>1.173E-3</v>
      </c>
      <c r="U125" s="59">
        <v>1.02545</v>
      </c>
      <c r="V125" s="59">
        <v>0.94776000000000005</v>
      </c>
      <c r="W125" s="58">
        <f t="shared" ref="W125:Z125" si="253">W45/1000</f>
        <v>1.9450000000000001E-3</v>
      </c>
      <c r="X125" s="58">
        <f t="shared" si="253"/>
        <v>2.885E-3</v>
      </c>
      <c r="Y125" s="58">
        <f t="shared" si="253"/>
        <v>8.3510000000000008E-3</v>
      </c>
      <c r="Z125" s="58">
        <f t="shared" si="253"/>
        <v>3.4980000000000002E-3</v>
      </c>
      <c r="AA125" s="59">
        <v>1.0440799999999999</v>
      </c>
      <c r="AB125" s="59">
        <v>1.0631600000000001</v>
      </c>
      <c r="AC125" s="58">
        <f t="shared" ref="AC125:AI125" si="254">AC45/1000</f>
        <v>1.067E-3</v>
      </c>
      <c r="AD125" s="58">
        <f t="shared" si="254"/>
        <v>3.4269999999999999E-3</v>
      </c>
      <c r="AE125" s="58">
        <f t="shared" si="254"/>
        <v>2.5000000000000001E-4</v>
      </c>
      <c r="AF125" s="58">
        <f t="shared" si="254"/>
        <v>2.5300000000000002E-4</v>
      </c>
      <c r="AG125" s="58">
        <f t="shared" si="254"/>
        <v>1.8799999999999999E-4</v>
      </c>
      <c r="AH125" s="58">
        <f t="shared" si="254"/>
        <v>5.7720000000000002E-3</v>
      </c>
      <c r="AI125" s="58">
        <f t="shared" si="254"/>
        <v>3.3799999999999998E-3</v>
      </c>
      <c r="AJ125" s="59">
        <v>0.96189000000000002</v>
      </c>
      <c r="AK125" s="59">
        <v>1.0628599999999999</v>
      </c>
      <c r="AL125" s="58">
        <f t="shared" ref="AL125:BN125" si="255">AM45/1000</f>
        <v>2.5099999999999998E-4</v>
      </c>
      <c r="AM125" s="58">
        <f t="shared" si="255"/>
        <v>2.52E-4</v>
      </c>
      <c r="AN125" s="58">
        <f t="shared" si="255"/>
        <v>1.5069999999999999E-3</v>
      </c>
      <c r="AO125" s="58">
        <f t="shared" si="255"/>
        <v>1.4960000000000001E-2</v>
      </c>
      <c r="AP125" s="58">
        <f t="shared" si="255"/>
        <v>1.516E-2</v>
      </c>
      <c r="AQ125" s="58">
        <f t="shared" si="255"/>
        <v>4.3800000000000002E-4</v>
      </c>
      <c r="AR125" s="58">
        <f t="shared" si="255"/>
        <v>4.17E-4</v>
      </c>
      <c r="AS125" s="58">
        <f t="shared" si="255"/>
        <v>4.3300000000000001E-4</v>
      </c>
      <c r="AT125" s="58">
        <f t="shared" si="255"/>
        <v>4.4000000000000002E-4</v>
      </c>
      <c r="AU125" s="58">
        <f t="shared" si="255"/>
        <v>4.2900000000000002E-4</v>
      </c>
      <c r="AV125" s="58">
        <f t="shared" si="255"/>
        <v>4.2999999999999999E-4</v>
      </c>
      <c r="AW125" s="58">
        <f t="shared" si="255"/>
        <v>4.2499999999999998E-4</v>
      </c>
      <c r="AX125" s="58">
        <f t="shared" si="255"/>
        <v>4.37E-4</v>
      </c>
      <c r="AY125" s="58">
        <f t="shared" si="255"/>
        <v>4.3100000000000001E-4</v>
      </c>
      <c r="AZ125" s="58">
        <f t="shared" si="255"/>
        <v>4.3100000000000001E-4</v>
      </c>
      <c r="BA125" s="58">
        <f t="shared" si="255"/>
        <v>4.26E-4</v>
      </c>
      <c r="BB125" s="58">
        <f t="shared" si="255"/>
        <v>4.3100000000000001E-4</v>
      </c>
      <c r="BC125" s="58">
        <f t="shared" si="255"/>
        <v>4.35E-4</v>
      </c>
      <c r="BD125" s="58">
        <f t="shared" si="255"/>
        <v>4.3399999999999998E-4</v>
      </c>
      <c r="BE125" s="58">
        <f t="shared" si="255"/>
        <v>2.2900000000000001E-4</v>
      </c>
      <c r="BF125" s="58">
        <f t="shared" si="255"/>
        <v>1.539E-3</v>
      </c>
      <c r="BG125" s="58">
        <f t="shared" si="255"/>
        <v>1.6230000000000001E-3</v>
      </c>
      <c r="BH125" s="58">
        <f t="shared" si="255"/>
        <v>1.6479999999999999E-3</v>
      </c>
      <c r="BI125" s="58">
        <f t="shared" si="255"/>
        <v>2.0599999999999999E-4</v>
      </c>
      <c r="BJ125" s="58">
        <f t="shared" si="255"/>
        <v>2.22E-4</v>
      </c>
      <c r="BK125" s="58">
        <f t="shared" si="255"/>
        <v>1.9800000000000002E-4</v>
      </c>
      <c r="BL125" s="58">
        <f t="shared" si="255"/>
        <v>9.9369999999999997E-3</v>
      </c>
      <c r="BM125" s="58">
        <f t="shared" si="255"/>
        <v>1.632E-3</v>
      </c>
      <c r="BN125" s="58">
        <f t="shared" si="255"/>
        <v>9.4937000000000005E-4</v>
      </c>
      <c r="BO125" s="59">
        <v>0.94937000000000005</v>
      </c>
      <c r="BP125" s="59">
        <v>1.0638099999999999</v>
      </c>
      <c r="BQ125" s="58">
        <f t="shared" ref="BQ125:BR125" si="256">BQ45/1000</f>
        <v>4.2900000000000002E-4</v>
      </c>
      <c r="BR125" s="58">
        <f t="shared" si="256"/>
        <v>1.9430000000000001E-3</v>
      </c>
    </row>
    <row r="126" spans="1:70" ht="15.95" customHeight="1" x14ac:dyDescent="0.25">
      <c r="A126" s="58" t="s">
        <v>91</v>
      </c>
      <c r="B126" s="58">
        <f t="shared" ref="B126:G126" si="257">B46/1000</f>
        <v>0.1986</v>
      </c>
      <c r="C126" s="58">
        <f t="shared" si="257"/>
        <v>3.9470000000000001</v>
      </c>
      <c r="D126" s="58">
        <f t="shared" si="257"/>
        <v>0.188</v>
      </c>
      <c r="E126" s="58">
        <f t="shared" si="257"/>
        <v>2.1419999999999999</v>
      </c>
      <c r="F126" s="58">
        <f t="shared" si="257"/>
        <v>15.21</v>
      </c>
      <c r="G126" s="58">
        <f t="shared" si="257"/>
        <v>-1.03E-2</v>
      </c>
      <c r="H126" s="59">
        <v>1.74211</v>
      </c>
      <c r="I126" s="59">
        <v>1.1623300000000001</v>
      </c>
      <c r="J126" s="58">
        <f t="shared" ref="J126:T126" si="258">J46/1000</f>
        <v>0.22519999999999998</v>
      </c>
      <c r="K126" s="58">
        <f t="shared" si="258"/>
        <v>1.6050000000000001E-3</v>
      </c>
      <c r="L126" s="58">
        <f t="shared" si="258"/>
        <v>2.307E-2</v>
      </c>
      <c r="M126" s="58">
        <f t="shared" si="258"/>
        <v>1.6979999999999999E-3</v>
      </c>
      <c r="N126" s="58">
        <f t="shared" si="258"/>
        <v>8.5209999999999994E-2</v>
      </c>
      <c r="O126" s="58">
        <f t="shared" si="258"/>
        <v>2.7719999999999997E-3</v>
      </c>
      <c r="P126" s="58">
        <f t="shared" si="258"/>
        <v>4.2200000000000001E-4</v>
      </c>
      <c r="Q126" s="58">
        <f t="shared" si="258"/>
        <v>1.9559999999999998E-3</v>
      </c>
      <c r="R126" s="58">
        <f t="shared" si="258"/>
        <v>2.7399999999999997E-2</v>
      </c>
      <c r="S126" s="58">
        <f t="shared" si="258"/>
        <v>2.8039999999999999E-2</v>
      </c>
      <c r="T126" s="58">
        <f t="shared" si="258"/>
        <v>9.1100000000000003E-4</v>
      </c>
      <c r="U126" s="59">
        <v>1.78271</v>
      </c>
      <c r="V126" s="59">
        <v>1.0407900000000001</v>
      </c>
      <c r="W126" s="58">
        <f t="shared" ref="W126:Z126" si="259">W46/1000</f>
        <v>4.2999999999999995E-5</v>
      </c>
      <c r="X126" s="58">
        <f t="shared" si="259"/>
        <v>-4.5900000000000004E-4</v>
      </c>
      <c r="Y126" s="58">
        <f t="shared" si="259"/>
        <v>1.2460000000000001E-2</v>
      </c>
      <c r="Z126" s="58">
        <f t="shared" si="259"/>
        <v>0.2084</v>
      </c>
      <c r="AA126" s="59">
        <v>1.74394</v>
      </c>
      <c r="AB126" s="59">
        <v>1.1913</v>
      </c>
      <c r="AC126" s="58">
        <f t="shared" ref="AC126:AI126" si="260">AC46/1000</f>
        <v>1.1E-4</v>
      </c>
      <c r="AD126" s="58">
        <f t="shared" si="260"/>
        <v>1.0380000000000001E-3</v>
      </c>
      <c r="AE126" s="58">
        <f t="shared" si="260"/>
        <v>2.1000000000000002E-5</v>
      </c>
      <c r="AF126" s="58">
        <f t="shared" si="260"/>
        <v>2.4000000000000001E-5</v>
      </c>
      <c r="AG126" s="58">
        <f t="shared" si="260"/>
        <v>6.3999999999999997E-5</v>
      </c>
      <c r="AH126" s="58">
        <f t="shared" si="260"/>
        <v>1.0480000000000001E-3</v>
      </c>
      <c r="AI126" s="58">
        <f t="shared" si="260"/>
        <v>3.8200000000000002E-4</v>
      </c>
      <c r="AJ126" s="59">
        <v>1.59595</v>
      </c>
      <c r="AK126" s="59">
        <v>1.18635</v>
      </c>
      <c r="AL126" s="58">
        <f t="shared" ref="AL126:BN126" si="261">AM46/1000</f>
        <v>4.6E-5</v>
      </c>
      <c r="AM126" s="58">
        <f t="shared" si="261"/>
        <v>1.5999999999999999E-5</v>
      </c>
      <c r="AN126" s="58">
        <f t="shared" si="261"/>
        <v>3.97E-4</v>
      </c>
      <c r="AO126" s="58">
        <f t="shared" si="261"/>
        <v>2.3300000000000001E-2</v>
      </c>
      <c r="AP126" s="58">
        <f t="shared" si="261"/>
        <v>2.3329999999999997E-2</v>
      </c>
      <c r="AQ126" s="58">
        <f t="shared" si="261"/>
        <v>1.8099999999999998E-4</v>
      </c>
      <c r="AR126" s="58">
        <f t="shared" si="261"/>
        <v>3.1300000000000002E-4</v>
      </c>
      <c r="AS126" s="58">
        <f t="shared" si="261"/>
        <v>6.7999999999999999E-5</v>
      </c>
      <c r="AT126" s="58">
        <f t="shared" si="261"/>
        <v>1.55E-4</v>
      </c>
      <c r="AU126" s="58">
        <f t="shared" si="261"/>
        <v>5.8999999999999998E-5</v>
      </c>
      <c r="AV126" s="58">
        <f t="shared" si="261"/>
        <v>4.1E-5</v>
      </c>
      <c r="AW126" s="58">
        <f t="shared" si="261"/>
        <v>5.5000000000000002E-5</v>
      </c>
      <c r="AX126" s="58">
        <f t="shared" si="261"/>
        <v>3.8000000000000002E-5</v>
      </c>
      <c r="AY126" s="58">
        <f t="shared" si="261"/>
        <v>5.1E-5</v>
      </c>
      <c r="AZ126" s="58">
        <f t="shared" si="261"/>
        <v>4.0000000000000003E-5</v>
      </c>
      <c r="BA126" s="58">
        <f t="shared" si="261"/>
        <v>4.3999999999999999E-5</v>
      </c>
      <c r="BB126" s="58">
        <f t="shared" si="261"/>
        <v>3.6999999999999998E-5</v>
      </c>
      <c r="BC126" s="58">
        <f t="shared" si="261"/>
        <v>4.2000000000000004E-5</v>
      </c>
      <c r="BD126" s="58">
        <f t="shared" si="261"/>
        <v>3.6999999999999998E-5</v>
      </c>
      <c r="BE126" s="58">
        <f t="shared" si="261"/>
        <v>2.0000000000000002E-5</v>
      </c>
      <c r="BF126" s="58">
        <f t="shared" si="261"/>
        <v>2.0699999999999999E-4</v>
      </c>
      <c r="BG126" s="58">
        <f t="shared" si="261"/>
        <v>4.7199999999999998E-4</v>
      </c>
      <c r="BH126" s="58">
        <f t="shared" si="261"/>
        <v>4.7699999999999999E-4</v>
      </c>
      <c r="BI126" s="58">
        <f t="shared" si="261"/>
        <v>1.7E-5</v>
      </c>
      <c r="BJ126" s="58">
        <f t="shared" si="261"/>
        <v>1.7999999999999997E-5</v>
      </c>
      <c r="BK126" s="58">
        <f t="shared" si="261"/>
        <v>2.3899999999999998E-4</v>
      </c>
      <c r="BL126" s="58">
        <f t="shared" si="261"/>
        <v>8.0000000000000004E-4</v>
      </c>
      <c r="BM126" s="58">
        <f t="shared" si="261"/>
        <v>5.3700000000000004E-4</v>
      </c>
      <c r="BN126" s="58">
        <f t="shared" si="261"/>
        <v>1.6095299999999999E-3</v>
      </c>
      <c r="BO126" s="59">
        <v>1.6095299999999999</v>
      </c>
      <c r="BP126" s="59">
        <v>1.14758</v>
      </c>
      <c r="BQ126" s="58">
        <f t="shared" ref="BQ126:BR126" si="262">BQ46/1000</f>
        <v>9.6000000000000002E-5</v>
      </c>
      <c r="BR126" s="58">
        <f t="shared" si="262"/>
        <v>1.7100000000000001E-4</v>
      </c>
    </row>
    <row r="127" spans="1:70" ht="15.95" customHeight="1" x14ac:dyDescent="0.25">
      <c r="A127" s="58" t="s">
        <v>73</v>
      </c>
      <c r="B127" s="58">
        <f t="shared" ref="B127:G127" si="263">B47/1000</f>
        <v>0.11559999999999999</v>
      </c>
      <c r="C127" s="58">
        <f t="shared" si="263"/>
        <v>2.9249999999999998</v>
      </c>
      <c r="D127" s="58">
        <f t="shared" si="263"/>
        <v>9.040999999999999E-2</v>
      </c>
      <c r="E127" s="58">
        <f t="shared" si="263"/>
        <v>1.984</v>
      </c>
      <c r="F127" s="58">
        <f t="shared" si="263"/>
        <v>28.18</v>
      </c>
      <c r="G127" s="58">
        <f t="shared" si="263"/>
        <v>27.56</v>
      </c>
      <c r="H127" s="59">
        <v>1.11409</v>
      </c>
      <c r="I127" s="59">
        <v>1.0791299999999999</v>
      </c>
      <c r="J127" s="58">
        <f t="shared" ref="J127:T127" si="264">J47/1000</f>
        <v>0.1237</v>
      </c>
      <c r="K127" s="58">
        <f t="shared" si="264"/>
        <v>4.156E-3</v>
      </c>
      <c r="L127" s="58">
        <f t="shared" si="264"/>
        <v>9.6819999999999996E-3</v>
      </c>
      <c r="M127" s="58">
        <f t="shared" si="264"/>
        <v>1.4570000000000002E-3</v>
      </c>
      <c r="N127" s="58">
        <f t="shared" si="264"/>
        <v>3.2710000000000003E-2</v>
      </c>
      <c r="O127" s="58">
        <f t="shared" si="264"/>
        <v>0.19650000000000001</v>
      </c>
      <c r="P127" s="58">
        <f t="shared" si="264"/>
        <v>1.4999999999999999E-4</v>
      </c>
      <c r="Q127" s="58">
        <f t="shared" si="264"/>
        <v>1.9950000000000002E-3</v>
      </c>
      <c r="R127" s="58">
        <f t="shared" si="264"/>
        <v>1.3980000000000001E-2</v>
      </c>
      <c r="S127" s="58">
        <f t="shared" si="264"/>
        <v>8.4779999999999994E-3</v>
      </c>
      <c r="T127" s="58">
        <f t="shared" si="264"/>
        <v>5.2000000000000006E-4</v>
      </c>
      <c r="U127" s="59">
        <v>1.0461199999999999</v>
      </c>
      <c r="V127" s="59">
        <v>0.96020000000000005</v>
      </c>
      <c r="W127" s="58">
        <f t="shared" ref="W127:Z127" si="265">W47/1000</f>
        <v>4.0000000000000003E-5</v>
      </c>
      <c r="X127" s="58">
        <f t="shared" si="265"/>
        <v>4.2119999999999996E-3</v>
      </c>
      <c r="Y127" s="58">
        <f t="shared" si="265"/>
        <v>8.6769999999999989E-3</v>
      </c>
      <c r="Z127" s="58">
        <f t="shared" si="265"/>
        <v>8.8579999999999992E-2</v>
      </c>
      <c r="AA127" s="59">
        <v>1.08179</v>
      </c>
      <c r="AB127" s="59">
        <v>1.1072299999999999</v>
      </c>
      <c r="AC127" s="58">
        <f t="shared" ref="AC127:AI127" si="266">AC47/1000</f>
        <v>1.7999999999999997E-5</v>
      </c>
      <c r="AD127" s="58">
        <f t="shared" si="266"/>
        <v>5.5000000000000003E-4</v>
      </c>
      <c r="AE127" s="58">
        <f t="shared" si="266"/>
        <v>0</v>
      </c>
      <c r="AF127" s="58">
        <f t="shared" si="266"/>
        <v>1.9999999999999999E-6</v>
      </c>
      <c r="AG127" s="58">
        <f t="shared" si="266"/>
        <v>2.1999999999999999E-5</v>
      </c>
      <c r="AH127" s="58">
        <f t="shared" si="266"/>
        <v>6.900000000000001E-5</v>
      </c>
      <c r="AI127" s="58">
        <f t="shared" si="266"/>
        <v>1.8699999999999999E-4</v>
      </c>
      <c r="AJ127" s="59">
        <v>0.99158999999999997</v>
      </c>
      <c r="AK127" s="59">
        <v>1.1009</v>
      </c>
      <c r="AL127" s="58">
        <f t="shared" ref="AL127:BN127" si="267">AM47/1000</f>
        <v>2.1000000000000002E-5</v>
      </c>
      <c r="AM127" s="58">
        <f t="shared" si="267"/>
        <v>0</v>
      </c>
      <c r="AN127" s="58">
        <f t="shared" si="267"/>
        <v>1.07E-4</v>
      </c>
      <c r="AO127" s="58">
        <f t="shared" si="267"/>
        <v>1.4449999999999999E-2</v>
      </c>
      <c r="AP127" s="58">
        <f t="shared" si="267"/>
        <v>1.4500000000000001E-2</v>
      </c>
      <c r="AQ127" s="58">
        <f t="shared" si="267"/>
        <v>1.11E-4</v>
      </c>
      <c r="AR127" s="58">
        <f t="shared" si="267"/>
        <v>1.8799999999999999E-4</v>
      </c>
      <c r="AS127" s="58">
        <f t="shared" si="267"/>
        <v>2.1999999999999999E-5</v>
      </c>
      <c r="AT127" s="58">
        <f t="shared" si="267"/>
        <v>8.4000000000000009E-5</v>
      </c>
      <c r="AU127" s="58">
        <f t="shared" si="267"/>
        <v>1.5999999999999999E-5</v>
      </c>
      <c r="AV127" s="58">
        <f t="shared" si="267"/>
        <v>5.0000000000000004E-6</v>
      </c>
      <c r="AW127" s="58">
        <f t="shared" si="267"/>
        <v>1.4999999999999999E-5</v>
      </c>
      <c r="AX127" s="58">
        <f t="shared" si="267"/>
        <v>1.9999999999999999E-6</v>
      </c>
      <c r="AY127" s="58">
        <f t="shared" si="267"/>
        <v>1.0000000000000001E-5</v>
      </c>
      <c r="AZ127" s="58">
        <f t="shared" si="267"/>
        <v>1.9999999999999999E-6</v>
      </c>
      <c r="BA127" s="58">
        <f t="shared" si="267"/>
        <v>6.0000000000000002E-6</v>
      </c>
      <c r="BB127" s="58">
        <f t="shared" si="267"/>
        <v>9.9999999999999995E-7</v>
      </c>
      <c r="BC127" s="58">
        <f t="shared" si="267"/>
        <v>3.9999999999999998E-6</v>
      </c>
      <c r="BD127" s="58">
        <f t="shared" si="267"/>
        <v>9.9999999999999995E-7</v>
      </c>
      <c r="BE127" s="58">
        <f t="shared" si="267"/>
        <v>9.9999999999999995E-7</v>
      </c>
      <c r="BF127" s="58">
        <f t="shared" si="267"/>
        <v>5.5999999999999999E-5</v>
      </c>
      <c r="BG127" s="58">
        <f t="shared" si="267"/>
        <v>2.4499999999999999E-4</v>
      </c>
      <c r="BH127" s="58">
        <f t="shared" si="267"/>
        <v>2.5099999999999998E-4</v>
      </c>
      <c r="BI127" s="58">
        <f t="shared" si="267"/>
        <v>0</v>
      </c>
      <c r="BJ127" s="58">
        <f t="shared" si="267"/>
        <v>0</v>
      </c>
      <c r="BK127" s="58">
        <f t="shared" si="267"/>
        <v>1.4199999999999998E-4</v>
      </c>
      <c r="BL127" s="58">
        <f t="shared" si="267"/>
        <v>1.9999999999999999E-6</v>
      </c>
      <c r="BM127" s="58">
        <f t="shared" si="267"/>
        <v>3.0699999999999998E-4</v>
      </c>
      <c r="BN127" s="58">
        <f t="shared" si="267"/>
        <v>9.5047000000000003E-4</v>
      </c>
      <c r="BO127" s="59">
        <v>0.95047000000000004</v>
      </c>
      <c r="BP127" s="59">
        <v>1.0664899999999999</v>
      </c>
      <c r="BQ127" s="58">
        <f t="shared" ref="BQ127:BR127" si="268">BQ47/1000</f>
        <v>2.5999999999999998E-5</v>
      </c>
      <c r="BR127" s="58">
        <f t="shared" si="268"/>
        <v>6.9999999999999999E-6</v>
      </c>
    </row>
    <row r="128" spans="1:70" ht="15.95" customHeight="1" x14ac:dyDescent="0.25">
      <c r="A128" s="58" t="s">
        <v>74</v>
      </c>
      <c r="B128" s="58">
        <f t="shared" ref="B128:G128" si="269">B48/1000</f>
        <v>8.1129999999999994E-2</v>
      </c>
      <c r="C128" s="58">
        <f t="shared" si="269"/>
        <v>5.3520000000000003</v>
      </c>
      <c r="D128" s="58">
        <f t="shared" si="269"/>
        <v>0.15290000000000001</v>
      </c>
      <c r="E128" s="58">
        <f t="shared" si="269"/>
        <v>3.66</v>
      </c>
      <c r="F128" s="58">
        <f t="shared" si="269"/>
        <v>48.25</v>
      </c>
      <c r="G128" s="58">
        <f t="shared" si="269"/>
        <v>45.24</v>
      </c>
      <c r="H128" s="59">
        <v>1.13629</v>
      </c>
      <c r="I128" s="59">
        <v>1.1220600000000001</v>
      </c>
      <c r="J128" s="58">
        <f t="shared" ref="J128:T128" si="270">J48/1000</f>
        <v>0.23619999999999999</v>
      </c>
      <c r="K128" s="58">
        <f t="shared" si="270"/>
        <v>5.6299999999999996E-3</v>
      </c>
      <c r="L128" s="58">
        <f t="shared" si="270"/>
        <v>1.0749999999999999E-2</v>
      </c>
      <c r="M128" s="58">
        <f t="shared" si="270"/>
        <v>1.598E-3</v>
      </c>
      <c r="N128" s="58">
        <f t="shared" si="270"/>
        <v>0.13950000000000001</v>
      </c>
      <c r="O128" s="58">
        <f t="shared" si="270"/>
        <v>0.27860000000000001</v>
      </c>
      <c r="P128" s="58">
        <f t="shared" si="270"/>
        <v>4.0899999999999997E-4</v>
      </c>
      <c r="Q128" s="58">
        <f t="shared" si="270"/>
        <v>5.934E-3</v>
      </c>
      <c r="R128" s="58">
        <f t="shared" si="270"/>
        <v>2.0539999999999999E-2</v>
      </c>
      <c r="S128" s="58">
        <f t="shared" si="270"/>
        <v>1.7850000000000001E-2</v>
      </c>
      <c r="T128" s="58">
        <f t="shared" si="270"/>
        <v>1.8900000000000001E-4</v>
      </c>
      <c r="U128" s="59">
        <v>1.03207</v>
      </c>
      <c r="V128" s="59">
        <v>0.97797000000000001</v>
      </c>
      <c r="W128" s="58">
        <f t="shared" ref="W128:Z128" si="271">W48/1000</f>
        <v>9.7E-5</v>
      </c>
      <c r="X128" s="58">
        <f t="shared" si="271"/>
        <v>7.9109999999999996E-3</v>
      </c>
      <c r="Y128" s="58">
        <f t="shared" si="271"/>
        <v>4.086E-2</v>
      </c>
      <c r="Z128" s="58">
        <f t="shared" si="271"/>
        <v>0.1171</v>
      </c>
      <c r="AA128" s="59">
        <v>1.0991</v>
      </c>
      <c r="AB128" s="59">
        <v>1.14181</v>
      </c>
      <c r="AC128" s="58">
        <f t="shared" ref="AC128:AI128" si="272">AC48/1000</f>
        <v>2.1999999999999999E-5</v>
      </c>
      <c r="AD128" s="58">
        <f t="shared" si="272"/>
        <v>5.4500000000000002E-4</v>
      </c>
      <c r="AE128" s="58">
        <f t="shared" si="272"/>
        <v>0</v>
      </c>
      <c r="AF128" s="58">
        <f t="shared" si="272"/>
        <v>1.9999999999999999E-6</v>
      </c>
      <c r="AG128" s="58">
        <f t="shared" si="272"/>
        <v>3.1999999999999999E-5</v>
      </c>
      <c r="AH128" s="58">
        <f t="shared" si="272"/>
        <v>4.35E-4</v>
      </c>
      <c r="AI128" s="58">
        <f t="shared" si="272"/>
        <v>2.0100000000000001E-4</v>
      </c>
      <c r="AJ128" s="59">
        <v>1.00715</v>
      </c>
      <c r="AK128" s="59">
        <v>1.13266</v>
      </c>
      <c r="AL128" s="58">
        <f t="shared" ref="AL128:BN128" si="273">AM48/1000</f>
        <v>2.5000000000000001E-5</v>
      </c>
      <c r="AM128" s="58">
        <f t="shared" si="273"/>
        <v>0</v>
      </c>
      <c r="AN128" s="58">
        <f t="shared" si="273"/>
        <v>2.9999999999999997E-4</v>
      </c>
      <c r="AO128" s="58">
        <f t="shared" si="273"/>
        <v>4.6649999999999999E-3</v>
      </c>
      <c r="AP128" s="58">
        <f t="shared" si="273"/>
        <v>4.6909999999999999E-3</v>
      </c>
      <c r="AQ128" s="58">
        <f t="shared" si="273"/>
        <v>1.4000000000000001E-4</v>
      </c>
      <c r="AR128" s="58">
        <f t="shared" si="273"/>
        <v>2.4499999999999999E-4</v>
      </c>
      <c r="AS128" s="58">
        <f t="shared" si="273"/>
        <v>3.1000000000000001E-5</v>
      </c>
      <c r="AT128" s="58">
        <f t="shared" si="273"/>
        <v>1.1400000000000001E-4</v>
      </c>
      <c r="AU128" s="58">
        <f t="shared" si="273"/>
        <v>2.3E-5</v>
      </c>
      <c r="AV128" s="58">
        <f t="shared" si="273"/>
        <v>3.9999999999999998E-6</v>
      </c>
      <c r="AW128" s="58">
        <f t="shared" si="273"/>
        <v>2.0000000000000002E-5</v>
      </c>
      <c r="AX128" s="58">
        <f t="shared" si="273"/>
        <v>3.0000000000000001E-6</v>
      </c>
      <c r="AY128" s="58">
        <f t="shared" si="273"/>
        <v>1.4E-5</v>
      </c>
      <c r="AZ128" s="58">
        <f t="shared" si="273"/>
        <v>3.9999999999999998E-6</v>
      </c>
      <c r="BA128" s="58">
        <f t="shared" si="273"/>
        <v>7.9999999999999996E-6</v>
      </c>
      <c r="BB128" s="58">
        <f t="shared" si="273"/>
        <v>9.9999999999999995E-7</v>
      </c>
      <c r="BC128" s="58">
        <f t="shared" si="273"/>
        <v>6.9999999999999999E-6</v>
      </c>
      <c r="BD128" s="58">
        <f t="shared" si="273"/>
        <v>9.9999999999999995E-7</v>
      </c>
      <c r="BE128" s="58">
        <f t="shared" si="273"/>
        <v>9.9999999999999995E-7</v>
      </c>
      <c r="BF128" s="58">
        <f t="shared" si="273"/>
        <v>8.7000000000000001E-5</v>
      </c>
      <c r="BG128" s="58">
        <f t="shared" si="273"/>
        <v>3.7300000000000001E-4</v>
      </c>
      <c r="BH128" s="58">
        <f t="shared" si="273"/>
        <v>3.8999999999999999E-4</v>
      </c>
      <c r="BI128" s="58">
        <f t="shared" si="273"/>
        <v>0</v>
      </c>
      <c r="BJ128" s="58">
        <f t="shared" si="273"/>
        <v>0</v>
      </c>
      <c r="BK128" s="58">
        <f t="shared" si="273"/>
        <v>2.2900000000000001E-4</v>
      </c>
      <c r="BL128" s="58">
        <f t="shared" si="273"/>
        <v>3.9999999999999998E-6</v>
      </c>
      <c r="BM128" s="58">
        <f t="shared" si="273"/>
        <v>7.9200000000000006E-4</v>
      </c>
      <c r="BN128" s="58">
        <f t="shared" si="273"/>
        <v>9.4601000000000006E-4</v>
      </c>
      <c r="BO128" s="59">
        <v>0.94601000000000002</v>
      </c>
      <c r="BP128" s="59">
        <v>1.07226</v>
      </c>
      <c r="BQ128" s="58">
        <f t="shared" ref="BQ128:BR128" si="274">BQ48/1000</f>
        <v>7.0000000000000007E-5</v>
      </c>
      <c r="BR128" s="58">
        <f t="shared" si="274"/>
        <v>1.0000000000000001E-5</v>
      </c>
    </row>
    <row r="129" spans="1:70" ht="15.95" customHeight="1" x14ac:dyDescent="0.25">
      <c r="A129" s="58" t="s">
        <v>75</v>
      </c>
      <c r="B129" s="58">
        <f t="shared" ref="B129:G129" si="275">B49/1000</f>
        <v>0.4844</v>
      </c>
      <c r="C129" s="58">
        <f t="shared" si="275"/>
        <v>6.3920000000000003</v>
      </c>
      <c r="D129" s="58">
        <f t="shared" si="275"/>
        <v>0.1401</v>
      </c>
      <c r="E129" s="58">
        <f t="shared" si="275"/>
        <v>2.5840000000000001</v>
      </c>
      <c r="F129" s="58">
        <f t="shared" si="275"/>
        <v>54</v>
      </c>
      <c r="G129" s="58">
        <f t="shared" si="275"/>
        <v>30.49</v>
      </c>
      <c r="H129" s="59">
        <v>1.16238</v>
      </c>
      <c r="I129" s="59">
        <v>1.15117</v>
      </c>
      <c r="J129" s="58">
        <f t="shared" ref="J129:T129" si="276">J49/1000</f>
        <v>0.1328</v>
      </c>
      <c r="K129" s="58">
        <f t="shared" si="276"/>
        <v>6.2039999999999994E-3</v>
      </c>
      <c r="L129" s="58">
        <f t="shared" si="276"/>
        <v>1.044E-2</v>
      </c>
      <c r="M129" s="58">
        <f t="shared" si="276"/>
        <v>1.322E-3</v>
      </c>
      <c r="N129" s="58">
        <f t="shared" si="276"/>
        <v>4.6869999999999995E-2</v>
      </c>
      <c r="O129" s="58">
        <f t="shared" si="276"/>
        <v>0.29710000000000003</v>
      </c>
      <c r="P129" s="58">
        <f t="shared" si="276"/>
        <v>2.2800000000000001E-4</v>
      </c>
      <c r="Q129" s="58">
        <f t="shared" si="276"/>
        <v>3.496E-3</v>
      </c>
      <c r="R129" s="58">
        <f t="shared" si="276"/>
        <v>8.0150000000000013E-3</v>
      </c>
      <c r="S129" s="58">
        <f t="shared" si="276"/>
        <v>1.2999999999999999E-2</v>
      </c>
      <c r="T129" s="58">
        <f t="shared" si="276"/>
        <v>1.003E-3</v>
      </c>
      <c r="U129" s="59">
        <v>1.05152</v>
      </c>
      <c r="V129" s="59">
        <v>1.0039199999999999</v>
      </c>
      <c r="W129" s="58">
        <f t="shared" ref="W129:Z129" si="277">W49/1000</f>
        <v>1.21E-4</v>
      </c>
      <c r="X129" s="58">
        <f t="shared" si="277"/>
        <v>5.0400000000000002E-3</v>
      </c>
      <c r="Y129" s="58">
        <f t="shared" si="277"/>
        <v>1.176E-2</v>
      </c>
      <c r="Z129" s="58">
        <f t="shared" si="277"/>
        <v>0.36819999999999997</v>
      </c>
      <c r="AA129" s="59">
        <v>1.1148</v>
      </c>
      <c r="AB129" s="59">
        <v>1.16439</v>
      </c>
      <c r="AC129" s="58">
        <f t="shared" ref="AC129:AI129" si="278">AC49/1000</f>
        <v>2.3E-5</v>
      </c>
      <c r="AD129" s="58">
        <f t="shared" si="278"/>
        <v>8.2199999999999992E-4</v>
      </c>
      <c r="AE129" s="58">
        <f t="shared" si="278"/>
        <v>9.9999999999999995E-7</v>
      </c>
      <c r="AF129" s="58">
        <f t="shared" si="278"/>
        <v>6.0000000000000002E-6</v>
      </c>
      <c r="AG129" s="58">
        <f t="shared" si="278"/>
        <v>8.8999999999999995E-5</v>
      </c>
      <c r="AH129" s="58">
        <f t="shared" si="278"/>
        <v>1.9000000000000001E-5</v>
      </c>
      <c r="AI129" s="58">
        <f t="shared" si="278"/>
        <v>1.1700000000000001E-4</v>
      </c>
      <c r="AJ129" s="59">
        <v>1.01542</v>
      </c>
      <c r="AK129" s="59">
        <v>1.1492599999999999</v>
      </c>
      <c r="AL129" s="58">
        <f t="shared" ref="AL129:BN129" si="279">AM49/1000</f>
        <v>3.5000000000000004E-5</v>
      </c>
      <c r="AM129" s="58">
        <f t="shared" si="279"/>
        <v>1.9999999999999999E-6</v>
      </c>
      <c r="AN129" s="58">
        <f t="shared" si="279"/>
        <v>7.7999999999999999E-5</v>
      </c>
      <c r="AO129" s="58">
        <f t="shared" si="279"/>
        <v>2.7239999999999997E-2</v>
      </c>
      <c r="AP129" s="58">
        <f t="shared" si="279"/>
        <v>2.7350000000000003E-2</v>
      </c>
      <c r="AQ129" s="58">
        <f t="shared" si="279"/>
        <v>1.54E-4</v>
      </c>
      <c r="AR129" s="58">
        <f t="shared" si="279"/>
        <v>2.4699999999999999E-4</v>
      </c>
      <c r="AS129" s="58">
        <f t="shared" si="279"/>
        <v>2.9E-5</v>
      </c>
      <c r="AT129" s="58">
        <f t="shared" si="279"/>
        <v>1.08E-4</v>
      </c>
      <c r="AU129" s="58">
        <f t="shared" si="279"/>
        <v>2.1000000000000002E-5</v>
      </c>
      <c r="AV129" s="58">
        <f t="shared" si="279"/>
        <v>8.9999999999999985E-6</v>
      </c>
      <c r="AW129" s="58">
        <f t="shared" si="279"/>
        <v>1.9000000000000001E-5</v>
      </c>
      <c r="AX129" s="58">
        <f t="shared" si="279"/>
        <v>3.9999999999999998E-6</v>
      </c>
      <c r="AY129" s="58">
        <f t="shared" si="279"/>
        <v>1.4E-5</v>
      </c>
      <c r="AZ129" s="58">
        <f t="shared" si="279"/>
        <v>3.0000000000000001E-6</v>
      </c>
      <c r="BA129" s="58">
        <f t="shared" si="279"/>
        <v>7.9999999999999996E-6</v>
      </c>
      <c r="BB129" s="58">
        <f t="shared" si="279"/>
        <v>9.9999999999999995E-7</v>
      </c>
      <c r="BC129" s="58">
        <f t="shared" si="279"/>
        <v>6.9999999999999999E-6</v>
      </c>
      <c r="BD129" s="58">
        <f t="shared" si="279"/>
        <v>9.9999999999999995E-7</v>
      </c>
      <c r="BE129" s="58">
        <f t="shared" si="279"/>
        <v>9.9999999999999995E-7</v>
      </c>
      <c r="BF129" s="58">
        <f t="shared" si="279"/>
        <v>8.0000000000000007E-5</v>
      </c>
      <c r="BG129" s="58">
        <f t="shared" si="279"/>
        <v>7.2999999999999999E-5</v>
      </c>
      <c r="BH129" s="58">
        <f t="shared" si="279"/>
        <v>7.4999999999999993E-5</v>
      </c>
      <c r="BI129" s="58">
        <f t="shared" si="279"/>
        <v>0</v>
      </c>
      <c r="BJ129" s="58">
        <f t="shared" si="279"/>
        <v>0</v>
      </c>
      <c r="BK129" s="58">
        <f t="shared" si="279"/>
        <v>1.16E-4</v>
      </c>
      <c r="BL129" s="58">
        <f t="shared" si="279"/>
        <v>1.9999999999999999E-6</v>
      </c>
      <c r="BM129" s="58">
        <f t="shared" si="279"/>
        <v>5.8699999999999996E-4</v>
      </c>
      <c r="BN129" s="58">
        <f t="shared" si="279"/>
        <v>9.544E-4</v>
      </c>
      <c r="BO129" s="59">
        <v>0.95440000000000003</v>
      </c>
      <c r="BP129" s="59">
        <v>1.0849299999999999</v>
      </c>
      <c r="BQ129" s="58">
        <f t="shared" ref="BQ129:BR129" si="280">BQ49/1000</f>
        <v>3.1000000000000001E-5</v>
      </c>
      <c r="BR129" s="58">
        <f t="shared" si="280"/>
        <v>1.2E-5</v>
      </c>
    </row>
    <row r="130" spans="1:70" ht="15.95" customHeight="1" x14ac:dyDescent="0.25">
      <c r="A130" s="58" t="s">
        <v>76</v>
      </c>
      <c r="B130" s="58">
        <f t="shared" ref="B130:G130" si="281">B50/1000</f>
        <v>0.24959999999999999</v>
      </c>
      <c r="C130" s="58">
        <f t="shared" si="281"/>
        <v>6.68</v>
      </c>
      <c r="D130" s="58">
        <f t="shared" si="281"/>
        <v>0.2949</v>
      </c>
      <c r="E130" s="58">
        <f t="shared" si="281"/>
        <v>4.3209999999999997</v>
      </c>
      <c r="F130" s="58">
        <f t="shared" si="281"/>
        <v>43.47</v>
      </c>
      <c r="G130" s="58">
        <f t="shared" si="281"/>
        <v>58.09</v>
      </c>
      <c r="H130" s="59">
        <v>1.18079</v>
      </c>
      <c r="I130" s="59">
        <v>1.1756</v>
      </c>
      <c r="J130" s="58">
        <f t="shared" ref="J130:T130" si="282">J50/1000</f>
        <v>0.31289999999999996</v>
      </c>
      <c r="K130" s="58">
        <f t="shared" si="282"/>
        <v>1.1089999999999999E-2</v>
      </c>
      <c r="L130" s="58">
        <f t="shared" si="282"/>
        <v>1.9820000000000001E-2</v>
      </c>
      <c r="M130" s="58">
        <f t="shared" si="282"/>
        <v>3.003E-3</v>
      </c>
      <c r="N130" s="58">
        <f t="shared" si="282"/>
        <v>0.1118</v>
      </c>
      <c r="O130" s="58">
        <f t="shared" si="282"/>
        <v>0.48089999999999999</v>
      </c>
      <c r="P130" s="58">
        <f t="shared" si="282"/>
        <v>3.3800000000000003E-4</v>
      </c>
      <c r="Q130" s="58">
        <f t="shared" si="282"/>
        <v>6.8830000000000002E-3</v>
      </c>
      <c r="R130" s="58">
        <f t="shared" si="282"/>
        <v>2.8030000000000003E-2</v>
      </c>
      <c r="S130" s="58">
        <f t="shared" si="282"/>
        <v>4.0590000000000001E-2</v>
      </c>
      <c r="T130" s="58">
        <f t="shared" si="282"/>
        <v>1.464E-3</v>
      </c>
      <c r="U130" s="59">
        <v>1.05714</v>
      </c>
      <c r="V130" s="59">
        <v>0.99994000000000005</v>
      </c>
      <c r="W130" s="58">
        <f t="shared" ref="W130:Z130" si="283">W50/1000</f>
        <v>2.0000000000000001E-4</v>
      </c>
      <c r="X130" s="58">
        <f t="shared" si="283"/>
        <v>2.7980000000000001E-2</v>
      </c>
      <c r="Y130" s="58">
        <f t="shared" si="283"/>
        <v>2.087E-2</v>
      </c>
      <c r="Z130" s="58">
        <f t="shared" si="283"/>
        <v>0.19140000000000001</v>
      </c>
      <c r="AA130" s="59">
        <v>1.13188</v>
      </c>
      <c r="AB130" s="59">
        <v>1.18855</v>
      </c>
      <c r="AC130" s="58">
        <f t="shared" ref="AC130:AI130" si="284">AC50/1000</f>
        <v>3.8999999999999999E-5</v>
      </c>
      <c r="AD130" s="58">
        <f t="shared" si="284"/>
        <v>8.2899999999999998E-4</v>
      </c>
      <c r="AE130" s="58">
        <f t="shared" si="284"/>
        <v>0</v>
      </c>
      <c r="AF130" s="58">
        <f t="shared" si="284"/>
        <v>3.9999999999999998E-6</v>
      </c>
      <c r="AG130" s="58">
        <f t="shared" si="284"/>
        <v>5.3999999999999998E-5</v>
      </c>
      <c r="AH130" s="58">
        <f t="shared" si="284"/>
        <v>2.5799999999999998E-4</v>
      </c>
      <c r="AI130" s="58">
        <f t="shared" si="284"/>
        <v>1.1400000000000001E-4</v>
      </c>
      <c r="AJ130" s="59">
        <v>1.0277099999999999</v>
      </c>
      <c r="AK130" s="59">
        <v>1.17109</v>
      </c>
      <c r="AL130" s="58">
        <f t="shared" ref="AL130:BN130" si="285">AM50/1000</f>
        <v>5.7000000000000003E-5</v>
      </c>
      <c r="AM130" s="58">
        <f t="shared" si="285"/>
        <v>3.9999999999999998E-6</v>
      </c>
      <c r="AN130" s="58">
        <f t="shared" si="285"/>
        <v>2.0999999999999998E-4</v>
      </c>
      <c r="AO130" s="58">
        <f t="shared" si="285"/>
        <v>3.866E-2</v>
      </c>
      <c r="AP130" s="58">
        <f t="shared" si="285"/>
        <v>3.8429999999999999E-2</v>
      </c>
      <c r="AQ130" s="58">
        <f t="shared" si="285"/>
        <v>2.7700000000000001E-4</v>
      </c>
      <c r="AR130" s="58">
        <f t="shared" si="285"/>
        <v>4.7399999999999997E-4</v>
      </c>
      <c r="AS130" s="58">
        <f t="shared" si="285"/>
        <v>6.0999999999999999E-5</v>
      </c>
      <c r="AT130" s="58">
        <f t="shared" si="285"/>
        <v>2.31E-4</v>
      </c>
      <c r="AU130" s="58">
        <f t="shared" si="285"/>
        <v>4.4999999999999996E-5</v>
      </c>
      <c r="AV130" s="58">
        <f t="shared" si="285"/>
        <v>1.4E-5</v>
      </c>
      <c r="AW130" s="58">
        <f t="shared" si="285"/>
        <v>4.1E-5</v>
      </c>
      <c r="AX130" s="58">
        <f t="shared" si="285"/>
        <v>6.0000000000000002E-6</v>
      </c>
      <c r="AY130" s="58">
        <f t="shared" si="285"/>
        <v>2.9999999999999997E-5</v>
      </c>
      <c r="AZ130" s="58">
        <f t="shared" si="285"/>
        <v>6.0000000000000002E-6</v>
      </c>
      <c r="BA130" s="58">
        <f t="shared" si="285"/>
        <v>1.5999999999999999E-5</v>
      </c>
      <c r="BB130" s="58">
        <f t="shared" si="285"/>
        <v>1.9999999999999999E-6</v>
      </c>
      <c r="BC130" s="58">
        <f t="shared" si="285"/>
        <v>1.2E-5</v>
      </c>
      <c r="BD130" s="58">
        <f t="shared" si="285"/>
        <v>1.9999999999999999E-6</v>
      </c>
      <c r="BE130" s="58">
        <f t="shared" si="285"/>
        <v>9.9999999999999995E-7</v>
      </c>
      <c r="BF130" s="58">
        <f t="shared" si="285"/>
        <v>8.9999999999999992E-5</v>
      </c>
      <c r="BG130" s="58">
        <f t="shared" si="285"/>
        <v>3.2400000000000001E-4</v>
      </c>
      <c r="BH130" s="58">
        <f t="shared" si="285"/>
        <v>3.3E-4</v>
      </c>
      <c r="BI130" s="58">
        <f t="shared" si="285"/>
        <v>0</v>
      </c>
      <c r="BJ130" s="58">
        <f t="shared" si="285"/>
        <v>9.9999999999999995E-7</v>
      </c>
      <c r="BK130" s="58">
        <f t="shared" si="285"/>
        <v>2.1799999999999999E-4</v>
      </c>
      <c r="BL130" s="58">
        <f t="shared" si="285"/>
        <v>6.0000000000000002E-6</v>
      </c>
      <c r="BM130" s="58">
        <f t="shared" si="285"/>
        <v>1.472E-2</v>
      </c>
      <c r="BN130" s="58">
        <f t="shared" si="285"/>
        <v>9.5545999999999999E-4</v>
      </c>
      <c r="BO130" s="59">
        <v>0.95545999999999998</v>
      </c>
      <c r="BP130" s="59">
        <v>1.08955</v>
      </c>
      <c r="BQ130" s="58">
        <f t="shared" ref="BQ130:BR130" si="286">BQ50/1000</f>
        <v>7.4999999999999993E-5</v>
      </c>
      <c r="BR130" s="58">
        <f t="shared" si="286"/>
        <v>1.4E-5</v>
      </c>
    </row>
    <row r="131" spans="1:70" ht="15.95" customHeight="1" x14ac:dyDescent="0.25">
      <c r="A131" s="58" t="s">
        <v>77</v>
      </c>
      <c r="B131" s="58">
        <f t="shared" ref="B131:G131" si="287">B51/1000</f>
        <v>0.42569999999999997</v>
      </c>
      <c r="C131" s="58">
        <f t="shared" si="287"/>
        <v>4.5410000000000004</v>
      </c>
      <c r="D131" s="58">
        <f t="shared" si="287"/>
        <v>0.19989999999999999</v>
      </c>
      <c r="E131" s="58">
        <f t="shared" si="287"/>
        <v>2.6880000000000002</v>
      </c>
      <c r="F131" s="58">
        <f t="shared" si="287"/>
        <v>63.02</v>
      </c>
      <c r="G131" s="58">
        <f t="shared" si="287"/>
        <v>70.13</v>
      </c>
      <c r="H131" s="59">
        <v>1.1830099999999999</v>
      </c>
      <c r="I131" s="59">
        <v>1.1763999999999999</v>
      </c>
      <c r="J131" s="58">
        <f t="shared" ref="J131:T131" si="288">J51/1000</f>
        <v>0.38019999999999998</v>
      </c>
      <c r="K131" s="58">
        <f t="shared" si="288"/>
        <v>8.9090000000000003E-3</v>
      </c>
      <c r="L131" s="58">
        <f t="shared" si="288"/>
        <v>1.4410000000000001E-2</v>
      </c>
      <c r="M131" s="58">
        <f t="shared" si="288"/>
        <v>1.8089999999999998E-3</v>
      </c>
      <c r="N131" s="58">
        <f t="shared" si="288"/>
        <v>3.7530000000000001E-2</v>
      </c>
      <c r="O131" s="58">
        <f t="shared" si="288"/>
        <v>0.34279999999999999</v>
      </c>
      <c r="P131" s="58">
        <f t="shared" si="288"/>
        <v>2.92E-4</v>
      </c>
      <c r="Q131" s="58">
        <f t="shared" si="288"/>
        <v>4.1099999999999999E-3</v>
      </c>
      <c r="R131" s="58">
        <f t="shared" si="288"/>
        <v>1.5820000000000001E-2</v>
      </c>
      <c r="S131" s="58">
        <f t="shared" si="288"/>
        <v>4.9739999999999999E-2</v>
      </c>
      <c r="T131" s="58">
        <f t="shared" si="288"/>
        <v>1.1040000000000002E-3</v>
      </c>
      <c r="U131" s="59">
        <v>1.0654600000000001</v>
      </c>
      <c r="V131" s="59">
        <v>1.0198</v>
      </c>
      <c r="W131" s="58">
        <f t="shared" ref="W131:Z131" si="289">W51/1000</f>
        <v>1.66E-4</v>
      </c>
      <c r="X131" s="58">
        <f t="shared" si="289"/>
        <v>4.3810000000000003E-3</v>
      </c>
      <c r="Y131" s="58">
        <f t="shared" si="289"/>
        <v>3.8280000000000002E-2</v>
      </c>
      <c r="Z131" s="58">
        <f t="shared" si="289"/>
        <v>0.3634</v>
      </c>
      <c r="AA131" s="59">
        <v>1.12527</v>
      </c>
      <c r="AB131" s="59">
        <v>1.1834499999999999</v>
      </c>
      <c r="AC131" s="58">
        <f t="shared" ref="AC131:AI131" si="290">AC51/1000</f>
        <v>5.0000000000000002E-5</v>
      </c>
      <c r="AD131" s="58">
        <f t="shared" si="290"/>
        <v>8.8500000000000004E-4</v>
      </c>
      <c r="AE131" s="58">
        <f t="shared" si="290"/>
        <v>1.9999999999999999E-6</v>
      </c>
      <c r="AF131" s="58">
        <f t="shared" si="290"/>
        <v>6.0000000000000002E-6</v>
      </c>
      <c r="AG131" s="58">
        <f t="shared" si="290"/>
        <v>9.2E-5</v>
      </c>
      <c r="AH131" s="58">
        <f t="shared" si="290"/>
        <v>2.3000000000000001E-4</v>
      </c>
      <c r="AI131" s="58">
        <f t="shared" si="290"/>
        <v>1.5699999999999999E-4</v>
      </c>
      <c r="AJ131" s="59">
        <v>1.0128699999999999</v>
      </c>
      <c r="AK131" s="59">
        <v>1.1617999999999999</v>
      </c>
      <c r="AL131" s="58">
        <f t="shared" ref="AL131:BN131" si="291">AM51/1000</f>
        <v>7.3999999999999996E-5</v>
      </c>
      <c r="AM131" s="58">
        <f t="shared" si="291"/>
        <v>-1.9999999999999999E-6</v>
      </c>
      <c r="AN131" s="58">
        <f t="shared" si="291"/>
        <v>2.0699999999999999E-4</v>
      </c>
      <c r="AO131" s="58">
        <f t="shared" si="291"/>
        <v>3.0040000000000001E-2</v>
      </c>
      <c r="AP131" s="58">
        <f t="shared" si="291"/>
        <v>3.0040000000000001E-2</v>
      </c>
      <c r="AQ131" s="58">
        <f t="shared" si="291"/>
        <v>1.8900000000000001E-4</v>
      </c>
      <c r="AR131" s="58">
        <f t="shared" si="291"/>
        <v>3.1300000000000002E-4</v>
      </c>
      <c r="AS131" s="58">
        <f t="shared" si="291"/>
        <v>4.1E-5</v>
      </c>
      <c r="AT131" s="58">
        <f t="shared" si="291"/>
        <v>1.56E-4</v>
      </c>
      <c r="AU131" s="58">
        <f t="shared" si="291"/>
        <v>2.9999999999999997E-5</v>
      </c>
      <c r="AV131" s="58">
        <f t="shared" si="291"/>
        <v>1.1E-5</v>
      </c>
      <c r="AW131" s="58">
        <f t="shared" si="291"/>
        <v>2.9E-5</v>
      </c>
      <c r="AX131" s="58">
        <f t="shared" si="291"/>
        <v>3.9999999999999998E-6</v>
      </c>
      <c r="AY131" s="58">
        <f t="shared" si="291"/>
        <v>2.0000000000000002E-5</v>
      </c>
      <c r="AZ131" s="58">
        <f t="shared" si="291"/>
        <v>3.9999999999999998E-6</v>
      </c>
      <c r="BA131" s="58">
        <f t="shared" si="291"/>
        <v>1.1E-5</v>
      </c>
      <c r="BB131" s="58">
        <f t="shared" si="291"/>
        <v>1.9999999999999999E-6</v>
      </c>
      <c r="BC131" s="58">
        <f t="shared" si="291"/>
        <v>1.0000000000000001E-5</v>
      </c>
      <c r="BD131" s="58">
        <f t="shared" si="291"/>
        <v>9.9999999999999995E-7</v>
      </c>
      <c r="BE131" s="58">
        <f t="shared" si="291"/>
        <v>9.9999999999999995E-7</v>
      </c>
      <c r="BF131" s="58">
        <f t="shared" si="291"/>
        <v>7.2999999999999999E-5</v>
      </c>
      <c r="BG131" s="58">
        <f t="shared" si="291"/>
        <v>3.2200000000000002E-4</v>
      </c>
      <c r="BH131" s="58">
        <f t="shared" si="291"/>
        <v>3.2600000000000001E-4</v>
      </c>
      <c r="BI131" s="58">
        <f t="shared" si="291"/>
        <v>0</v>
      </c>
      <c r="BJ131" s="58">
        <f t="shared" si="291"/>
        <v>9.9999999999999995E-7</v>
      </c>
      <c r="BK131" s="58">
        <f t="shared" si="291"/>
        <v>2.7300000000000002E-4</v>
      </c>
      <c r="BL131" s="58">
        <f t="shared" si="291"/>
        <v>6.9999999999999999E-6</v>
      </c>
      <c r="BM131" s="58">
        <f t="shared" si="291"/>
        <v>9.5599999999999993E-4</v>
      </c>
      <c r="BN131" s="58">
        <f t="shared" si="291"/>
        <v>9.5204999999999997E-4</v>
      </c>
      <c r="BO131" s="59">
        <v>0.95204999999999995</v>
      </c>
      <c r="BP131" s="59">
        <v>1.0846100000000001</v>
      </c>
      <c r="BQ131" s="58">
        <f t="shared" ref="BQ131:BR131" si="292">BQ51/1000</f>
        <v>5.0000000000000002E-5</v>
      </c>
      <c r="BR131" s="58">
        <f t="shared" si="292"/>
        <v>1.2E-5</v>
      </c>
    </row>
    <row r="132" spans="1:70" ht="15.95" customHeight="1" x14ac:dyDescent="0.25">
      <c r="A132" s="58" t="s">
        <v>78</v>
      </c>
      <c r="B132" s="58">
        <f t="shared" ref="B132:G132" si="293">B52/1000</f>
        <v>0.38039999999999996</v>
      </c>
      <c r="C132" s="58">
        <f t="shared" si="293"/>
        <v>4.47</v>
      </c>
      <c r="D132" s="58">
        <f t="shared" si="293"/>
        <v>0.18259999999999998</v>
      </c>
      <c r="E132" s="58">
        <f t="shared" si="293"/>
        <v>1.9530000000000001</v>
      </c>
      <c r="F132" s="58">
        <f t="shared" si="293"/>
        <v>24.43</v>
      </c>
      <c r="G132" s="58">
        <f t="shared" si="293"/>
        <v>68.25</v>
      </c>
      <c r="H132" s="59">
        <v>1.1901600000000001</v>
      </c>
      <c r="I132" s="59">
        <v>1.1571100000000001</v>
      </c>
      <c r="J132" s="58">
        <f t="shared" ref="J132:T132" si="294">J52/1000</f>
        <v>0.35799999999999998</v>
      </c>
      <c r="K132" s="58">
        <f t="shared" si="294"/>
        <v>7.2230000000000003E-3</v>
      </c>
      <c r="L132" s="58">
        <f t="shared" si="294"/>
        <v>1.009E-2</v>
      </c>
      <c r="M132" s="58">
        <f t="shared" si="294"/>
        <v>1.2569999999999999E-3</v>
      </c>
      <c r="N132" s="58">
        <f t="shared" si="294"/>
        <v>0.12959999999999999</v>
      </c>
      <c r="O132" s="58">
        <f t="shared" si="294"/>
        <v>0.25630000000000003</v>
      </c>
      <c r="P132" s="58">
        <f t="shared" si="294"/>
        <v>2.3499999999999999E-4</v>
      </c>
      <c r="Q132" s="58">
        <f t="shared" si="294"/>
        <v>2.111E-3</v>
      </c>
      <c r="R132" s="58">
        <f t="shared" si="294"/>
        <v>2.002E-2</v>
      </c>
      <c r="S132" s="58">
        <f t="shared" si="294"/>
        <v>3.4329999999999999E-2</v>
      </c>
      <c r="T132" s="58">
        <f t="shared" si="294"/>
        <v>8.6799999999999996E-4</v>
      </c>
      <c r="U132" s="59">
        <v>1.08382</v>
      </c>
      <c r="V132" s="59">
        <v>1.01135</v>
      </c>
      <c r="W132" s="58">
        <f t="shared" ref="W132:Z132" si="295">W52/1000</f>
        <v>7.8999999999999996E-5</v>
      </c>
      <c r="X132" s="58">
        <f t="shared" si="295"/>
        <v>4.6059999999999999E-3</v>
      </c>
      <c r="Y132" s="58">
        <f t="shared" si="295"/>
        <v>1.754E-2</v>
      </c>
      <c r="Z132" s="58">
        <f t="shared" si="295"/>
        <v>0.33169999999999999</v>
      </c>
      <c r="AA132" s="59">
        <v>1.13273</v>
      </c>
      <c r="AB132" s="59">
        <v>1.1681900000000001</v>
      </c>
      <c r="AC132" s="58">
        <f t="shared" ref="AC132:AI132" si="296">AC52/1000</f>
        <v>2.3E-5</v>
      </c>
      <c r="AD132" s="58">
        <f t="shared" si="296"/>
        <v>4.1199999999999999E-4</v>
      </c>
      <c r="AE132" s="58">
        <f t="shared" si="296"/>
        <v>9.9999999999999995E-7</v>
      </c>
      <c r="AF132" s="58">
        <f t="shared" si="296"/>
        <v>6.0000000000000002E-6</v>
      </c>
      <c r="AG132" s="58">
        <f t="shared" si="296"/>
        <v>8.4000000000000009E-5</v>
      </c>
      <c r="AH132" s="58">
        <f t="shared" si="296"/>
        <v>2.5700000000000001E-4</v>
      </c>
      <c r="AI132" s="58">
        <f t="shared" si="296"/>
        <v>1.4299999999999998E-4</v>
      </c>
      <c r="AJ132" s="59">
        <v>1.0266900000000001</v>
      </c>
      <c r="AK132" s="59">
        <v>1.1524300000000001</v>
      </c>
      <c r="AL132" s="58">
        <f t="shared" ref="AL132:BN132" si="297">AM52/1000</f>
        <v>6.3E-5</v>
      </c>
      <c r="AM132" s="58">
        <f t="shared" si="297"/>
        <v>9.9999999999999995E-7</v>
      </c>
      <c r="AN132" s="58">
        <f t="shared" si="297"/>
        <v>3.5E-4</v>
      </c>
      <c r="AO132" s="58">
        <f t="shared" si="297"/>
        <v>2.3579999999999997E-2</v>
      </c>
      <c r="AP132" s="58">
        <f t="shared" si="297"/>
        <v>2.3780000000000003E-2</v>
      </c>
      <c r="AQ132" s="58">
        <f t="shared" si="297"/>
        <v>1.4199999999999998E-4</v>
      </c>
      <c r="AR132" s="58">
        <f t="shared" si="297"/>
        <v>2.4499999999999999E-4</v>
      </c>
      <c r="AS132" s="58">
        <f t="shared" si="297"/>
        <v>3.1000000000000001E-5</v>
      </c>
      <c r="AT132" s="58">
        <f t="shared" si="297"/>
        <v>1.15E-4</v>
      </c>
      <c r="AU132" s="58">
        <f t="shared" si="297"/>
        <v>2.1999999999999999E-5</v>
      </c>
      <c r="AV132" s="58">
        <f t="shared" si="297"/>
        <v>8.9999999999999985E-6</v>
      </c>
      <c r="AW132" s="58">
        <f t="shared" si="297"/>
        <v>2.1000000000000002E-5</v>
      </c>
      <c r="AX132" s="58">
        <f t="shared" si="297"/>
        <v>3.0000000000000001E-6</v>
      </c>
      <c r="AY132" s="58">
        <f t="shared" si="297"/>
        <v>1.4E-5</v>
      </c>
      <c r="AZ132" s="58">
        <f t="shared" si="297"/>
        <v>3.0000000000000001E-6</v>
      </c>
      <c r="BA132" s="58">
        <f t="shared" si="297"/>
        <v>7.9999999999999996E-6</v>
      </c>
      <c r="BB132" s="58">
        <f t="shared" si="297"/>
        <v>9.9999999999999995E-7</v>
      </c>
      <c r="BC132" s="58">
        <f t="shared" si="297"/>
        <v>6.9999999999999999E-6</v>
      </c>
      <c r="BD132" s="58">
        <f t="shared" si="297"/>
        <v>9.9999999999999995E-7</v>
      </c>
      <c r="BE132" s="58">
        <f t="shared" si="297"/>
        <v>9.9999999999999995E-7</v>
      </c>
      <c r="BF132" s="58">
        <f t="shared" si="297"/>
        <v>5.1999999999999997E-5</v>
      </c>
      <c r="BG132" s="58">
        <f t="shared" si="297"/>
        <v>1.1400000000000001E-4</v>
      </c>
      <c r="BH132" s="58">
        <f t="shared" si="297"/>
        <v>1.1999999999999999E-4</v>
      </c>
      <c r="BI132" s="58">
        <f t="shared" si="297"/>
        <v>0</v>
      </c>
      <c r="BJ132" s="58">
        <f t="shared" si="297"/>
        <v>9.9999999999999995E-7</v>
      </c>
      <c r="BK132" s="58">
        <f t="shared" si="297"/>
        <v>1.4299999999999998E-4</v>
      </c>
      <c r="BL132" s="58">
        <f t="shared" si="297"/>
        <v>5.0000000000000004E-6</v>
      </c>
      <c r="BM132" s="58">
        <f t="shared" si="297"/>
        <v>8.5800000000000004E-4</v>
      </c>
      <c r="BN132" s="58">
        <f t="shared" si="297"/>
        <v>9.6670999999999997E-4</v>
      </c>
      <c r="BO132" s="59">
        <v>0.96670999999999996</v>
      </c>
      <c r="BP132" s="59">
        <v>1.08789</v>
      </c>
      <c r="BQ132" s="58">
        <f t="shared" ref="BQ132:BR132" si="298">BQ52/1000</f>
        <v>3.1000000000000001E-5</v>
      </c>
      <c r="BR132" s="58">
        <f t="shared" si="298"/>
        <v>1.1E-5</v>
      </c>
    </row>
    <row r="133" spans="1:70" ht="15.95" customHeight="1" x14ac:dyDescent="0.25">
      <c r="A133" s="58" t="s">
        <v>79</v>
      </c>
      <c r="B133" s="58">
        <f t="shared" ref="B133:G133" si="299">B53/1000</f>
        <v>0.53160000000000007</v>
      </c>
      <c r="C133" s="58">
        <f t="shared" si="299"/>
        <v>5.0220000000000002</v>
      </c>
      <c r="D133" s="58">
        <f t="shared" si="299"/>
        <v>0.19450000000000001</v>
      </c>
      <c r="E133" s="58">
        <f t="shared" si="299"/>
        <v>2.71</v>
      </c>
      <c r="F133" s="58">
        <f t="shared" si="299"/>
        <v>35.56</v>
      </c>
      <c r="G133" s="58">
        <f t="shared" si="299"/>
        <v>85.33</v>
      </c>
      <c r="H133" s="59">
        <v>1.20105</v>
      </c>
      <c r="I133" s="59">
        <v>1.2112700000000001</v>
      </c>
      <c r="J133" s="58">
        <f t="shared" ref="J133:T133" si="300">J53/1000</f>
        <v>0.43460000000000004</v>
      </c>
      <c r="K133" s="58">
        <f t="shared" si="300"/>
        <v>8.3040000000000006E-3</v>
      </c>
      <c r="L133" s="58">
        <f t="shared" si="300"/>
        <v>1.5009999999999999E-2</v>
      </c>
      <c r="M133" s="58">
        <f t="shared" si="300"/>
        <v>2.4089999999999997E-3</v>
      </c>
      <c r="N133" s="58">
        <f t="shared" si="300"/>
        <v>0.1447</v>
      </c>
      <c r="O133" s="58">
        <f t="shared" si="300"/>
        <v>0.36830000000000002</v>
      </c>
      <c r="P133" s="58">
        <f t="shared" si="300"/>
        <v>3.2200000000000002E-4</v>
      </c>
      <c r="Q133" s="58">
        <f t="shared" si="300"/>
        <v>3.2309999999999999E-3</v>
      </c>
      <c r="R133" s="58">
        <f t="shared" si="300"/>
        <v>2.63E-2</v>
      </c>
      <c r="S133" s="58">
        <f t="shared" si="300"/>
        <v>1.7850000000000001E-2</v>
      </c>
      <c r="T133" s="58">
        <f t="shared" si="300"/>
        <v>1.5349999999999999E-3</v>
      </c>
      <c r="U133" s="59">
        <v>1.0837300000000001</v>
      </c>
      <c r="V133" s="59">
        <v>1.03871</v>
      </c>
      <c r="W133" s="58">
        <f t="shared" ref="W133:Z133" si="301">W53/1000</f>
        <v>5.3000000000000001E-5</v>
      </c>
      <c r="X133" s="58">
        <f t="shared" si="301"/>
        <v>9.221E-3</v>
      </c>
      <c r="Y133" s="58">
        <f t="shared" si="301"/>
        <v>1.2489999999999999E-2</v>
      </c>
      <c r="Z133" s="58">
        <f t="shared" si="301"/>
        <v>0.39660000000000001</v>
      </c>
      <c r="AA133" s="59">
        <v>1.1515599999999999</v>
      </c>
      <c r="AB133" s="59">
        <v>1.2099299999999999</v>
      </c>
      <c r="AC133" s="58">
        <f t="shared" ref="AC133:AI133" si="302">AC53/1000</f>
        <v>2.9E-5</v>
      </c>
      <c r="AD133" s="58">
        <f t="shared" si="302"/>
        <v>6.9699999999999992E-4</v>
      </c>
      <c r="AE133" s="58">
        <f t="shared" si="302"/>
        <v>9.9999999999999995E-7</v>
      </c>
      <c r="AF133" s="58">
        <f t="shared" si="302"/>
        <v>6.9999999999999999E-6</v>
      </c>
      <c r="AG133" s="58">
        <f t="shared" si="302"/>
        <v>1.07E-4</v>
      </c>
      <c r="AH133" s="58">
        <f t="shared" si="302"/>
        <v>3.2200000000000002E-4</v>
      </c>
      <c r="AI133" s="58">
        <f t="shared" si="302"/>
        <v>1.34E-4</v>
      </c>
      <c r="AJ133" s="59">
        <v>1.0370699999999999</v>
      </c>
      <c r="AK133" s="59">
        <v>1.18645</v>
      </c>
      <c r="AL133" s="58">
        <f t="shared" ref="AL133:BN133" si="303">AM53/1000</f>
        <v>8.1000000000000004E-5</v>
      </c>
      <c r="AM133" s="58">
        <f t="shared" si="303"/>
        <v>9.9999999999999995E-7</v>
      </c>
      <c r="AN133" s="58">
        <f t="shared" si="303"/>
        <v>8.7999999999999998E-5</v>
      </c>
      <c r="AO133" s="58">
        <f t="shared" si="303"/>
        <v>4.1079999999999998E-2</v>
      </c>
      <c r="AP133" s="58">
        <f t="shared" si="303"/>
        <v>4.0899999999999999E-2</v>
      </c>
      <c r="AQ133" s="58">
        <f t="shared" si="303"/>
        <v>1.7699999999999999E-4</v>
      </c>
      <c r="AR133" s="58">
        <f t="shared" si="303"/>
        <v>3.0199999999999997E-4</v>
      </c>
      <c r="AS133" s="58">
        <f t="shared" si="303"/>
        <v>4.0000000000000003E-5</v>
      </c>
      <c r="AT133" s="58">
        <f t="shared" si="303"/>
        <v>1.4399999999999998E-4</v>
      </c>
      <c r="AU133" s="58">
        <f t="shared" si="303"/>
        <v>2.6999999999999999E-5</v>
      </c>
      <c r="AV133" s="58">
        <f t="shared" si="303"/>
        <v>1.2E-5</v>
      </c>
      <c r="AW133" s="58">
        <f t="shared" si="303"/>
        <v>2.5999999999999998E-5</v>
      </c>
      <c r="AX133" s="58">
        <f t="shared" si="303"/>
        <v>3.9999999999999998E-6</v>
      </c>
      <c r="AY133" s="58">
        <f t="shared" si="303"/>
        <v>1.9000000000000001E-5</v>
      </c>
      <c r="AZ133" s="58">
        <f t="shared" si="303"/>
        <v>3.0000000000000001E-6</v>
      </c>
      <c r="BA133" s="58">
        <f t="shared" si="303"/>
        <v>1.0000000000000001E-5</v>
      </c>
      <c r="BB133" s="58">
        <f t="shared" si="303"/>
        <v>9.9999999999999995E-7</v>
      </c>
      <c r="BC133" s="58">
        <f t="shared" si="303"/>
        <v>7.9999999999999996E-6</v>
      </c>
      <c r="BD133" s="58">
        <f t="shared" si="303"/>
        <v>9.9999999999999995E-7</v>
      </c>
      <c r="BE133" s="58">
        <f t="shared" si="303"/>
        <v>9.9999999999999995E-7</v>
      </c>
      <c r="BF133" s="58">
        <f t="shared" si="303"/>
        <v>1.1400000000000001E-4</v>
      </c>
      <c r="BG133" s="58">
        <f t="shared" si="303"/>
        <v>3.2299999999999999E-4</v>
      </c>
      <c r="BH133" s="58">
        <f t="shared" si="303"/>
        <v>3.2600000000000001E-4</v>
      </c>
      <c r="BI133" s="58">
        <f t="shared" si="303"/>
        <v>0</v>
      </c>
      <c r="BJ133" s="58">
        <f t="shared" si="303"/>
        <v>0</v>
      </c>
      <c r="BK133" s="58">
        <f t="shared" si="303"/>
        <v>1.8900000000000001E-4</v>
      </c>
      <c r="BL133" s="58">
        <f t="shared" si="303"/>
        <v>3.9999999999999998E-6</v>
      </c>
      <c r="BM133" s="58">
        <f t="shared" si="303"/>
        <v>6.4300000000000002E-4</v>
      </c>
      <c r="BN133" s="58">
        <f t="shared" si="303"/>
        <v>9.6356000000000002E-4</v>
      </c>
      <c r="BO133" s="59">
        <v>0.96355999999999997</v>
      </c>
      <c r="BP133" s="59">
        <v>1.1050199999999999</v>
      </c>
      <c r="BQ133" s="58">
        <f t="shared" ref="BQ133:BR133" si="304">BQ53/1000</f>
        <v>3.8000000000000002E-5</v>
      </c>
      <c r="BR133" s="58">
        <f t="shared" si="304"/>
        <v>8.9999999999999985E-6</v>
      </c>
    </row>
    <row r="134" spans="1:70" ht="15.95" customHeight="1" x14ac:dyDescent="0.25">
      <c r="A134" s="58" t="s">
        <v>80</v>
      </c>
      <c r="B134" s="58">
        <f t="shared" ref="B134:G134" si="305">B54/1000</f>
        <v>0.49669999999999997</v>
      </c>
      <c r="C134" s="58">
        <f t="shared" si="305"/>
        <v>6.7489999999999997</v>
      </c>
      <c r="D134" s="58">
        <f t="shared" si="305"/>
        <v>0.17830000000000001</v>
      </c>
      <c r="E134" s="58">
        <f t="shared" si="305"/>
        <v>3.411</v>
      </c>
      <c r="F134" s="58">
        <f t="shared" si="305"/>
        <v>34.369999999999997</v>
      </c>
      <c r="G134" s="58">
        <f t="shared" si="305"/>
        <v>74.91</v>
      </c>
      <c r="H134" s="59">
        <v>1.2035800000000001</v>
      </c>
      <c r="I134" s="59">
        <v>1.2058599999999999</v>
      </c>
      <c r="J134" s="58">
        <f t="shared" ref="J134:T134" si="306">J54/1000</f>
        <v>0.39139999999999997</v>
      </c>
      <c r="K134" s="58">
        <f t="shared" si="306"/>
        <v>7.1029999999999999E-3</v>
      </c>
      <c r="L134" s="58">
        <f t="shared" si="306"/>
        <v>1.5880000000000002E-2</v>
      </c>
      <c r="M134" s="58">
        <f t="shared" si="306"/>
        <v>2.2400000000000002E-3</v>
      </c>
      <c r="N134" s="58">
        <f t="shared" si="306"/>
        <v>0.1782</v>
      </c>
      <c r="O134" s="58">
        <f t="shared" si="306"/>
        <v>0.36160000000000003</v>
      </c>
      <c r="P134" s="58">
        <f t="shared" si="306"/>
        <v>3.2499999999999999E-4</v>
      </c>
      <c r="Q134" s="58">
        <f t="shared" si="306"/>
        <v>5.0049999999999999E-3</v>
      </c>
      <c r="R134" s="58">
        <f t="shared" si="306"/>
        <v>1.9530000000000002E-2</v>
      </c>
      <c r="S134" s="58">
        <f t="shared" si="306"/>
        <v>3.3280000000000004E-2</v>
      </c>
      <c r="T134" s="58">
        <f t="shared" si="306"/>
        <v>1.673E-3</v>
      </c>
      <c r="U134" s="59">
        <v>1.0789800000000001</v>
      </c>
      <c r="V134" s="59">
        <v>1.03308</v>
      </c>
      <c r="W134" s="58">
        <f t="shared" ref="W134:Z134" si="307">W54/1000</f>
        <v>1.4099999999999998E-4</v>
      </c>
      <c r="X134" s="58">
        <f t="shared" si="307"/>
        <v>8.5630000000000012E-3</v>
      </c>
      <c r="Y134" s="58">
        <f t="shared" si="307"/>
        <v>1.959E-2</v>
      </c>
      <c r="Z134" s="58">
        <f t="shared" si="307"/>
        <v>0.32239999999999996</v>
      </c>
      <c r="AA134" s="59">
        <v>1.1488799999999999</v>
      </c>
      <c r="AB134" s="59">
        <v>1.21438</v>
      </c>
      <c r="AC134" s="58">
        <f t="shared" ref="AC134:AI134" si="308">AC54/1000</f>
        <v>1.9000000000000001E-5</v>
      </c>
      <c r="AD134" s="58">
        <f t="shared" si="308"/>
        <v>1.2600000000000001E-3</v>
      </c>
      <c r="AE134" s="58">
        <f t="shared" si="308"/>
        <v>9.9999999999999995E-7</v>
      </c>
      <c r="AF134" s="58">
        <f t="shared" si="308"/>
        <v>6.0000000000000002E-6</v>
      </c>
      <c r="AG134" s="58">
        <f t="shared" si="308"/>
        <v>8.8999999999999995E-5</v>
      </c>
      <c r="AH134" s="58">
        <f t="shared" si="308"/>
        <v>1.6700000000000002E-4</v>
      </c>
      <c r="AI134" s="58">
        <f t="shared" si="308"/>
        <v>1.03E-4</v>
      </c>
      <c r="AJ134" s="59">
        <v>1.03546</v>
      </c>
      <c r="AK134" s="59">
        <v>1.1892799999999999</v>
      </c>
      <c r="AL134" s="58">
        <f t="shared" ref="AL134:BN134" si="309">AM54/1000</f>
        <v>4.6E-5</v>
      </c>
      <c r="AM134" s="58">
        <f t="shared" si="309"/>
        <v>3.0000000000000001E-6</v>
      </c>
      <c r="AN134" s="58">
        <f t="shared" si="309"/>
        <v>2.5099999999999998E-4</v>
      </c>
      <c r="AO134" s="58">
        <f t="shared" si="309"/>
        <v>4.4969999999999996E-2</v>
      </c>
      <c r="AP134" s="58">
        <f t="shared" si="309"/>
        <v>4.4850000000000001E-2</v>
      </c>
      <c r="AQ134" s="58">
        <f t="shared" si="309"/>
        <v>1.6800000000000002E-4</v>
      </c>
      <c r="AR134" s="58">
        <f t="shared" si="309"/>
        <v>2.9700000000000001E-4</v>
      </c>
      <c r="AS134" s="58">
        <f t="shared" si="309"/>
        <v>3.6999999999999998E-5</v>
      </c>
      <c r="AT134" s="58">
        <f t="shared" si="309"/>
        <v>1.4199999999999998E-4</v>
      </c>
      <c r="AU134" s="58">
        <f t="shared" si="309"/>
        <v>2.9E-5</v>
      </c>
      <c r="AV134" s="58">
        <f t="shared" si="309"/>
        <v>1.2E-5</v>
      </c>
      <c r="AW134" s="58">
        <f t="shared" si="309"/>
        <v>2.4000000000000001E-5</v>
      </c>
      <c r="AX134" s="58">
        <f t="shared" si="309"/>
        <v>3.0000000000000001E-6</v>
      </c>
      <c r="AY134" s="58">
        <f t="shared" si="309"/>
        <v>1.5999999999999999E-5</v>
      </c>
      <c r="AZ134" s="58">
        <f t="shared" si="309"/>
        <v>3.0000000000000001E-6</v>
      </c>
      <c r="BA134" s="58">
        <f t="shared" si="309"/>
        <v>7.9999999999999996E-6</v>
      </c>
      <c r="BB134" s="58">
        <f t="shared" si="309"/>
        <v>9.9999999999999995E-7</v>
      </c>
      <c r="BC134" s="58">
        <f t="shared" si="309"/>
        <v>6.9999999999999999E-6</v>
      </c>
      <c r="BD134" s="58">
        <f t="shared" si="309"/>
        <v>9.9999999999999995E-7</v>
      </c>
      <c r="BE134" s="58">
        <f t="shared" si="309"/>
        <v>0</v>
      </c>
      <c r="BF134" s="58">
        <f t="shared" si="309"/>
        <v>1.2799999999999999E-4</v>
      </c>
      <c r="BG134" s="58">
        <f t="shared" si="309"/>
        <v>4.7199999999999998E-4</v>
      </c>
      <c r="BH134" s="58">
        <f t="shared" si="309"/>
        <v>4.8099999999999998E-4</v>
      </c>
      <c r="BI134" s="58">
        <f t="shared" si="309"/>
        <v>0</v>
      </c>
      <c r="BJ134" s="58">
        <f t="shared" si="309"/>
        <v>0</v>
      </c>
      <c r="BK134" s="58">
        <f t="shared" si="309"/>
        <v>1.2899999999999999E-4</v>
      </c>
      <c r="BL134" s="58">
        <f t="shared" si="309"/>
        <v>3.0000000000000001E-6</v>
      </c>
      <c r="BM134" s="58">
        <f t="shared" si="309"/>
        <v>1.3129999999999999E-3</v>
      </c>
      <c r="BN134" s="58">
        <f t="shared" si="309"/>
        <v>9.6639000000000002E-4</v>
      </c>
      <c r="BO134" s="59">
        <v>0.96638999999999997</v>
      </c>
      <c r="BP134" s="59">
        <v>1.10626</v>
      </c>
      <c r="BQ134" s="58">
        <f t="shared" ref="BQ134:BR134" si="310">BQ54/1000</f>
        <v>4.2000000000000004E-5</v>
      </c>
      <c r="BR134" s="58">
        <f t="shared" si="310"/>
        <v>8.9999999999999985E-6</v>
      </c>
    </row>
    <row r="135" spans="1:70" ht="15.95" customHeight="1" x14ac:dyDescent="0.25">
      <c r="A135" s="58" t="s">
        <v>81</v>
      </c>
      <c r="B135" s="58">
        <f t="shared" ref="B135:G135" si="311">B55/1000</f>
        <v>0.30960000000000004</v>
      </c>
      <c r="C135" s="58">
        <f t="shared" si="311"/>
        <v>3.573</v>
      </c>
      <c r="D135" s="58">
        <f t="shared" si="311"/>
        <v>0.185</v>
      </c>
      <c r="E135" s="58">
        <f t="shared" si="311"/>
        <v>2.6789999999999998</v>
      </c>
      <c r="F135" s="58">
        <f t="shared" si="311"/>
        <v>50.89</v>
      </c>
      <c r="G135" s="58">
        <f t="shared" si="311"/>
        <v>54.09</v>
      </c>
      <c r="H135" s="59">
        <v>1.1550800000000001</v>
      </c>
      <c r="I135" s="59">
        <v>1.1799500000000001</v>
      </c>
      <c r="J135" s="58">
        <f t="shared" ref="J135:T135" si="312">J55/1000</f>
        <v>0.2843</v>
      </c>
      <c r="K135" s="58">
        <f t="shared" si="312"/>
        <v>8.2179999999999996E-3</v>
      </c>
      <c r="L135" s="58">
        <f t="shared" si="312"/>
        <v>1.83E-2</v>
      </c>
      <c r="M135" s="58">
        <f t="shared" si="312"/>
        <v>2.794E-3</v>
      </c>
      <c r="N135" s="58">
        <f t="shared" si="312"/>
        <v>0.1082</v>
      </c>
      <c r="O135" s="58">
        <f t="shared" si="312"/>
        <v>0.34920000000000001</v>
      </c>
      <c r="P135" s="58">
        <f t="shared" si="312"/>
        <v>2.9700000000000001E-4</v>
      </c>
      <c r="Q135" s="58">
        <f t="shared" si="312"/>
        <v>2.4989999999999999E-3</v>
      </c>
      <c r="R135" s="58">
        <f t="shared" si="312"/>
        <v>3.0640000000000001E-2</v>
      </c>
      <c r="S135" s="58">
        <f t="shared" si="312"/>
        <v>3.4549999999999997E-2</v>
      </c>
      <c r="T135" s="58">
        <f t="shared" si="312"/>
        <v>7.3999999999999999E-4</v>
      </c>
      <c r="U135" s="59">
        <v>1.04115</v>
      </c>
      <c r="V135" s="59">
        <v>1.0056499999999999</v>
      </c>
      <c r="W135" s="58">
        <f t="shared" ref="W135:Z135" si="313">W55/1000</f>
        <v>1.4899999999999999E-4</v>
      </c>
      <c r="X135" s="58">
        <f t="shared" si="313"/>
        <v>8.9610000000000002E-3</v>
      </c>
      <c r="Y135" s="58">
        <f t="shared" si="313"/>
        <v>5.1549999999999999E-2</v>
      </c>
      <c r="Z135" s="58">
        <f t="shared" si="313"/>
        <v>0.18090000000000001</v>
      </c>
      <c r="AA135" s="59">
        <v>1.1175600000000001</v>
      </c>
      <c r="AB135" s="59">
        <v>1.19299</v>
      </c>
      <c r="AC135" s="58">
        <f t="shared" ref="AC135:AI135" si="314">AC55/1000</f>
        <v>2.3E-5</v>
      </c>
      <c r="AD135" s="58">
        <f t="shared" si="314"/>
        <v>8.3699999999999996E-4</v>
      </c>
      <c r="AE135" s="58">
        <f t="shared" si="314"/>
        <v>9.9999999999999995E-7</v>
      </c>
      <c r="AF135" s="58">
        <f t="shared" si="314"/>
        <v>3.0000000000000001E-6</v>
      </c>
      <c r="AG135" s="58">
        <f t="shared" si="314"/>
        <v>5.3999999999999998E-5</v>
      </c>
      <c r="AH135" s="58">
        <f t="shared" si="314"/>
        <v>1.18E-4</v>
      </c>
      <c r="AI135" s="58">
        <f t="shared" si="314"/>
        <v>9.1000000000000003E-5</v>
      </c>
      <c r="AJ135" s="59">
        <v>1.0085999999999999</v>
      </c>
      <c r="AK135" s="59">
        <v>1.1757899999999999</v>
      </c>
      <c r="AL135" s="58">
        <f t="shared" ref="AL135:BN135" si="315">AM55/1000</f>
        <v>8.9999999999999992E-5</v>
      </c>
      <c r="AM135" s="58">
        <f t="shared" si="315"/>
        <v>0</v>
      </c>
      <c r="AN135" s="58">
        <f t="shared" si="315"/>
        <v>3.3800000000000003E-4</v>
      </c>
      <c r="AO135" s="58">
        <f t="shared" si="315"/>
        <v>1.9210000000000001E-2</v>
      </c>
      <c r="AP135" s="58">
        <f t="shared" si="315"/>
        <v>1.934E-2</v>
      </c>
      <c r="AQ135" s="58">
        <f t="shared" si="315"/>
        <v>1.8900000000000001E-4</v>
      </c>
      <c r="AR135" s="58">
        <f t="shared" si="315"/>
        <v>3.4899999999999997E-4</v>
      </c>
      <c r="AS135" s="58">
        <f t="shared" si="315"/>
        <v>4.3999999999999999E-5</v>
      </c>
      <c r="AT135" s="58">
        <f t="shared" si="315"/>
        <v>1.64E-4</v>
      </c>
      <c r="AU135" s="58">
        <f t="shared" si="315"/>
        <v>2.9999999999999997E-5</v>
      </c>
      <c r="AV135" s="58">
        <f t="shared" si="315"/>
        <v>1.1E-5</v>
      </c>
      <c r="AW135" s="58">
        <f t="shared" si="315"/>
        <v>2.8E-5</v>
      </c>
      <c r="AX135" s="58">
        <f t="shared" si="315"/>
        <v>5.0000000000000004E-6</v>
      </c>
      <c r="AY135" s="58">
        <f t="shared" si="315"/>
        <v>2.1000000000000002E-5</v>
      </c>
      <c r="AZ135" s="58">
        <f t="shared" si="315"/>
        <v>3.9999999999999998E-6</v>
      </c>
      <c r="BA135" s="58">
        <f t="shared" si="315"/>
        <v>1.2E-5</v>
      </c>
      <c r="BB135" s="58">
        <f t="shared" si="315"/>
        <v>1.9999999999999999E-6</v>
      </c>
      <c r="BC135" s="58">
        <f t="shared" si="315"/>
        <v>1.1E-5</v>
      </c>
      <c r="BD135" s="58">
        <f t="shared" si="315"/>
        <v>9.9999999999999995E-7</v>
      </c>
      <c r="BE135" s="58">
        <f t="shared" si="315"/>
        <v>0</v>
      </c>
      <c r="BF135" s="58">
        <f t="shared" si="315"/>
        <v>7.7999999999999999E-5</v>
      </c>
      <c r="BG135" s="58">
        <f t="shared" si="315"/>
        <v>9.9000000000000008E-5</v>
      </c>
      <c r="BH135" s="58">
        <f t="shared" si="315"/>
        <v>1.02E-4</v>
      </c>
      <c r="BI135" s="58">
        <f t="shared" si="315"/>
        <v>0</v>
      </c>
      <c r="BJ135" s="58">
        <f t="shared" si="315"/>
        <v>0</v>
      </c>
      <c r="BK135" s="58">
        <f t="shared" si="315"/>
        <v>1.6700000000000002E-4</v>
      </c>
      <c r="BL135" s="58">
        <f t="shared" si="315"/>
        <v>6.9999999999999999E-6</v>
      </c>
      <c r="BM135" s="58">
        <f t="shared" si="315"/>
        <v>8.0169999999999998E-3</v>
      </c>
      <c r="BN135" s="58">
        <f t="shared" si="315"/>
        <v>9.4887999999999993E-4</v>
      </c>
      <c r="BO135" s="59">
        <v>0.94887999999999995</v>
      </c>
      <c r="BP135" s="59">
        <v>1.09459</v>
      </c>
      <c r="BQ135" s="58">
        <f t="shared" ref="BQ135:BR135" si="316">BQ55/1000</f>
        <v>4.6999999999999997E-5</v>
      </c>
      <c r="BR135" s="58">
        <f t="shared" si="316"/>
        <v>1.1E-5</v>
      </c>
    </row>
    <row r="136" spans="1:70" ht="15.95" customHeight="1" x14ac:dyDescent="0.25">
      <c r="A136" s="58" t="s">
        <v>82</v>
      </c>
      <c r="B136" s="58">
        <f t="shared" ref="B136:G136" si="317">B56/1000</f>
        <v>0.55359999999999998</v>
      </c>
      <c r="C136" s="58">
        <f t="shared" si="317"/>
        <v>6.6630000000000003</v>
      </c>
      <c r="D136" s="58">
        <f t="shared" si="317"/>
        <v>0.1293</v>
      </c>
      <c r="E136" s="58">
        <f t="shared" si="317"/>
        <v>3.8420000000000001</v>
      </c>
      <c r="F136" s="58">
        <f t="shared" si="317"/>
        <v>45.83</v>
      </c>
      <c r="G136" s="58">
        <f t="shared" si="317"/>
        <v>66.23</v>
      </c>
      <c r="H136" s="59">
        <v>1.1294900000000001</v>
      </c>
      <c r="I136" s="59">
        <v>1.1319399999999999</v>
      </c>
      <c r="J136" s="58">
        <f t="shared" ref="J136:T136" si="318">J56/1000</f>
        <v>0.34410000000000002</v>
      </c>
      <c r="K136" s="58">
        <f t="shared" si="318"/>
        <v>6.0090000000000005E-3</v>
      </c>
      <c r="L136" s="58">
        <f t="shared" si="318"/>
        <v>1.5980000000000001E-2</v>
      </c>
      <c r="M136" s="58">
        <f t="shared" si="318"/>
        <v>2.8210000000000002E-3</v>
      </c>
      <c r="N136" s="58">
        <f t="shared" si="318"/>
        <v>0.14959999999999998</v>
      </c>
      <c r="O136" s="58">
        <f t="shared" si="318"/>
        <v>1.0940000000000001</v>
      </c>
      <c r="P136" s="58">
        <f t="shared" si="318"/>
        <v>3.86E-4</v>
      </c>
      <c r="Q136" s="58">
        <f t="shared" si="318"/>
        <v>2.8170000000000001E-3</v>
      </c>
      <c r="R136" s="58">
        <f t="shared" si="318"/>
        <v>1.41E-2</v>
      </c>
      <c r="S136" s="58">
        <f t="shared" si="318"/>
        <v>1.489E-2</v>
      </c>
      <c r="T136" s="58">
        <f t="shared" si="318"/>
        <v>1.678E-3</v>
      </c>
      <c r="U136" s="59">
        <v>1.00545</v>
      </c>
      <c r="V136" s="59">
        <v>0.96901999999999999</v>
      </c>
      <c r="W136" s="58">
        <f t="shared" ref="W136:Z136" si="319">W56/1000</f>
        <v>1.16E-4</v>
      </c>
      <c r="X136" s="58">
        <f t="shared" si="319"/>
        <v>3.1269999999999999E-2</v>
      </c>
      <c r="Y136" s="58">
        <f t="shared" si="319"/>
        <v>1.6309999999999998E-2</v>
      </c>
      <c r="Z136" s="58">
        <f t="shared" si="319"/>
        <v>0.3634</v>
      </c>
      <c r="AA136" s="59">
        <v>1.07853</v>
      </c>
      <c r="AB136" s="59">
        <v>1.1524700000000001</v>
      </c>
      <c r="AC136" s="58">
        <f t="shared" ref="AC136:AI136" si="320">AC56/1000</f>
        <v>1.5999999999999999E-5</v>
      </c>
      <c r="AD136" s="58">
        <f t="shared" si="320"/>
        <v>1.163E-3</v>
      </c>
      <c r="AE136" s="58">
        <f t="shared" si="320"/>
        <v>1.9999999999999999E-6</v>
      </c>
      <c r="AF136" s="58">
        <f t="shared" si="320"/>
        <v>6.9999999999999999E-6</v>
      </c>
      <c r="AG136" s="58">
        <f t="shared" si="320"/>
        <v>9.9000000000000008E-5</v>
      </c>
      <c r="AH136" s="58">
        <f t="shared" si="320"/>
        <v>2.2109999999999999E-3</v>
      </c>
      <c r="AI136" s="58">
        <f t="shared" si="320"/>
        <v>1.36E-4</v>
      </c>
      <c r="AJ136" s="59">
        <v>0.97921999999999998</v>
      </c>
      <c r="AK136" s="59">
        <v>1.1398600000000001</v>
      </c>
      <c r="AL136" s="58">
        <f t="shared" ref="AL136:BN136" si="321">AM56/1000</f>
        <v>3.1999999999999999E-5</v>
      </c>
      <c r="AM136" s="58">
        <f t="shared" si="321"/>
        <v>1.9999999999999999E-6</v>
      </c>
      <c r="AN136" s="58">
        <f t="shared" si="321"/>
        <v>1.56E-4</v>
      </c>
      <c r="AO136" s="58">
        <f t="shared" si="321"/>
        <v>4.589E-2</v>
      </c>
      <c r="AP136" s="58">
        <f t="shared" si="321"/>
        <v>4.5539999999999997E-2</v>
      </c>
      <c r="AQ136" s="58">
        <f t="shared" si="321"/>
        <v>1.2899999999999999E-4</v>
      </c>
      <c r="AR136" s="58">
        <f t="shared" si="321"/>
        <v>2.12E-4</v>
      </c>
      <c r="AS136" s="58">
        <f t="shared" si="321"/>
        <v>2.9E-5</v>
      </c>
      <c r="AT136" s="58">
        <f t="shared" si="321"/>
        <v>1.08E-4</v>
      </c>
      <c r="AU136" s="58">
        <f t="shared" si="321"/>
        <v>2.1000000000000002E-5</v>
      </c>
      <c r="AV136" s="58">
        <f t="shared" si="321"/>
        <v>1.1E-5</v>
      </c>
      <c r="AW136" s="58">
        <f t="shared" si="321"/>
        <v>1.9000000000000001E-5</v>
      </c>
      <c r="AX136" s="58">
        <f t="shared" si="321"/>
        <v>3.0000000000000001E-6</v>
      </c>
      <c r="AY136" s="58">
        <f t="shared" si="321"/>
        <v>1.2E-5</v>
      </c>
      <c r="AZ136" s="58">
        <f t="shared" si="321"/>
        <v>1.9999999999999999E-6</v>
      </c>
      <c r="BA136" s="58">
        <f t="shared" si="321"/>
        <v>6.0000000000000002E-6</v>
      </c>
      <c r="BB136" s="58">
        <f t="shared" si="321"/>
        <v>9.9999999999999995E-7</v>
      </c>
      <c r="BC136" s="58">
        <f t="shared" si="321"/>
        <v>5.0000000000000004E-6</v>
      </c>
      <c r="BD136" s="58">
        <f t="shared" si="321"/>
        <v>9.9999999999999995E-7</v>
      </c>
      <c r="BE136" s="58">
        <f t="shared" si="321"/>
        <v>9.9999999999999995E-7</v>
      </c>
      <c r="BF136" s="58">
        <f t="shared" si="321"/>
        <v>2.0899999999999998E-4</v>
      </c>
      <c r="BG136" s="58">
        <f t="shared" si="321"/>
        <v>2.9099999999999997E-4</v>
      </c>
      <c r="BH136" s="58">
        <f t="shared" si="321"/>
        <v>2.9299999999999997E-4</v>
      </c>
      <c r="BI136" s="58">
        <f t="shared" si="321"/>
        <v>0</v>
      </c>
      <c r="BJ136" s="58">
        <f t="shared" si="321"/>
        <v>1.9999999999999999E-6</v>
      </c>
      <c r="BK136" s="58">
        <f t="shared" si="321"/>
        <v>1.129E-3</v>
      </c>
      <c r="BL136" s="58">
        <f t="shared" si="321"/>
        <v>3.9999999999999998E-6</v>
      </c>
      <c r="BM136" s="58">
        <f t="shared" si="321"/>
        <v>9.320000000000001E-4</v>
      </c>
      <c r="BN136" s="58">
        <f t="shared" si="321"/>
        <v>9.3237000000000007E-4</v>
      </c>
      <c r="BO136" s="59">
        <v>0.93237000000000003</v>
      </c>
      <c r="BP136" s="59">
        <v>1.0738799999999999</v>
      </c>
      <c r="BQ136" s="58">
        <f t="shared" ref="BQ136:BR136" si="322">BQ56/1000</f>
        <v>3.5999999999999994E-5</v>
      </c>
      <c r="BR136" s="58">
        <f t="shared" si="322"/>
        <v>8.9999999999999985E-6</v>
      </c>
    </row>
    <row r="137" spans="1:70" ht="15.95" customHeight="1" x14ac:dyDescent="0.25">
      <c r="A137" s="58" t="s">
        <v>83</v>
      </c>
      <c r="B137" s="58">
        <f t="shared" ref="B137:G137" si="323">B57/1000</f>
        <v>0.52479999999999993</v>
      </c>
      <c r="C137" s="58">
        <f t="shared" si="323"/>
        <v>5.2629999999999999</v>
      </c>
      <c r="D137" s="58">
        <f t="shared" si="323"/>
        <v>0.24330000000000002</v>
      </c>
      <c r="E137" s="58">
        <f t="shared" si="323"/>
        <v>3.5</v>
      </c>
      <c r="F137" s="58">
        <f t="shared" si="323"/>
        <v>51.23</v>
      </c>
      <c r="G137" s="58">
        <f t="shared" si="323"/>
        <v>49.52</v>
      </c>
      <c r="H137" s="59">
        <v>1.0860700000000001</v>
      </c>
      <c r="I137" s="59">
        <v>1.0976900000000001</v>
      </c>
      <c r="J137" s="58">
        <f t="shared" ref="J137:T137" si="324">J57/1000</f>
        <v>0.26689999999999997</v>
      </c>
      <c r="K137" s="58">
        <f t="shared" si="324"/>
        <v>8.9559999999999987E-3</v>
      </c>
      <c r="L137" s="58">
        <f t="shared" si="324"/>
        <v>1.9179999999999999E-2</v>
      </c>
      <c r="M137" s="58">
        <f t="shared" si="324"/>
        <v>2.7049999999999999E-3</v>
      </c>
      <c r="N137" s="58">
        <f t="shared" si="324"/>
        <v>0.13059999999999999</v>
      </c>
      <c r="O137" s="58">
        <f t="shared" si="324"/>
        <v>0.36760000000000004</v>
      </c>
      <c r="P137" s="58">
        <f t="shared" si="324"/>
        <v>4.9700000000000005E-4</v>
      </c>
      <c r="Q137" s="58">
        <f t="shared" si="324"/>
        <v>2.1559999999999999E-3</v>
      </c>
      <c r="R137" s="58">
        <f t="shared" si="324"/>
        <v>1.7389999999999999E-2</v>
      </c>
      <c r="S137" s="58">
        <f t="shared" si="324"/>
        <v>1.285E-2</v>
      </c>
      <c r="T137" s="58">
        <f t="shared" si="324"/>
        <v>9.5999999999999992E-4</v>
      </c>
      <c r="U137" s="59">
        <v>0.97804999999999997</v>
      </c>
      <c r="V137" s="59">
        <v>0.94479999999999997</v>
      </c>
      <c r="W137" s="58">
        <f t="shared" ref="W137:Z137" si="325">W57/1000</f>
        <v>5.0000000000000002E-5</v>
      </c>
      <c r="X137" s="58">
        <f t="shared" si="325"/>
        <v>3.3430000000000001E-2</v>
      </c>
      <c r="Y137" s="58">
        <f t="shared" si="325"/>
        <v>1.6390000000000002E-2</v>
      </c>
      <c r="Z137" s="58">
        <f t="shared" si="325"/>
        <v>0.25109999999999999</v>
      </c>
      <c r="AA137" s="59">
        <v>1.04121</v>
      </c>
      <c r="AB137" s="59">
        <v>1.1269100000000001</v>
      </c>
      <c r="AC137" s="58">
        <f t="shared" ref="AC137:AI137" si="326">AC57/1000</f>
        <v>2.1000000000000002E-5</v>
      </c>
      <c r="AD137" s="58">
        <f t="shared" si="326"/>
        <v>1.382E-3</v>
      </c>
      <c r="AE137" s="58">
        <f t="shared" si="326"/>
        <v>0</v>
      </c>
      <c r="AF137" s="58">
        <f t="shared" si="326"/>
        <v>3.9999999999999998E-6</v>
      </c>
      <c r="AG137" s="58">
        <f t="shared" si="326"/>
        <v>6.900000000000001E-5</v>
      </c>
      <c r="AH137" s="58">
        <f t="shared" si="326"/>
        <v>3.3300000000000002E-4</v>
      </c>
      <c r="AI137" s="58">
        <f t="shared" si="326"/>
        <v>7.1999999999999988E-5</v>
      </c>
      <c r="AJ137" s="59">
        <v>0.94806000000000001</v>
      </c>
      <c r="AK137" s="59">
        <v>1.1134999999999999</v>
      </c>
      <c r="AL137" s="58">
        <f t="shared" ref="AL137:BN137" si="327">AM57/1000</f>
        <v>2.4000000000000001E-5</v>
      </c>
      <c r="AM137" s="58">
        <f t="shared" si="327"/>
        <v>9.9999999999999995E-7</v>
      </c>
      <c r="AN137" s="58">
        <f t="shared" si="327"/>
        <v>1.26E-4</v>
      </c>
      <c r="AO137" s="58">
        <f t="shared" si="327"/>
        <v>2.537E-2</v>
      </c>
      <c r="AP137" s="58">
        <f t="shared" si="327"/>
        <v>2.5409999999999999E-2</v>
      </c>
      <c r="AQ137" s="58">
        <f t="shared" si="327"/>
        <v>1.9700000000000002E-4</v>
      </c>
      <c r="AR137" s="58">
        <f t="shared" si="327"/>
        <v>3.6400000000000001E-4</v>
      </c>
      <c r="AS137" s="58">
        <f t="shared" si="327"/>
        <v>4.6999999999999997E-5</v>
      </c>
      <c r="AT137" s="58">
        <f t="shared" si="327"/>
        <v>1.8099999999999998E-4</v>
      </c>
      <c r="AU137" s="58">
        <f t="shared" si="327"/>
        <v>3.6999999999999998E-5</v>
      </c>
      <c r="AV137" s="58">
        <f t="shared" si="327"/>
        <v>1.1E-5</v>
      </c>
      <c r="AW137" s="58">
        <f t="shared" si="327"/>
        <v>3.4E-5</v>
      </c>
      <c r="AX137" s="58">
        <f t="shared" si="327"/>
        <v>3.9999999999999998E-6</v>
      </c>
      <c r="AY137" s="58">
        <f t="shared" si="327"/>
        <v>2.3E-5</v>
      </c>
      <c r="AZ137" s="58">
        <f t="shared" si="327"/>
        <v>3.9999999999999998E-6</v>
      </c>
      <c r="BA137" s="58">
        <f t="shared" si="327"/>
        <v>1.2E-5</v>
      </c>
      <c r="BB137" s="58">
        <f t="shared" si="327"/>
        <v>1.9999999999999999E-6</v>
      </c>
      <c r="BC137" s="58">
        <f t="shared" si="327"/>
        <v>8.9999999999999985E-6</v>
      </c>
      <c r="BD137" s="58">
        <f t="shared" si="327"/>
        <v>9.9999999999999995E-7</v>
      </c>
      <c r="BE137" s="58">
        <f t="shared" si="327"/>
        <v>9.9999999999999995E-7</v>
      </c>
      <c r="BF137" s="58">
        <f t="shared" si="327"/>
        <v>9.5000000000000005E-5</v>
      </c>
      <c r="BG137" s="58">
        <f t="shared" si="327"/>
        <v>5.1800000000000001E-4</v>
      </c>
      <c r="BH137" s="58">
        <f t="shared" si="327"/>
        <v>5.2599999999999999E-4</v>
      </c>
      <c r="BI137" s="58">
        <f t="shared" si="327"/>
        <v>0</v>
      </c>
      <c r="BJ137" s="58">
        <f t="shared" si="327"/>
        <v>0</v>
      </c>
      <c r="BK137" s="58">
        <f t="shared" si="327"/>
        <v>2.0100000000000001E-4</v>
      </c>
      <c r="BL137" s="58">
        <f t="shared" si="327"/>
        <v>5.0000000000000004E-6</v>
      </c>
      <c r="BM137" s="58">
        <f t="shared" si="327"/>
        <v>1.3990000000000001E-3</v>
      </c>
      <c r="BN137" s="58">
        <f t="shared" si="327"/>
        <v>9.1025999999999998E-4</v>
      </c>
      <c r="BO137" s="59">
        <v>0.91025999999999996</v>
      </c>
      <c r="BP137" s="59">
        <v>1.05341</v>
      </c>
      <c r="BQ137" s="58">
        <f t="shared" ref="BQ137:BR137" si="328">BQ57/1000</f>
        <v>5.8E-5</v>
      </c>
      <c r="BR137" s="58">
        <f t="shared" si="328"/>
        <v>1.2E-5</v>
      </c>
    </row>
    <row r="138" spans="1:70" ht="15.95" customHeight="1" x14ac:dyDescent="0.25">
      <c r="A138" s="58" t="s">
        <v>84</v>
      </c>
      <c r="B138" s="58">
        <f t="shared" ref="B138:G138" si="329">B58/1000</f>
        <v>0.46910000000000002</v>
      </c>
      <c r="C138" s="58">
        <f t="shared" si="329"/>
        <v>6.3010000000000002</v>
      </c>
      <c r="D138" s="58">
        <f t="shared" si="329"/>
        <v>0.16200000000000001</v>
      </c>
      <c r="E138" s="58">
        <f t="shared" si="329"/>
        <v>5.5990000000000002</v>
      </c>
      <c r="F138" s="58">
        <f t="shared" si="329"/>
        <v>40.909999999999997</v>
      </c>
      <c r="G138" s="58">
        <f t="shared" si="329"/>
        <v>79.180000000000007</v>
      </c>
      <c r="H138" s="59">
        <v>1.08344</v>
      </c>
      <c r="I138" s="59">
        <v>1.12452</v>
      </c>
      <c r="J138" s="58">
        <f t="shared" ref="J138:T138" si="330">J58/1000</f>
        <v>0.4032</v>
      </c>
      <c r="K138" s="58">
        <f t="shared" si="330"/>
        <v>7.783E-3</v>
      </c>
      <c r="L138" s="58">
        <f t="shared" si="330"/>
        <v>1.626E-2</v>
      </c>
      <c r="M138" s="58">
        <f t="shared" si="330"/>
        <v>2.5339999999999998E-3</v>
      </c>
      <c r="N138" s="58">
        <f t="shared" si="330"/>
        <v>0.1734</v>
      </c>
      <c r="O138" s="58">
        <f t="shared" si="330"/>
        <v>0.3382</v>
      </c>
      <c r="P138" s="58">
        <f t="shared" si="330"/>
        <v>9.9599999999999992E-4</v>
      </c>
      <c r="Q138" s="58">
        <f t="shared" si="330"/>
        <v>6.9740000000000002E-3</v>
      </c>
      <c r="R138" s="58">
        <f t="shared" si="330"/>
        <v>1.9059999999999997E-2</v>
      </c>
      <c r="S138" s="58">
        <f t="shared" si="330"/>
        <v>1.273E-2</v>
      </c>
      <c r="T138" s="58">
        <f t="shared" si="330"/>
        <v>2.4590000000000002E-3</v>
      </c>
      <c r="U138" s="59">
        <v>0.97902</v>
      </c>
      <c r="V138" s="59">
        <v>0.96738000000000002</v>
      </c>
      <c r="W138" s="58">
        <f t="shared" ref="W138:Z138" si="331">W58/1000</f>
        <v>1.1700000000000001E-4</v>
      </c>
      <c r="X138" s="58">
        <f t="shared" si="331"/>
        <v>3.5909999999999997E-2</v>
      </c>
      <c r="Y138" s="58">
        <f t="shared" si="331"/>
        <v>3.0249999999999999E-2</v>
      </c>
      <c r="Z138" s="58">
        <f t="shared" si="331"/>
        <v>0.56459999999999999</v>
      </c>
      <c r="AA138" s="59">
        <v>1.0491699999999999</v>
      </c>
      <c r="AB138" s="59">
        <v>1.14178</v>
      </c>
      <c r="AC138" s="58">
        <f t="shared" ref="AC138:AI138" si="332">AC58/1000</f>
        <v>1.4E-5</v>
      </c>
      <c r="AD138" s="58">
        <f t="shared" si="332"/>
        <v>7.7099999999999998E-4</v>
      </c>
      <c r="AE138" s="58">
        <f t="shared" si="332"/>
        <v>9.9999999999999995E-7</v>
      </c>
      <c r="AF138" s="58">
        <f t="shared" si="332"/>
        <v>8.9999999999999985E-6</v>
      </c>
      <c r="AG138" s="58">
        <f t="shared" si="332"/>
        <v>1.55E-4</v>
      </c>
      <c r="AH138" s="58">
        <f t="shared" si="332"/>
        <v>3.0499999999999999E-4</v>
      </c>
      <c r="AI138" s="58">
        <f t="shared" si="332"/>
        <v>7.0000000000000007E-5</v>
      </c>
      <c r="AJ138" s="59">
        <v>0.94937000000000005</v>
      </c>
      <c r="AK138" s="59">
        <v>1.1236200000000001</v>
      </c>
      <c r="AL138" s="58">
        <f t="shared" ref="AL138:BN138" si="333">AM58/1000</f>
        <v>2.1000000000000002E-5</v>
      </c>
      <c r="AM138" s="58">
        <f t="shared" si="333"/>
        <v>0</v>
      </c>
      <c r="AN138" s="58">
        <f t="shared" si="333"/>
        <v>2.04E-4</v>
      </c>
      <c r="AO138" s="58">
        <f t="shared" si="333"/>
        <v>6.7220000000000002E-2</v>
      </c>
      <c r="AP138" s="58">
        <f t="shared" si="333"/>
        <v>7.7560000000000004E-2</v>
      </c>
      <c r="AQ138" s="58">
        <f t="shared" si="333"/>
        <v>1.3800000000000002E-4</v>
      </c>
      <c r="AR138" s="58">
        <f t="shared" si="333"/>
        <v>2.6000000000000003E-4</v>
      </c>
      <c r="AS138" s="58">
        <f t="shared" si="333"/>
        <v>3.1999999999999999E-5</v>
      </c>
      <c r="AT138" s="58">
        <f t="shared" si="333"/>
        <v>1.1899999999999999E-4</v>
      </c>
      <c r="AU138" s="58">
        <f t="shared" si="333"/>
        <v>2.5000000000000001E-5</v>
      </c>
      <c r="AV138" s="58">
        <f t="shared" si="333"/>
        <v>1.7E-5</v>
      </c>
      <c r="AW138" s="58">
        <f t="shared" si="333"/>
        <v>2.1999999999999999E-5</v>
      </c>
      <c r="AX138" s="58">
        <f t="shared" si="333"/>
        <v>3.0000000000000001E-6</v>
      </c>
      <c r="AY138" s="58">
        <f t="shared" si="333"/>
        <v>1.4999999999999999E-5</v>
      </c>
      <c r="AZ138" s="58">
        <f t="shared" si="333"/>
        <v>3.0000000000000001E-6</v>
      </c>
      <c r="BA138" s="58">
        <f t="shared" si="333"/>
        <v>7.9999999999999996E-6</v>
      </c>
      <c r="BB138" s="58">
        <f t="shared" si="333"/>
        <v>9.9999999999999995E-7</v>
      </c>
      <c r="BC138" s="58">
        <f t="shared" si="333"/>
        <v>6.0000000000000002E-6</v>
      </c>
      <c r="BD138" s="58">
        <f t="shared" si="333"/>
        <v>9.9999999999999995E-7</v>
      </c>
      <c r="BE138" s="58">
        <f t="shared" si="333"/>
        <v>0</v>
      </c>
      <c r="BF138" s="58">
        <f t="shared" si="333"/>
        <v>1.6000000000000001E-4</v>
      </c>
      <c r="BG138" s="58">
        <f t="shared" si="333"/>
        <v>4.8200000000000001E-4</v>
      </c>
      <c r="BH138" s="58">
        <f t="shared" si="333"/>
        <v>4.8799999999999999E-4</v>
      </c>
      <c r="BI138" s="58">
        <f t="shared" si="333"/>
        <v>0</v>
      </c>
      <c r="BJ138" s="58">
        <f t="shared" si="333"/>
        <v>0</v>
      </c>
      <c r="BK138" s="58">
        <f t="shared" si="333"/>
        <v>1.8200000000000001E-4</v>
      </c>
      <c r="BL138" s="58">
        <f t="shared" si="333"/>
        <v>5.0000000000000004E-6</v>
      </c>
      <c r="BM138" s="58">
        <f t="shared" si="333"/>
        <v>2.9599999999999998E-4</v>
      </c>
      <c r="BN138" s="58">
        <f t="shared" si="333"/>
        <v>9.1003999999999998E-4</v>
      </c>
      <c r="BO138" s="59">
        <v>0.91003999999999996</v>
      </c>
      <c r="BP138" s="59">
        <v>1.06003</v>
      </c>
      <c r="BQ138" s="58">
        <f t="shared" ref="BQ138:BR138" si="334">BQ58/1000</f>
        <v>3.5999999999999994E-5</v>
      </c>
      <c r="BR138" s="58">
        <f t="shared" si="334"/>
        <v>7.9999999999999996E-6</v>
      </c>
    </row>
    <row r="139" spans="1:70" ht="15.95" customHeight="1" x14ac:dyDescent="0.25">
      <c r="A139" s="58" t="s">
        <v>85</v>
      </c>
      <c r="B139" s="58">
        <f t="shared" ref="B139:G139" si="335">B59/1000</f>
        <v>0.47799999999999998</v>
      </c>
      <c r="C139" s="58">
        <f t="shared" si="335"/>
        <v>5.3959999999999999</v>
      </c>
      <c r="D139" s="58">
        <f t="shared" si="335"/>
        <v>0.1512</v>
      </c>
      <c r="E139" s="58">
        <f t="shared" si="335"/>
        <v>3.6619999999999999</v>
      </c>
      <c r="F139" s="58">
        <f t="shared" si="335"/>
        <v>48.46</v>
      </c>
      <c r="G139" s="58">
        <f t="shared" si="335"/>
        <v>58.21</v>
      </c>
      <c r="H139" s="59">
        <v>1.07464</v>
      </c>
      <c r="I139" s="59">
        <v>1.0933900000000001</v>
      </c>
      <c r="J139" s="58">
        <f t="shared" ref="J139:T139" si="336">J59/1000</f>
        <v>0.3054</v>
      </c>
      <c r="K139" s="58">
        <f t="shared" si="336"/>
        <v>6.0620000000000005E-3</v>
      </c>
      <c r="L139" s="58">
        <f t="shared" si="336"/>
        <v>1.4659999999999999E-2</v>
      </c>
      <c r="M139" s="58">
        <f t="shared" si="336"/>
        <v>2.4109999999999999E-3</v>
      </c>
      <c r="N139" s="58">
        <f t="shared" si="336"/>
        <v>0.14269999999999999</v>
      </c>
      <c r="O139" s="58">
        <f t="shared" si="336"/>
        <v>0.3115</v>
      </c>
      <c r="P139" s="58">
        <f t="shared" si="336"/>
        <v>5.3200000000000003E-4</v>
      </c>
      <c r="Q139" s="58">
        <f t="shared" si="336"/>
        <v>5.6909999999999999E-3</v>
      </c>
      <c r="R139" s="58">
        <f t="shared" si="336"/>
        <v>1.8079999999999999E-2</v>
      </c>
      <c r="S139" s="58">
        <f t="shared" si="336"/>
        <v>8.3870000000000004E-3</v>
      </c>
      <c r="T139" s="58">
        <f t="shared" si="336"/>
        <v>1.5069999999999999E-3</v>
      </c>
      <c r="U139" s="59">
        <v>0.98179000000000005</v>
      </c>
      <c r="V139" s="59">
        <v>0.94704999999999995</v>
      </c>
      <c r="W139" s="58">
        <f t="shared" ref="W139:Z139" si="337">W59/1000</f>
        <v>1.4099999999999998E-4</v>
      </c>
      <c r="X139" s="58">
        <f t="shared" si="337"/>
        <v>1.7319999999999999E-2</v>
      </c>
      <c r="Y139" s="58">
        <f t="shared" si="337"/>
        <v>2.562E-2</v>
      </c>
      <c r="Z139" s="58">
        <f t="shared" si="337"/>
        <v>0.28710000000000002</v>
      </c>
      <c r="AA139" s="59">
        <v>1.0396000000000001</v>
      </c>
      <c r="AB139" s="59">
        <v>1.1165799999999999</v>
      </c>
      <c r="AC139" s="58">
        <f t="shared" ref="AC139:AI139" si="338">AC59/1000</f>
        <v>1.4E-5</v>
      </c>
      <c r="AD139" s="58">
        <f t="shared" si="338"/>
        <v>6.2100000000000002E-4</v>
      </c>
      <c r="AE139" s="58">
        <f t="shared" si="338"/>
        <v>9.9999999999999995E-7</v>
      </c>
      <c r="AF139" s="58">
        <f t="shared" si="338"/>
        <v>5.0000000000000004E-6</v>
      </c>
      <c r="AG139" s="58">
        <f t="shared" si="338"/>
        <v>7.6000000000000004E-5</v>
      </c>
      <c r="AH139" s="58">
        <f t="shared" si="338"/>
        <v>3.7100000000000002E-4</v>
      </c>
      <c r="AI139" s="58">
        <f t="shared" si="338"/>
        <v>8.599999999999999E-5</v>
      </c>
      <c r="AJ139" s="59">
        <v>0.94525999999999999</v>
      </c>
      <c r="AK139" s="59">
        <v>1.1069800000000001</v>
      </c>
      <c r="AL139" s="58">
        <f t="shared" ref="AL139:BN139" si="339">AM59/1000</f>
        <v>3.1000000000000001E-5</v>
      </c>
      <c r="AM139" s="58">
        <f t="shared" si="339"/>
        <v>0</v>
      </c>
      <c r="AN139" s="58">
        <f t="shared" si="339"/>
        <v>1.75E-4</v>
      </c>
      <c r="AO139" s="58">
        <f t="shared" si="339"/>
        <v>4.0979999999999996E-2</v>
      </c>
      <c r="AP139" s="58">
        <f t="shared" si="339"/>
        <v>4.0930000000000001E-2</v>
      </c>
      <c r="AQ139" s="58">
        <f t="shared" si="339"/>
        <v>1.5900000000000002E-4</v>
      </c>
      <c r="AR139" s="58">
        <f t="shared" si="339"/>
        <v>2.6200000000000003E-4</v>
      </c>
      <c r="AS139" s="58">
        <f t="shared" si="339"/>
        <v>3.5000000000000004E-5</v>
      </c>
      <c r="AT139" s="58">
        <f t="shared" si="339"/>
        <v>1.3100000000000001E-4</v>
      </c>
      <c r="AU139" s="58">
        <f t="shared" si="339"/>
        <v>2.5999999999999998E-5</v>
      </c>
      <c r="AV139" s="58">
        <f t="shared" si="339"/>
        <v>1.2999999999999999E-5</v>
      </c>
      <c r="AW139" s="58">
        <f t="shared" si="339"/>
        <v>2.5000000000000001E-5</v>
      </c>
      <c r="AX139" s="58">
        <f t="shared" si="339"/>
        <v>3.0000000000000001E-6</v>
      </c>
      <c r="AY139" s="58">
        <f t="shared" si="339"/>
        <v>1.5999999999999999E-5</v>
      </c>
      <c r="AZ139" s="58">
        <f t="shared" si="339"/>
        <v>3.0000000000000001E-6</v>
      </c>
      <c r="BA139" s="58">
        <f t="shared" si="339"/>
        <v>7.9999999999999996E-6</v>
      </c>
      <c r="BB139" s="58">
        <f t="shared" si="339"/>
        <v>9.9999999999999995E-7</v>
      </c>
      <c r="BC139" s="58">
        <f t="shared" si="339"/>
        <v>6.9999999999999999E-6</v>
      </c>
      <c r="BD139" s="58">
        <f t="shared" si="339"/>
        <v>9.9999999999999995E-7</v>
      </c>
      <c r="BE139" s="58">
        <f t="shared" si="339"/>
        <v>0</v>
      </c>
      <c r="BF139" s="58">
        <f t="shared" si="339"/>
        <v>8.0000000000000007E-5</v>
      </c>
      <c r="BG139" s="58">
        <f t="shared" si="339"/>
        <v>3.86E-4</v>
      </c>
      <c r="BH139" s="58">
        <f t="shared" si="339"/>
        <v>3.97E-4</v>
      </c>
      <c r="BI139" s="58">
        <f t="shared" si="339"/>
        <v>0</v>
      </c>
      <c r="BJ139" s="58">
        <f t="shared" si="339"/>
        <v>0</v>
      </c>
      <c r="BK139" s="58">
        <f t="shared" si="339"/>
        <v>1.56E-4</v>
      </c>
      <c r="BL139" s="58">
        <f t="shared" si="339"/>
        <v>3.9999999999999998E-6</v>
      </c>
      <c r="BM139" s="58">
        <f t="shared" si="339"/>
        <v>3.2200000000000002E-4</v>
      </c>
      <c r="BN139" s="58">
        <f t="shared" si="339"/>
        <v>9.1131999999999997E-4</v>
      </c>
      <c r="BO139" s="59">
        <v>0.91132000000000002</v>
      </c>
      <c r="BP139" s="59">
        <v>1.0513999999999999</v>
      </c>
      <c r="BQ139" s="58">
        <f t="shared" ref="BQ139:BR139" si="340">BQ59/1000</f>
        <v>9.5000000000000005E-5</v>
      </c>
      <c r="BR139" s="58">
        <f t="shared" si="340"/>
        <v>1.0000000000000001E-5</v>
      </c>
    </row>
    <row r="140" spans="1:70" ht="15.95" customHeight="1" x14ac:dyDescent="0.25">
      <c r="A140" s="58" t="s">
        <v>86</v>
      </c>
      <c r="B140" s="58">
        <f t="shared" ref="B140:G140" si="341">B60/1000</f>
        <v>0.35039999999999999</v>
      </c>
      <c r="C140" s="58">
        <f t="shared" si="341"/>
        <v>6.4939999999999998</v>
      </c>
      <c r="D140" s="58">
        <f t="shared" si="341"/>
        <v>7.6760000000000009E-2</v>
      </c>
      <c r="E140" s="58">
        <f t="shared" si="341"/>
        <v>4.048</v>
      </c>
      <c r="F140" s="58">
        <f t="shared" si="341"/>
        <v>41.09</v>
      </c>
      <c r="G140" s="58">
        <f t="shared" si="341"/>
        <v>74.59</v>
      </c>
      <c r="H140" s="59">
        <v>1.0663400000000001</v>
      </c>
      <c r="I140" s="59">
        <v>1.1071299999999999</v>
      </c>
      <c r="J140" s="58">
        <f t="shared" ref="J140:T140" si="342">J60/1000</f>
        <v>0.38150000000000001</v>
      </c>
      <c r="K140" s="58">
        <f t="shared" si="342"/>
        <v>3.5699999999999998E-3</v>
      </c>
      <c r="L140" s="58">
        <f t="shared" si="342"/>
        <v>1.3550000000000001E-2</v>
      </c>
      <c r="M140" s="58">
        <f t="shared" si="342"/>
        <v>2.4719999999999998E-3</v>
      </c>
      <c r="N140" s="58">
        <f t="shared" si="342"/>
        <v>0.1424</v>
      </c>
      <c r="O140" s="58">
        <f t="shared" si="342"/>
        <v>0.94170000000000009</v>
      </c>
      <c r="P140" s="58">
        <f t="shared" si="342"/>
        <v>5.0199999999999995E-4</v>
      </c>
      <c r="Q140" s="58">
        <f t="shared" si="342"/>
        <v>3.2620000000000001E-3</v>
      </c>
      <c r="R140" s="58">
        <f t="shared" si="342"/>
        <v>1.694E-2</v>
      </c>
      <c r="S140" s="58">
        <f t="shared" si="342"/>
        <v>1.444E-2</v>
      </c>
      <c r="T140" s="58">
        <f t="shared" si="342"/>
        <v>2.0499999999999997E-3</v>
      </c>
      <c r="U140" s="59">
        <v>0.96938000000000002</v>
      </c>
      <c r="V140" s="59">
        <v>0.95350000000000001</v>
      </c>
      <c r="W140" s="58">
        <f t="shared" ref="W140:Z140" si="343">W60/1000</f>
        <v>1.1899999999999999E-4</v>
      </c>
      <c r="X140" s="58">
        <f t="shared" si="343"/>
        <v>1.205E-2</v>
      </c>
      <c r="Y140" s="58">
        <f t="shared" si="343"/>
        <v>2.5079999999999998E-2</v>
      </c>
      <c r="Z140" s="58">
        <f t="shared" si="343"/>
        <v>0.40500000000000003</v>
      </c>
      <c r="AA140" s="59">
        <v>1.0293600000000001</v>
      </c>
      <c r="AB140" s="59">
        <v>1.1306499999999999</v>
      </c>
      <c r="AC140" s="58">
        <f t="shared" ref="AC140:AI140" si="344">AC60/1000</f>
        <v>1.0000000000000001E-5</v>
      </c>
      <c r="AD140" s="58">
        <f t="shared" si="344"/>
        <v>8.5300000000000003E-4</v>
      </c>
      <c r="AE140" s="58">
        <f t="shared" si="344"/>
        <v>9.9999999999999995E-7</v>
      </c>
      <c r="AF140" s="58">
        <f t="shared" si="344"/>
        <v>6.0000000000000002E-6</v>
      </c>
      <c r="AG140" s="58">
        <f t="shared" si="344"/>
        <v>1.11E-4</v>
      </c>
      <c r="AH140" s="58">
        <f t="shared" si="344"/>
        <v>6.9999999999999999E-4</v>
      </c>
      <c r="AI140" s="58">
        <f t="shared" si="344"/>
        <v>2.0699999999999999E-4</v>
      </c>
      <c r="AJ140" s="59">
        <v>0.93569000000000002</v>
      </c>
      <c r="AK140" s="59">
        <v>1.1131500000000001</v>
      </c>
      <c r="AL140" s="58">
        <f t="shared" ref="AL140:BN140" si="345">AM60/1000</f>
        <v>2.5000000000000001E-5</v>
      </c>
      <c r="AM140" s="58">
        <f t="shared" si="345"/>
        <v>3.0000000000000001E-6</v>
      </c>
      <c r="AN140" s="58">
        <f t="shared" si="345"/>
        <v>2.31E-4</v>
      </c>
      <c r="AO140" s="58">
        <f t="shared" si="345"/>
        <v>5.6119999999999996E-2</v>
      </c>
      <c r="AP140" s="58">
        <f t="shared" si="345"/>
        <v>5.5399999999999998E-2</v>
      </c>
      <c r="AQ140" s="58">
        <f t="shared" si="345"/>
        <v>7.0999999999999991E-5</v>
      </c>
      <c r="AR140" s="58">
        <f t="shared" si="345"/>
        <v>1.18E-4</v>
      </c>
      <c r="AS140" s="58">
        <f t="shared" si="345"/>
        <v>1.4999999999999999E-5</v>
      </c>
      <c r="AT140" s="58">
        <f t="shared" si="345"/>
        <v>5.8E-5</v>
      </c>
      <c r="AU140" s="58">
        <f t="shared" si="345"/>
        <v>1.1E-5</v>
      </c>
      <c r="AV140" s="58">
        <f t="shared" si="345"/>
        <v>1.1E-5</v>
      </c>
      <c r="AW140" s="58">
        <f t="shared" si="345"/>
        <v>1.0000000000000001E-5</v>
      </c>
      <c r="AX140" s="58">
        <f t="shared" si="345"/>
        <v>9.9999999999999995E-7</v>
      </c>
      <c r="AY140" s="58">
        <f t="shared" si="345"/>
        <v>7.9999999999999996E-6</v>
      </c>
      <c r="AZ140" s="58">
        <f t="shared" si="345"/>
        <v>1.9999999999999999E-6</v>
      </c>
      <c r="BA140" s="58">
        <f t="shared" si="345"/>
        <v>3.9999999999999998E-6</v>
      </c>
      <c r="BB140" s="58">
        <f t="shared" si="345"/>
        <v>0</v>
      </c>
      <c r="BC140" s="58">
        <f t="shared" si="345"/>
        <v>3.0000000000000001E-6</v>
      </c>
      <c r="BD140" s="58">
        <f t="shared" si="345"/>
        <v>0</v>
      </c>
      <c r="BE140" s="58">
        <f t="shared" si="345"/>
        <v>0</v>
      </c>
      <c r="BF140" s="58">
        <f t="shared" si="345"/>
        <v>1.4799999999999999E-4</v>
      </c>
      <c r="BG140" s="58">
        <f t="shared" si="345"/>
        <v>2.4800000000000001E-4</v>
      </c>
      <c r="BH140" s="58">
        <f t="shared" si="345"/>
        <v>2.5300000000000002E-4</v>
      </c>
      <c r="BI140" s="58">
        <f t="shared" si="345"/>
        <v>0</v>
      </c>
      <c r="BJ140" s="58">
        <f t="shared" si="345"/>
        <v>0</v>
      </c>
      <c r="BK140" s="58">
        <f t="shared" si="345"/>
        <v>3.7300000000000001E-4</v>
      </c>
      <c r="BL140" s="58">
        <f t="shared" si="345"/>
        <v>6.9999999999999999E-6</v>
      </c>
      <c r="BM140" s="58">
        <f t="shared" si="345"/>
        <v>1.83E-4</v>
      </c>
      <c r="BN140" s="58">
        <f t="shared" si="345"/>
        <v>9.0002000000000007E-4</v>
      </c>
      <c r="BO140" s="59">
        <v>0.90002000000000004</v>
      </c>
      <c r="BP140" s="59">
        <v>1.0507299999999999</v>
      </c>
      <c r="BQ140" s="58">
        <f t="shared" ref="BQ140:BR140" si="346">BQ60/1000</f>
        <v>1.7999999999999997E-5</v>
      </c>
      <c r="BR140" s="58">
        <f t="shared" si="346"/>
        <v>5.0000000000000004E-6</v>
      </c>
    </row>
    <row r="141" spans="1:70" ht="15.95" customHeight="1" x14ac:dyDescent="0.25">
      <c r="A141" s="58" t="s">
        <v>92</v>
      </c>
      <c r="B141" s="58">
        <f t="shared" ref="B141:G141" si="347">B61/1000</f>
        <v>0.12090000000000001</v>
      </c>
      <c r="C141" s="58">
        <f t="shared" si="347"/>
        <v>5.1289999999999996</v>
      </c>
      <c r="D141" s="58">
        <f t="shared" si="347"/>
        <v>0.31069999999999998</v>
      </c>
      <c r="E141" s="58">
        <f t="shared" si="347"/>
        <v>3.2290000000000001</v>
      </c>
      <c r="F141" s="58">
        <f t="shared" si="347"/>
        <v>38.64</v>
      </c>
      <c r="G141" s="58">
        <f t="shared" si="347"/>
        <v>37.549999999999997</v>
      </c>
      <c r="H141" s="59">
        <v>1.0371999999999999</v>
      </c>
      <c r="I141" s="59">
        <v>1.04284</v>
      </c>
      <c r="J141" s="58">
        <f t="shared" ref="J141:T141" si="348">J61/1000</f>
        <v>0.2089</v>
      </c>
      <c r="K141" s="58">
        <f t="shared" si="348"/>
        <v>1.039E-2</v>
      </c>
      <c r="L141" s="58">
        <f t="shared" si="348"/>
        <v>2.0329999999999997E-2</v>
      </c>
      <c r="M141" s="58">
        <f t="shared" si="348"/>
        <v>2.5400000000000002E-3</v>
      </c>
      <c r="N141" s="58">
        <f t="shared" si="348"/>
        <v>0.1002</v>
      </c>
      <c r="O141" s="58">
        <f t="shared" si="348"/>
        <v>0.46970000000000001</v>
      </c>
      <c r="P141" s="58">
        <f t="shared" si="348"/>
        <v>2.02E-4</v>
      </c>
      <c r="Q141" s="58">
        <f t="shared" si="348"/>
        <v>1.939E-3</v>
      </c>
      <c r="R141" s="58">
        <f t="shared" si="348"/>
        <v>3.807E-2</v>
      </c>
      <c r="S141" s="58">
        <f t="shared" si="348"/>
        <v>4.793E-2</v>
      </c>
      <c r="T141" s="58">
        <f t="shared" si="348"/>
        <v>1.0189999999999999E-3</v>
      </c>
      <c r="U141" s="59">
        <v>0.94132000000000005</v>
      </c>
      <c r="V141" s="59">
        <v>0.90629999999999999</v>
      </c>
      <c r="W141" s="58">
        <f t="shared" ref="W141:Z141" si="349">W61/1000</f>
        <v>1.8599999999999999E-4</v>
      </c>
      <c r="X141" s="58">
        <f t="shared" si="349"/>
        <v>1.6129999999999999E-2</v>
      </c>
      <c r="Y141" s="58">
        <f t="shared" si="349"/>
        <v>2.435E-2</v>
      </c>
      <c r="Z141" s="58">
        <f t="shared" si="349"/>
        <v>0.14299999999999999</v>
      </c>
      <c r="AA141" s="59">
        <v>1.0025900000000001</v>
      </c>
      <c r="AB141" s="59">
        <v>1.08067</v>
      </c>
      <c r="AC141" s="58">
        <f t="shared" ref="AC141:AI141" si="350">AC61/1000</f>
        <v>3.1000000000000001E-5</v>
      </c>
      <c r="AD141" s="58">
        <f t="shared" si="350"/>
        <v>8.7799999999999998E-4</v>
      </c>
      <c r="AE141" s="58">
        <f t="shared" si="350"/>
        <v>0</v>
      </c>
      <c r="AF141" s="58">
        <f t="shared" si="350"/>
        <v>1.9999999999999999E-6</v>
      </c>
      <c r="AG141" s="58">
        <f t="shared" si="350"/>
        <v>4.0000000000000003E-5</v>
      </c>
      <c r="AH141" s="58">
        <f t="shared" si="350"/>
        <v>6.9999999999999999E-6</v>
      </c>
      <c r="AI141" s="58">
        <f t="shared" si="350"/>
        <v>8.0000000000000007E-5</v>
      </c>
      <c r="AJ141" s="59">
        <v>0.91515999999999997</v>
      </c>
      <c r="AK141" s="59">
        <v>1.0787800000000001</v>
      </c>
      <c r="AL141" s="58">
        <f t="shared" ref="AL141:BN141" si="351">AM61/1000</f>
        <v>3.3000000000000003E-5</v>
      </c>
      <c r="AM141" s="58">
        <f t="shared" si="351"/>
        <v>3.0000000000000001E-6</v>
      </c>
      <c r="AN141" s="58">
        <f t="shared" si="351"/>
        <v>3.0699999999999998E-4</v>
      </c>
      <c r="AO141" s="58">
        <f t="shared" si="351"/>
        <v>2.674E-2</v>
      </c>
      <c r="AP141" s="58">
        <f t="shared" si="351"/>
        <v>2.673E-2</v>
      </c>
      <c r="AQ141" s="58">
        <f t="shared" si="351"/>
        <v>3.0600000000000001E-4</v>
      </c>
      <c r="AR141" s="58">
        <f t="shared" si="351"/>
        <v>5.7599999999999991E-4</v>
      </c>
      <c r="AS141" s="58">
        <f t="shared" si="351"/>
        <v>7.1999999999999988E-5</v>
      </c>
      <c r="AT141" s="58">
        <f t="shared" si="351"/>
        <v>2.7600000000000004E-4</v>
      </c>
      <c r="AU141" s="58">
        <f t="shared" si="351"/>
        <v>5.3000000000000001E-5</v>
      </c>
      <c r="AV141" s="58">
        <f t="shared" si="351"/>
        <v>1.4999999999999999E-5</v>
      </c>
      <c r="AW141" s="58">
        <f t="shared" si="351"/>
        <v>4.8000000000000001E-5</v>
      </c>
      <c r="AX141" s="58">
        <f t="shared" si="351"/>
        <v>6.0000000000000002E-6</v>
      </c>
      <c r="AY141" s="58">
        <f t="shared" si="351"/>
        <v>3.4E-5</v>
      </c>
      <c r="AZ141" s="58">
        <f t="shared" si="351"/>
        <v>6.9999999999999999E-6</v>
      </c>
      <c r="BA141" s="58">
        <f t="shared" si="351"/>
        <v>1.7999999999999997E-5</v>
      </c>
      <c r="BB141" s="58">
        <f t="shared" si="351"/>
        <v>1.9999999999999999E-6</v>
      </c>
      <c r="BC141" s="58">
        <f t="shared" si="351"/>
        <v>1.4999999999999999E-5</v>
      </c>
      <c r="BD141" s="58">
        <f t="shared" si="351"/>
        <v>1.9999999999999999E-6</v>
      </c>
      <c r="BE141" s="58">
        <f t="shared" si="351"/>
        <v>9.9999999999999995E-7</v>
      </c>
      <c r="BF141" s="58">
        <f t="shared" si="351"/>
        <v>6.3999999999999997E-5</v>
      </c>
      <c r="BG141" s="58">
        <f t="shared" si="351"/>
        <v>3.6199999999999996E-4</v>
      </c>
      <c r="BH141" s="58">
        <f t="shared" si="351"/>
        <v>3.6299999999999999E-4</v>
      </c>
      <c r="BI141" s="58">
        <f t="shared" si="351"/>
        <v>0</v>
      </c>
      <c r="BJ141" s="58">
        <f t="shared" si="351"/>
        <v>0</v>
      </c>
      <c r="BK141" s="58">
        <f t="shared" si="351"/>
        <v>1.3100000000000001E-4</v>
      </c>
      <c r="BL141" s="58">
        <f t="shared" si="351"/>
        <v>7.9999999999999996E-6</v>
      </c>
      <c r="BM141" s="58">
        <f t="shared" si="351"/>
        <v>3.9030000000000002E-3</v>
      </c>
      <c r="BN141" s="58">
        <f t="shared" si="351"/>
        <v>8.9612000000000003E-4</v>
      </c>
      <c r="BO141" s="59">
        <v>0.89612000000000003</v>
      </c>
      <c r="BP141" s="59">
        <v>1.0355300000000001</v>
      </c>
      <c r="BQ141" s="58">
        <f t="shared" ref="BQ141:BR141" si="352">BQ61/1000</f>
        <v>9.2999999999999997E-5</v>
      </c>
      <c r="BR141" s="58">
        <f t="shared" si="352"/>
        <v>1.5999999999999999E-5</v>
      </c>
    </row>
    <row r="142" spans="1:70" ht="15.95" customHeight="1" x14ac:dyDescent="0.25">
      <c r="A142" s="58" t="s">
        <v>73</v>
      </c>
      <c r="B142" s="58">
        <f t="shared" ref="B142:G142" si="353">B62/1000</f>
        <v>0.15490000000000001</v>
      </c>
      <c r="C142" s="58">
        <f t="shared" si="353"/>
        <v>5.1619999999999999</v>
      </c>
      <c r="D142" s="58">
        <f t="shared" si="353"/>
        <v>0.28210000000000002</v>
      </c>
      <c r="E142" s="58">
        <f t="shared" si="353"/>
        <v>4.6120000000000001</v>
      </c>
      <c r="F142" s="58">
        <f t="shared" si="353"/>
        <v>49.82</v>
      </c>
      <c r="G142" s="58">
        <f t="shared" si="353"/>
        <v>38.19</v>
      </c>
      <c r="H142" s="59">
        <v>1.01044</v>
      </c>
      <c r="I142" s="59">
        <v>1.03651</v>
      </c>
      <c r="J142" s="58">
        <f t="shared" ref="J142:T142" si="354">J62/1000</f>
        <v>0.2122</v>
      </c>
      <c r="K142" s="58">
        <f t="shared" si="354"/>
        <v>1.0460000000000001E-2</v>
      </c>
      <c r="L142" s="58">
        <f t="shared" si="354"/>
        <v>2.0219999999999998E-2</v>
      </c>
      <c r="M142" s="58">
        <f t="shared" si="354"/>
        <v>2.6489999999999999E-3</v>
      </c>
      <c r="N142" s="58">
        <f t="shared" si="354"/>
        <v>8.0450000000000008E-2</v>
      </c>
      <c r="O142" s="58">
        <f t="shared" si="354"/>
        <v>0.52460000000000007</v>
      </c>
      <c r="P142" s="58">
        <f t="shared" si="354"/>
        <v>2.5399999999999999E-4</v>
      </c>
      <c r="Q142" s="58">
        <f t="shared" si="354"/>
        <v>4.463E-3</v>
      </c>
      <c r="R142" s="58">
        <f t="shared" si="354"/>
        <v>2.5430000000000001E-2</v>
      </c>
      <c r="S142" s="58">
        <f t="shared" si="354"/>
        <v>3.2750000000000001E-2</v>
      </c>
      <c r="T142" s="58">
        <f t="shared" si="354"/>
        <v>1.0200000000000001E-3</v>
      </c>
      <c r="U142" s="59">
        <v>0.90575000000000006</v>
      </c>
      <c r="V142" s="59">
        <v>0.89834000000000003</v>
      </c>
      <c r="W142" s="58">
        <f t="shared" ref="W142:Z142" si="355">W62/1000</f>
        <v>1.8099999999999998E-4</v>
      </c>
      <c r="X142" s="58">
        <f t="shared" si="355"/>
        <v>4.1149999999999999E-2</v>
      </c>
      <c r="Y142" s="58">
        <f t="shared" si="355"/>
        <v>1.7729999999999999E-2</v>
      </c>
      <c r="Z142" s="58">
        <f t="shared" si="355"/>
        <v>0.1313</v>
      </c>
      <c r="AA142" s="59">
        <v>0.97435000000000005</v>
      </c>
      <c r="AB142" s="59">
        <v>1.07413</v>
      </c>
      <c r="AC142" s="58">
        <f t="shared" ref="AC142:AI142" si="356">AC62/1000</f>
        <v>2.6999999999999999E-5</v>
      </c>
      <c r="AD142" s="58">
        <f t="shared" si="356"/>
        <v>5.6299999999999992E-4</v>
      </c>
      <c r="AE142" s="58">
        <f t="shared" si="356"/>
        <v>0</v>
      </c>
      <c r="AF142" s="58">
        <f t="shared" si="356"/>
        <v>3.9999999999999998E-6</v>
      </c>
      <c r="AG142" s="58">
        <f t="shared" si="356"/>
        <v>3.6999999999999998E-5</v>
      </c>
      <c r="AH142" s="58">
        <f t="shared" si="356"/>
        <v>6.3E-5</v>
      </c>
      <c r="AI142" s="58">
        <f t="shared" si="356"/>
        <v>5.0000000000000002E-5</v>
      </c>
      <c r="AJ142" s="59">
        <v>0.89134999999999998</v>
      </c>
      <c r="AK142" s="59">
        <v>1.0691900000000001</v>
      </c>
      <c r="AL142" s="58">
        <f t="shared" ref="AL142:BN142" si="357">AM62/1000</f>
        <v>4.6999999999999997E-5</v>
      </c>
      <c r="AM142" s="58">
        <f t="shared" si="357"/>
        <v>1.9999999999999999E-6</v>
      </c>
      <c r="AN142" s="58">
        <f t="shared" si="357"/>
        <v>1.7000000000000001E-4</v>
      </c>
      <c r="AO142" s="58">
        <f t="shared" si="357"/>
        <v>2.7039999999999998E-2</v>
      </c>
      <c r="AP142" s="58">
        <f t="shared" si="357"/>
        <v>2.7239999999999997E-2</v>
      </c>
      <c r="AQ142" s="58">
        <f t="shared" si="357"/>
        <v>2.8599999999999996E-4</v>
      </c>
      <c r="AR142" s="58">
        <f t="shared" si="357"/>
        <v>5.22E-4</v>
      </c>
      <c r="AS142" s="58">
        <f t="shared" si="357"/>
        <v>6.900000000000001E-5</v>
      </c>
      <c r="AT142" s="58">
        <f t="shared" si="357"/>
        <v>2.6600000000000001E-4</v>
      </c>
      <c r="AU142" s="58">
        <f t="shared" si="357"/>
        <v>5.1999999999999997E-5</v>
      </c>
      <c r="AV142" s="58">
        <f t="shared" si="357"/>
        <v>1.4E-5</v>
      </c>
      <c r="AW142" s="58">
        <f t="shared" si="357"/>
        <v>4.4999999999999996E-5</v>
      </c>
      <c r="AX142" s="58">
        <f t="shared" si="357"/>
        <v>6.0000000000000002E-6</v>
      </c>
      <c r="AY142" s="58">
        <f t="shared" si="357"/>
        <v>3.1999999999999999E-5</v>
      </c>
      <c r="AZ142" s="58">
        <f t="shared" si="357"/>
        <v>6.0000000000000002E-6</v>
      </c>
      <c r="BA142" s="58">
        <f t="shared" si="357"/>
        <v>1.5999999999999999E-5</v>
      </c>
      <c r="BB142" s="58">
        <f t="shared" si="357"/>
        <v>1.9999999999999999E-6</v>
      </c>
      <c r="BC142" s="58">
        <f t="shared" si="357"/>
        <v>1.4E-5</v>
      </c>
      <c r="BD142" s="58">
        <f t="shared" si="357"/>
        <v>1.9999999999999999E-6</v>
      </c>
      <c r="BE142" s="58">
        <f t="shared" si="357"/>
        <v>9.9999999999999995E-7</v>
      </c>
      <c r="BF142" s="58">
        <f t="shared" si="357"/>
        <v>6.2000000000000003E-5</v>
      </c>
      <c r="BG142" s="58">
        <f t="shared" si="357"/>
        <v>2.6200000000000003E-4</v>
      </c>
      <c r="BH142" s="58">
        <f t="shared" si="357"/>
        <v>2.6400000000000002E-4</v>
      </c>
      <c r="BI142" s="58">
        <f t="shared" si="357"/>
        <v>0</v>
      </c>
      <c r="BJ142" s="58">
        <f t="shared" si="357"/>
        <v>0</v>
      </c>
      <c r="BK142" s="58">
        <f t="shared" si="357"/>
        <v>1.46E-4</v>
      </c>
      <c r="BL142" s="58">
        <f t="shared" si="357"/>
        <v>7.9999999999999996E-6</v>
      </c>
      <c r="BM142" s="58">
        <f t="shared" si="357"/>
        <v>2.8489999999999998E-2</v>
      </c>
      <c r="BN142" s="58">
        <f t="shared" si="357"/>
        <v>8.7239999999999996E-4</v>
      </c>
      <c r="BO142" s="59">
        <v>0.87239999999999995</v>
      </c>
      <c r="BP142" s="59">
        <v>1.0246999999999999</v>
      </c>
      <c r="BQ142" s="58">
        <f t="shared" ref="BQ142:BR142" si="358">BQ62/1000</f>
        <v>8.4000000000000009E-5</v>
      </c>
      <c r="BR142" s="58">
        <f t="shared" si="358"/>
        <v>1.2999999999999999E-5</v>
      </c>
    </row>
    <row r="143" spans="1:70" ht="15.95" customHeight="1" x14ac:dyDescent="0.25">
      <c r="A143" s="58" t="s">
        <v>74</v>
      </c>
      <c r="B143" s="58">
        <f t="shared" ref="B143:G143" si="359">B63/1000</f>
        <v>0.15509999999999999</v>
      </c>
      <c r="C143" s="58">
        <f t="shared" si="359"/>
        <v>4.99</v>
      </c>
      <c r="D143" s="58">
        <f t="shared" si="359"/>
        <v>0.71329999999999993</v>
      </c>
      <c r="E143" s="58">
        <f t="shared" si="359"/>
        <v>3.2330000000000001</v>
      </c>
      <c r="F143" s="58">
        <f t="shared" si="359"/>
        <v>53.01</v>
      </c>
      <c r="G143" s="58">
        <f t="shared" si="359"/>
        <v>37.46</v>
      </c>
      <c r="H143" s="59">
        <v>1.0083299999999999</v>
      </c>
      <c r="I143" s="59">
        <v>1.0421499999999999</v>
      </c>
      <c r="J143" s="58">
        <f t="shared" ref="J143:T143" si="360">J63/1000</f>
        <v>0.23499999999999999</v>
      </c>
      <c r="K143" s="58">
        <f t="shared" si="360"/>
        <v>2.6440000000000002E-2</v>
      </c>
      <c r="L143" s="58">
        <f t="shared" si="360"/>
        <v>3.007E-2</v>
      </c>
      <c r="M143" s="58">
        <f t="shared" si="360"/>
        <v>2.1689999999999999E-3</v>
      </c>
      <c r="N143" s="58">
        <f t="shared" si="360"/>
        <v>0.1318</v>
      </c>
      <c r="O143" s="58">
        <f t="shared" si="360"/>
        <v>0.85960000000000003</v>
      </c>
      <c r="P143" s="58">
        <f t="shared" si="360"/>
        <v>4.1899999999999999E-4</v>
      </c>
      <c r="Q143" s="58">
        <f t="shared" si="360"/>
        <v>5.7520000000000002E-3</v>
      </c>
      <c r="R143" s="58">
        <f t="shared" si="360"/>
        <v>2.9780000000000001E-2</v>
      </c>
      <c r="S143" s="58">
        <f t="shared" si="360"/>
        <v>2.4030000000000003E-2</v>
      </c>
      <c r="T143" s="58">
        <f t="shared" si="360"/>
        <v>4.5100000000000001E-4</v>
      </c>
      <c r="U143" s="59">
        <v>0.91564000000000001</v>
      </c>
      <c r="V143" s="59">
        <v>0.90508</v>
      </c>
      <c r="W143" s="58">
        <f t="shared" ref="W143:Z143" si="361">W63/1000</f>
        <v>2.5000000000000001E-4</v>
      </c>
      <c r="X143" s="58">
        <f t="shared" si="361"/>
        <v>5.1310000000000001E-3</v>
      </c>
      <c r="Y143" s="58">
        <f t="shared" si="361"/>
        <v>2.7170000000000003E-2</v>
      </c>
      <c r="Z143" s="58">
        <f t="shared" si="361"/>
        <v>0.12290000000000001</v>
      </c>
      <c r="AA143" s="59">
        <v>0.97824</v>
      </c>
      <c r="AB143" s="59">
        <v>1.0772299999999999</v>
      </c>
      <c r="AC143" s="58">
        <f t="shared" ref="AC143:AI143" si="362">AC63/1000</f>
        <v>7.1999999999999988E-5</v>
      </c>
      <c r="AD143" s="58">
        <f t="shared" si="362"/>
        <v>3.2900000000000003E-4</v>
      </c>
      <c r="AE143" s="58">
        <f t="shared" si="362"/>
        <v>0</v>
      </c>
      <c r="AF143" s="58">
        <f t="shared" si="362"/>
        <v>1.9999999999999999E-6</v>
      </c>
      <c r="AG143" s="58">
        <f t="shared" si="362"/>
        <v>3.1000000000000001E-5</v>
      </c>
      <c r="AH143" s="58">
        <f t="shared" si="362"/>
        <v>1.45E-4</v>
      </c>
      <c r="AI143" s="58">
        <f t="shared" si="362"/>
        <v>6.2000000000000003E-5</v>
      </c>
      <c r="AJ143" s="59">
        <v>0.89281999999999995</v>
      </c>
      <c r="AK143" s="59">
        <v>1.0706100000000001</v>
      </c>
      <c r="AL143" s="58">
        <f t="shared" ref="AL143:BN143" si="363">AM63/1000</f>
        <v>5.9999999999999995E-5</v>
      </c>
      <c r="AM143" s="58">
        <f t="shared" si="363"/>
        <v>1.9999999999999999E-6</v>
      </c>
      <c r="AN143" s="58">
        <f t="shared" si="363"/>
        <v>2.3999999999999998E-4</v>
      </c>
      <c r="AO143" s="58">
        <f t="shared" si="363"/>
        <v>9.6240000000000006E-3</v>
      </c>
      <c r="AP143" s="58">
        <f t="shared" si="363"/>
        <v>9.7520000000000003E-3</v>
      </c>
      <c r="AQ143" s="58">
        <f t="shared" si="363"/>
        <v>5.9599999999999996E-4</v>
      </c>
      <c r="AR143" s="58">
        <f t="shared" si="363"/>
        <v>1.191E-3</v>
      </c>
      <c r="AS143" s="58">
        <f t="shared" si="363"/>
        <v>1.46E-4</v>
      </c>
      <c r="AT143" s="58">
        <f t="shared" si="363"/>
        <v>5.4500000000000002E-4</v>
      </c>
      <c r="AU143" s="58">
        <f t="shared" si="363"/>
        <v>1.07E-4</v>
      </c>
      <c r="AV143" s="58">
        <f t="shared" si="363"/>
        <v>2.0000000000000002E-5</v>
      </c>
      <c r="AW143" s="58">
        <f t="shared" si="363"/>
        <v>9.3999999999999994E-5</v>
      </c>
      <c r="AX143" s="58">
        <f t="shared" si="363"/>
        <v>1.2999999999999999E-5</v>
      </c>
      <c r="AY143" s="58">
        <f t="shared" si="363"/>
        <v>6.7999999999999999E-5</v>
      </c>
      <c r="AZ143" s="58">
        <f t="shared" si="363"/>
        <v>1.2999999999999999E-5</v>
      </c>
      <c r="BA143" s="58">
        <f t="shared" si="363"/>
        <v>3.5000000000000004E-5</v>
      </c>
      <c r="BB143" s="58">
        <f t="shared" si="363"/>
        <v>5.0000000000000004E-6</v>
      </c>
      <c r="BC143" s="58">
        <f t="shared" si="363"/>
        <v>3.3000000000000003E-5</v>
      </c>
      <c r="BD143" s="58">
        <f t="shared" si="363"/>
        <v>3.9999999999999998E-6</v>
      </c>
      <c r="BE143" s="58">
        <f t="shared" si="363"/>
        <v>9.9999999999999995E-7</v>
      </c>
      <c r="BF143" s="58">
        <f t="shared" si="363"/>
        <v>5.7000000000000003E-5</v>
      </c>
      <c r="BG143" s="58">
        <f t="shared" si="363"/>
        <v>3.7399999999999998E-4</v>
      </c>
      <c r="BH143" s="58">
        <f t="shared" si="363"/>
        <v>3.8099999999999999E-4</v>
      </c>
      <c r="BI143" s="58">
        <f t="shared" si="363"/>
        <v>0</v>
      </c>
      <c r="BJ143" s="58">
        <f t="shared" si="363"/>
        <v>0</v>
      </c>
      <c r="BK143" s="58">
        <f t="shared" si="363"/>
        <v>1.9600000000000002E-4</v>
      </c>
      <c r="BL143" s="58">
        <f t="shared" si="363"/>
        <v>8.9999999999999985E-6</v>
      </c>
      <c r="BM143" s="58">
        <f t="shared" si="363"/>
        <v>7.7859999999999995E-3</v>
      </c>
      <c r="BN143" s="58">
        <f t="shared" si="363"/>
        <v>8.7785000000000001E-4</v>
      </c>
      <c r="BO143" s="59">
        <v>0.87785000000000002</v>
      </c>
      <c r="BP143" s="59">
        <v>1.0270300000000001</v>
      </c>
      <c r="BQ143" s="58">
        <f t="shared" ref="BQ143:BR143" si="364">BQ63/1000</f>
        <v>1.46E-4</v>
      </c>
      <c r="BR143" s="58">
        <f t="shared" si="364"/>
        <v>2.9999999999999997E-5</v>
      </c>
    </row>
    <row r="144" spans="1:70" ht="15.95" customHeight="1" x14ac:dyDescent="0.25">
      <c r="A144" s="58" t="s">
        <v>75</v>
      </c>
      <c r="B144" s="58">
        <f t="shared" ref="B144:G144" si="365">B64/1000</f>
        <v>0.19950000000000001</v>
      </c>
      <c r="C144" s="58">
        <f t="shared" si="365"/>
        <v>7.5380000000000003</v>
      </c>
      <c r="D144" s="58">
        <f t="shared" si="365"/>
        <v>0.38469999999999999</v>
      </c>
      <c r="E144" s="58">
        <f t="shared" si="365"/>
        <v>3.6720000000000002</v>
      </c>
      <c r="F144" s="58">
        <f t="shared" si="365"/>
        <v>43.29</v>
      </c>
      <c r="G144" s="58">
        <f t="shared" si="365"/>
        <v>33.049999999999997</v>
      </c>
      <c r="H144" s="59">
        <v>1.0632699999999999</v>
      </c>
      <c r="I144" s="59">
        <v>1.0877600000000001</v>
      </c>
      <c r="J144" s="58">
        <f t="shared" ref="J144:T144" si="366">J64/1000</f>
        <v>0.1759</v>
      </c>
      <c r="K144" s="58">
        <f t="shared" si="366"/>
        <v>1.3210000000000001E-2</v>
      </c>
      <c r="L144" s="58">
        <f t="shared" si="366"/>
        <v>2.0879999999999999E-2</v>
      </c>
      <c r="M144" s="58">
        <f t="shared" si="366"/>
        <v>2.163E-3</v>
      </c>
      <c r="N144" s="58">
        <f t="shared" si="366"/>
        <v>0.1032</v>
      </c>
      <c r="O144" s="58">
        <f t="shared" si="366"/>
        <v>0.50280000000000002</v>
      </c>
      <c r="P144" s="58">
        <f t="shared" si="366"/>
        <v>2.5799999999999998E-4</v>
      </c>
      <c r="Q144" s="58">
        <f t="shared" si="366"/>
        <v>5.6159999999999995E-3</v>
      </c>
      <c r="R144" s="58">
        <f t="shared" si="366"/>
        <v>1.9170000000000003E-2</v>
      </c>
      <c r="S144" s="58">
        <f t="shared" si="366"/>
        <v>3.7329999999999995E-2</v>
      </c>
      <c r="T144" s="58">
        <f t="shared" si="366"/>
        <v>1.5120000000000001E-3</v>
      </c>
      <c r="U144" s="59">
        <v>0.94886999999999999</v>
      </c>
      <c r="V144" s="59">
        <v>0.93835999999999997</v>
      </c>
      <c r="W144" s="58">
        <f t="shared" ref="W144:Z144" si="367">W64/1000</f>
        <v>1.7299999999999998E-4</v>
      </c>
      <c r="X144" s="58">
        <f t="shared" si="367"/>
        <v>1.1009999999999999E-2</v>
      </c>
      <c r="Y144" s="58">
        <f t="shared" si="367"/>
        <v>1.41E-2</v>
      </c>
      <c r="Z144" s="58">
        <f t="shared" si="367"/>
        <v>0.33460000000000001</v>
      </c>
      <c r="AA144" s="59">
        <v>1.01387</v>
      </c>
      <c r="AB144" s="59">
        <v>1.1129500000000001</v>
      </c>
      <c r="AC144" s="58">
        <f t="shared" ref="AC144:AI144" si="368">AC64/1000</f>
        <v>3.1000000000000001E-5</v>
      </c>
      <c r="AD144" s="58">
        <f t="shared" si="368"/>
        <v>4.8099999999999998E-4</v>
      </c>
      <c r="AE144" s="58">
        <f t="shared" si="368"/>
        <v>9.9999999999999995E-7</v>
      </c>
      <c r="AF144" s="58">
        <f t="shared" si="368"/>
        <v>5.0000000000000004E-6</v>
      </c>
      <c r="AG144" s="58">
        <f t="shared" si="368"/>
        <v>8.2999999999999998E-5</v>
      </c>
      <c r="AH144" s="58">
        <f t="shared" si="368"/>
        <v>1.9000000000000001E-5</v>
      </c>
      <c r="AI144" s="58">
        <f t="shared" si="368"/>
        <v>9.3999999999999994E-5</v>
      </c>
      <c r="AJ144" s="59">
        <v>0.92337999999999998</v>
      </c>
      <c r="AK144" s="59">
        <v>1.1033999999999999</v>
      </c>
      <c r="AL144" s="58">
        <f t="shared" ref="AL144:BN144" si="369">AM64/1000</f>
        <v>2.6999999999999999E-5</v>
      </c>
      <c r="AM144" s="58">
        <f t="shared" si="369"/>
        <v>0</v>
      </c>
      <c r="AN144" s="58">
        <f t="shared" si="369"/>
        <v>1.25E-4</v>
      </c>
      <c r="AO144" s="58">
        <f t="shared" si="369"/>
        <v>4.0250000000000001E-2</v>
      </c>
      <c r="AP144" s="58">
        <f t="shared" si="369"/>
        <v>4.0060000000000005E-2</v>
      </c>
      <c r="AQ144" s="58">
        <f t="shared" si="369"/>
        <v>3.2900000000000003E-4</v>
      </c>
      <c r="AR144" s="58">
        <f t="shared" si="369"/>
        <v>6.6600000000000003E-4</v>
      </c>
      <c r="AS144" s="58">
        <f t="shared" si="369"/>
        <v>8.0000000000000007E-5</v>
      </c>
      <c r="AT144" s="58">
        <f t="shared" si="369"/>
        <v>2.92E-4</v>
      </c>
      <c r="AU144" s="58">
        <f t="shared" si="369"/>
        <v>5.8999999999999998E-5</v>
      </c>
      <c r="AV144" s="58">
        <f t="shared" si="369"/>
        <v>1.7E-5</v>
      </c>
      <c r="AW144" s="58">
        <f t="shared" si="369"/>
        <v>5.1E-5</v>
      </c>
      <c r="AX144" s="58">
        <f t="shared" si="369"/>
        <v>6.9999999999999999E-6</v>
      </c>
      <c r="AY144" s="58">
        <f t="shared" si="369"/>
        <v>3.6999999999999998E-5</v>
      </c>
      <c r="AZ144" s="58">
        <f t="shared" si="369"/>
        <v>6.9999999999999999E-6</v>
      </c>
      <c r="BA144" s="58">
        <f t="shared" si="369"/>
        <v>1.9000000000000001E-5</v>
      </c>
      <c r="BB144" s="58">
        <f t="shared" si="369"/>
        <v>3.0000000000000001E-6</v>
      </c>
      <c r="BC144" s="58">
        <f t="shared" si="369"/>
        <v>1.7E-5</v>
      </c>
      <c r="BD144" s="58">
        <f t="shared" si="369"/>
        <v>1.9999999999999999E-6</v>
      </c>
      <c r="BE144" s="58">
        <f t="shared" si="369"/>
        <v>9.9999999999999995E-7</v>
      </c>
      <c r="BF144" s="58">
        <f t="shared" si="369"/>
        <v>3.8999999999999999E-5</v>
      </c>
      <c r="BG144" s="58">
        <f t="shared" si="369"/>
        <v>8.4000000000000009E-5</v>
      </c>
      <c r="BH144" s="58">
        <f t="shared" si="369"/>
        <v>8.7000000000000001E-5</v>
      </c>
      <c r="BI144" s="58">
        <f t="shared" si="369"/>
        <v>0</v>
      </c>
      <c r="BJ144" s="58">
        <f t="shared" si="369"/>
        <v>0</v>
      </c>
      <c r="BK144" s="58">
        <f t="shared" si="369"/>
        <v>7.0000000000000007E-5</v>
      </c>
      <c r="BL144" s="58">
        <f t="shared" si="369"/>
        <v>5.0000000000000004E-6</v>
      </c>
      <c r="BM144" s="58">
        <f t="shared" si="369"/>
        <v>3.872E-3</v>
      </c>
      <c r="BN144" s="58">
        <f t="shared" si="369"/>
        <v>8.9619999999999999E-4</v>
      </c>
      <c r="BO144" s="59">
        <v>0.8962</v>
      </c>
      <c r="BP144" s="59">
        <v>1.0528599999999999</v>
      </c>
      <c r="BQ144" s="58">
        <f t="shared" ref="BQ144:BR144" si="370">BQ64/1000</f>
        <v>9.800000000000001E-5</v>
      </c>
      <c r="BR144" s="58">
        <f t="shared" si="370"/>
        <v>1.4999999999999999E-5</v>
      </c>
    </row>
    <row r="145" spans="1:70" ht="15.95" customHeight="1" x14ac:dyDescent="0.25">
      <c r="A145" s="58" t="s">
        <v>76</v>
      </c>
      <c r="B145" s="58">
        <f t="shared" ref="B145:G145" si="371">B65/1000</f>
        <v>0.32350000000000001</v>
      </c>
      <c r="C145" s="58">
        <f t="shared" si="371"/>
        <v>5.0739999999999998</v>
      </c>
      <c r="D145" s="58">
        <f t="shared" si="371"/>
        <v>0.75839999999999996</v>
      </c>
      <c r="E145" s="58">
        <f t="shared" si="371"/>
        <v>2.085</v>
      </c>
      <c r="F145" s="58">
        <f t="shared" si="371"/>
        <v>30.6</v>
      </c>
      <c r="G145" s="58">
        <f t="shared" si="371"/>
        <v>56.17</v>
      </c>
      <c r="H145" s="59">
        <v>1.0532699999999999</v>
      </c>
      <c r="I145" s="59">
        <v>1.0823100000000001</v>
      </c>
      <c r="J145" s="58">
        <f t="shared" ref="J145:T145" si="372">J65/1000</f>
        <v>0.3271</v>
      </c>
      <c r="K145" s="58">
        <f t="shared" si="372"/>
        <v>2.794E-2</v>
      </c>
      <c r="L145" s="58">
        <f t="shared" si="372"/>
        <v>3.5970000000000002E-2</v>
      </c>
      <c r="M145" s="58">
        <f t="shared" si="372"/>
        <v>2.9069999999999999E-3</v>
      </c>
      <c r="N145" s="58">
        <f t="shared" si="372"/>
        <v>0.10579999999999999</v>
      </c>
      <c r="O145" s="58">
        <f t="shared" si="372"/>
        <v>0.99239999999999995</v>
      </c>
      <c r="P145" s="58">
        <f t="shared" si="372"/>
        <v>4.55E-4</v>
      </c>
      <c r="Q145" s="58">
        <f t="shared" si="372"/>
        <v>4.9640000000000005E-3</v>
      </c>
      <c r="R145" s="58">
        <f t="shared" si="372"/>
        <v>3.2210000000000003E-2</v>
      </c>
      <c r="S145" s="58">
        <f t="shared" si="372"/>
        <v>4.1390000000000003E-2</v>
      </c>
      <c r="T145" s="58">
        <f t="shared" si="372"/>
        <v>1.885E-3</v>
      </c>
      <c r="U145" s="59">
        <v>0.95420000000000005</v>
      </c>
      <c r="V145" s="59">
        <v>0.93052000000000001</v>
      </c>
      <c r="W145" s="58">
        <f t="shared" ref="W145:Z145" si="373">W65/1000</f>
        <v>2.4600000000000002E-4</v>
      </c>
      <c r="X145" s="58">
        <f t="shared" si="373"/>
        <v>2.2429999999999999E-2</v>
      </c>
      <c r="Y145" s="58">
        <f t="shared" si="373"/>
        <v>1.823E-2</v>
      </c>
      <c r="Z145" s="58">
        <f t="shared" si="373"/>
        <v>0.17460000000000001</v>
      </c>
      <c r="AA145" s="59">
        <v>1.0210300000000001</v>
      </c>
      <c r="AB145" s="59">
        <v>1.11425</v>
      </c>
      <c r="AC145" s="58">
        <f t="shared" ref="AC145:AI145" si="374">AC65/1000</f>
        <v>8.599999999999999E-5</v>
      </c>
      <c r="AD145" s="58">
        <f t="shared" si="374"/>
        <v>6.38E-4</v>
      </c>
      <c r="AE145" s="58">
        <f t="shared" si="374"/>
        <v>0</v>
      </c>
      <c r="AF145" s="58">
        <f t="shared" si="374"/>
        <v>5.0000000000000004E-6</v>
      </c>
      <c r="AG145" s="58">
        <f t="shared" si="374"/>
        <v>4.4999999999999996E-5</v>
      </c>
      <c r="AH145" s="58">
        <f t="shared" si="374"/>
        <v>2.5700000000000001E-4</v>
      </c>
      <c r="AI145" s="58">
        <f t="shared" si="374"/>
        <v>8.7999999999999998E-5</v>
      </c>
      <c r="AJ145" s="59">
        <v>0.92684999999999995</v>
      </c>
      <c r="AK145" s="59">
        <v>1.1044499999999999</v>
      </c>
      <c r="AL145" s="58">
        <f t="shared" ref="AL145:BN145" si="375">AM65/1000</f>
        <v>7.8999999999999996E-5</v>
      </c>
      <c r="AM145" s="58">
        <f t="shared" si="375"/>
        <v>1.9999999999999999E-6</v>
      </c>
      <c r="AN145" s="58">
        <f t="shared" si="375"/>
        <v>2.7500000000000002E-4</v>
      </c>
      <c r="AO145" s="58">
        <f t="shared" si="375"/>
        <v>4.8500000000000001E-2</v>
      </c>
      <c r="AP145" s="58">
        <f t="shared" si="375"/>
        <v>5.5969999999999999E-2</v>
      </c>
      <c r="AQ145" s="58">
        <f t="shared" si="375"/>
        <v>6.9499999999999998E-4</v>
      </c>
      <c r="AR145" s="58">
        <f t="shared" si="375"/>
        <v>1.3700000000000001E-3</v>
      </c>
      <c r="AS145" s="58">
        <f t="shared" si="375"/>
        <v>1.7000000000000001E-4</v>
      </c>
      <c r="AT145" s="58">
        <f t="shared" si="375"/>
        <v>6.3000000000000003E-4</v>
      </c>
      <c r="AU145" s="58">
        <f t="shared" si="375"/>
        <v>1.2400000000000001E-4</v>
      </c>
      <c r="AV145" s="58">
        <f t="shared" si="375"/>
        <v>2.9999999999999997E-5</v>
      </c>
      <c r="AW145" s="58">
        <f t="shared" si="375"/>
        <v>1.11E-4</v>
      </c>
      <c r="AX145" s="58">
        <f t="shared" si="375"/>
        <v>1.4999999999999999E-5</v>
      </c>
      <c r="AY145" s="58">
        <f t="shared" si="375"/>
        <v>7.7999999999999999E-5</v>
      </c>
      <c r="AZ145" s="58">
        <f t="shared" si="375"/>
        <v>1.4999999999999999E-5</v>
      </c>
      <c r="BA145" s="58">
        <f t="shared" si="375"/>
        <v>4.2000000000000004E-5</v>
      </c>
      <c r="BB145" s="58">
        <f t="shared" si="375"/>
        <v>6.0000000000000002E-6</v>
      </c>
      <c r="BC145" s="58">
        <f t="shared" si="375"/>
        <v>3.5999999999999994E-5</v>
      </c>
      <c r="BD145" s="58">
        <f t="shared" si="375"/>
        <v>5.0000000000000004E-6</v>
      </c>
      <c r="BE145" s="58">
        <f t="shared" si="375"/>
        <v>1.9999999999999999E-6</v>
      </c>
      <c r="BF145" s="58">
        <f t="shared" si="375"/>
        <v>7.1999999999999988E-5</v>
      </c>
      <c r="BG145" s="58">
        <f t="shared" si="375"/>
        <v>2.6600000000000001E-4</v>
      </c>
      <c r="BH145" s="58">
        <f t="shared" si="375"/>
        <v>2.72E-4</v>
      </c>
      <c r="BI145" s="58">
        <f t="shared" si="375"/>
        <v>0</v>
      </c>
      <c r="BJ145" s="58">
        <f t="shared" si="375"/>
        <v>0</v>
      </c>
      <c r="BK145" s="58">
        <f t="shared" si="375"/>
        <v>1.36E-4</v>
      </c>
      <c r="BL145" s="58">
        <f t="shared" si="375"/>
        <v>1.0000000000000001E-5</v>
      </c>
      <c r="BM145" s="58">
        <f t="shared" si="375"/>
        <v>1.474E-2</v>
      </c>
      <c r="BN145" s="58">
        <f t="shared" si="375"/>
        <v>9.0158999999999997E-4</v>
      </c>
      <c r="BO145" s="59">
        <v>0.90159</v>
      </c>
      <c r="BP145" s="59">
        <v>1.04959</v>
      </c>
      <c r="BQ145" s="58">
        <f t="shared" ref="BQ145:BR145" si="376">BQ65/1000</f>
        <v>2.1100000000000001E-4</v>
      </c>
      <c r="BR145" s="58">
        <f t="shared" si="376"/>
        <v>3.4E-5</v>
      </c>
    </row>
    <row r="146" spans="1:70" ht="15.95" customHeight="1" x14ac:dyDescent="0.25">
      <c r="A146" s="58" t="s">
        <v>77</v>
      </c>
      <c r="B146" s="58">
        <f t="shared" ref="B146:G146" si="377">B66/1000</f>
        <v>0.2898</v>
      </c>
      <c r="C146" s="58">
        <f t="shared" si="377"/>
        <v>4.8819999999999997</v>
      </c>
      <c r="D146" s="58">
        <f t="shared" si="377"/>
        <v>0.27400000000000002</v>
      </c>
      <c r="E146" s="58">
        <f t="shared" si="377"/>
        <v>3.7570000000000001</v>
      </c>
      <c r="F146" s="58">
        <f t="shared" si="377"/>
        <v>51.15</v>
      </c>
      <c r="G146" s="58">
        <f t="shared" si="377"/>
        <v>48.74</v>
      </c>
      <c r="H146" s="59">
        <v>1.0305899999999999</v>
      </c>
      <c r="I146" s="59">
        <v>1.06596</v>
      </c>
      <c r="J146" s="58">
        <f t="shared" ref="J146:T146" si="378">J66/1000</f>
        <v>0.26280000000000003</v>
      </c>
      <c r="K146" s="58">
        <f t="shared" si="378"/>
        <v>9.1910000000000013E-3</v>
      </c>
      <c r="L146" s="58">
        <f t="shared" si="378"/>
        <v>1.5949999999999999E-2</v>
      </c>
      <c r="M146" s="58">
        <f t="shared" si="378"/>
        <v>1.9919999999999998E-3</v>
      </c>
      <c r="N146" s="58">
        <f t="shared" si="378"/>
        <v>6.4170000000000005E-2</v>
      </c>
      <c r="O146" s="58">
        <f t="shared" si="378"/>
        <v>0.49249999999999999</v>
      </c>
      <c r="P146" s="58">
        <f t="shared" si="378"/>
        <v>3.68E-4</v>
      </c>
      <c r="Q146" s="58">
        <f t="shared" si="378"/>
        <v>4.0490000000000005E-3</v>
      </c>
      <c r="R146" s="58">
        <f t="shared" si="378"/>
        <v>2.393E-2</v>
      </c>
      <c r="S146" s="58">
        <f t="shared" si="378"/>
        <v>4.8329999999999998E-2</v>
      </c>
      <c r="T146" s="58">
        <f t="shared" si="378"/>
        <v>1.242E-3</v>
      </c>
      <c r="U146" s="59">
        <v>0.93069000000000002</v>
      </c>
      <c r="V146" s="59">
        <v>0.92225999999999997</v>
      </c>
      <c r="W146" s="58">
        <f t="shared" ref="W146:Z146" si="379">W66/1000</f>
        <v>1.8799999999999999E-4</v>
      </c>
      <c r="X146" s="58">
        <f t="shared" si="379"/>
        <v>4.2939999999999992E-3</v>
      </c>
      <c r="Y146" s="58">
        <f t="shared" si="379"/>
        <v>1.6969999999999999E-2</v>
      </c>
      <c r="Z146" s="58">
        <f t="shared" si="379"/>
        <v>0.25930000000000003</v>
      </c>
      <c r="AA146" s="59">
        <v>0.99160000000000004</v>
      </c>
      <c r="AB146" s="59">
        <v>1.09497</v>
      </c>
      <c r="AC146" s="58">
        <f t="shared" ref="AC146:AI146" si="380">AC66/1000</f>
        <v>2.6999999999999999E-5</v>
      </c>
      <c r="AD146" s="58">
        <f t="shared" si="380"/>
        <v>3.8099999999999999E-4</v>
      </c>
      <c r="AE146" s="58">
        <f t="shared" si="380"/>
        <v>9.9999999999999995E-7</v>
      </c>
      <c r="AF146" s="58">
        <f t="shared" si="380"/>
        <v>3.9999999999999998E-6</v>
      </c>
      <c r="AG146" s="58">
        <f t="shared" si="380"/>
        <v>6.7999999999999999E-5</v>
      </c>
      <c r="AH146" s="58">
        <f t="shared" si="380"/>
        <v>2.6999999999999999E-5</v>
      </c>
      <c r="AI146" s="58">
        <f t="shared" si="380"/>
        <v>1.6100000000000001E-4</v>
      </c>
      <c r="AJ146" s="59">
        <v>0.90207000000000004</v>
      </c>
      <c r="AK146" s="59">
        <v>1.08935</v>
      </c>
      <c r="AL146" s="58">
        <f t="shared" ref="AL146:BN146" si="381">AM66/1000</f>
        <v>6.6000000000000005E-5</v>
      </c>
      <c r="AM146" s="58">
        <f t="shared" si="381"/>
        <v>9.9999999999999995E-7</v>
      </c>
      <c r="AN146" s="58">
        <f t="shared" si="381"/>
        <v>8.2999999999999998E-5</v>
      </c>
      <c r="AO146" s="58">
        <f t="shared" si="381"/>
        <v>3.3570000000000003E-2</v>
      </c>
      <c r="AP146" s="58">
        <f t="shared" si="381"/>
        <v>3.3710000000000004E-2</v>
      </c>
      <c r="AQ146" s="58">
        <f t="shared" si="381"/>
        <v>2.43E-4</v>
      </c>
      <c r="AR146" s="58">
        <f t="shared" si="381"/>
        <v>4.7099999999999996E-4</v>
      </c>
      <c r="AS146" s="58">
        <f t="shared" si="381"/>
        <v>5.8E-5</v>
      </c>
      <c r="AT146" s="58">
        <f t="shared" si="381"/>
        <v>2.24E-4</v>
      </c>
      <c r="AU146" s="58">
        <f t="shared" si="381"/>
        <v>4.2999999999999995E-5</v>
      </c>
      <c r="AV146" s="58">
        <f t="shared" si="381"/>
        <v>1.2999999999999999E-5</v>
      </c>
      <c r="AW146" s="58">
        <f t="shared" si="381"/>
        <v>3.8000000000000002E-5</v>
      </c>
      <c r="AX146" s="58">
        <f t="shared" si="381"/>
        <v>6.0000000000000002E-6</v>
      </c>
      <c r="AY146" s="58">
        <f t="shared" si="381"/>
        <v>2.8E-5</v>
      </c>
      <c r="AZ146" s="58">
        <f t="shared" si="381"/>
        <v>5.0000000000000004E-6</v>
      </c>
      <c r="BA146" s="58">
        <f t="shared" si="381"/>
        <v>1.4E-5</v>
      </c>
      <c r="BB146" s="58">
        <f t="shared" si="381"/>
        <v>1.9999999999999999E-6</v>
      </c>
      <c r="BC146" s="58">
        <f t="shared" si="381"/>
        <v>1.2999999999999999E-5</v>
      </c>
      <c r="BD146" s="58">
        <f t="shared" si="381"/>
        <v>1.9999999999999999E-6</v>
      </c>
      <c r="BE146" s="58">
        <f t="shared" si="381"/>
        <v>9.9999999999999995E-7</v>
      </c>
      <c r="BF146" s="58">
        <f t="shared" si="381"/>
        <v>3.8999999999999999E-5</v>
      </c>
      <c r="BG146" s="58">
        <f t="shared" si="381"/>
        <v>9.5000000000000005E-5</v>
      </c>
      <c r="BH146" s="58">
        <f t="shared" si="381"/>
        <v>9.6000000000000002E-5</v>
      </c>
      <c r="BI146" s="58">
        <f t="shared" si="381"/>
        <v>0</v>
      </c>
      <c r="BJ146" s="58">
        <f t="shared" si="381"/>
        <v>0</v>
      </c>
      <c r="BK146" s="58">
        <f t="shared" si="381"/>
        <v>1.26E-4</v>
      </c>
      <c r="BL146" s="58">
        <f t="shared" si="381"/>
        <v>1.1E-5</v>
      </c>
      <c r="BM146" s="58">
        <f t="shared" si="381"/>
        <v>2.2040000000000002E-3</v>
      </c>
      <c r="BN146" s="58">
        <f t="shared" si="381"/>
        <v>8.7794000000000001E-4</v>
      </c>
      <c r="BO146" s="59">
        <v>0.87794000000000005</v>
      </c>
      <c r="BP146" s="59">
        <v>1.03837</v>
      </c>
      <c r="BQ146" s="58">
        <f t="shared" ref="BQ146:BR146" si="382">BQ66/1000</f>
        <v>7.4999999999999993E-5</v>
      </c>
      <c r="BR146" s="58">
        <f t="shared" si="382"/>
        <v>1.2E-5</v>
      </c>
    </row>
    <row r="147" spans="1:70" ht="15.95" customHeight="1" x14ac:dyDescent="0.25">
      <c r="A147" s="58" t="s">
        <v>78</v>
      </c>
      <c r="B147" s="58">
        <f t="shared" ref="B147:G147" si="383">B67/1000</f>
        <v>0.61460000000000004</v>
      </c>
      <c r="C147" s="58">
        <f t="shared" si="383"/>
        <v>4.7770000000000001</v>
      </c>
      <c r="D147" s="58">
        <f t="shared" si="383"/>
        <v>0.89460000000000006</v>
      </c>
      <c r="E147" s="58">
        <f t="shared" si="383"/>
        <v>2.2599999999999998</v>
      </c>
      <c r="F147" s="58">
        <f t="shared" si="383"/>
        <v>37.700000000000003</v>
      </c>
      <c r="G147" s="58">
        <f t="shared" si="383"/>
        <v>59.87</v>
      </c>
      <c r="H147" s="59">
        <v>1.0288200000000001</v>
      </c>
      <c r="I147" s="59">
        <v>1.06091</v>
      </c>
      <c r="J147" s="58">
        <f t="shared" ref="J147:T147" si="384">J67/1000</f>
        <v>0.35460000000000003</v>
      </c>
      <c r="K147" s="58">
        <f t="shared" si="384"/>
        <v>3.5679999999999996E-2</v>
      </c>
      <c r="L147" s="58">
        <f t="shared" si="384"/>
        <v>3.8649999999999997E-2</v>
      </c>
      <c r="M147" s="58">
        <f t="shared" si="384"/>
        <v>3.016E-3</v>
      </c>
      <c r="N147" s="58">
        <f t="shared" si="384"/>
        <v>0.1605</v>
      </c>
      <c r="O147" s="58">
        <f t="shared" si="384"/>
        <v>1.359</v>
      </c>
      <c r="P147" s="58">
        <f t="shared" si="384"/>
        <v>4.6100000000000004E-4</v>
      </c>
      <c r="Q147" s="58">
        <f t="shared" si="384"/>
        <v>2.5379999999999999E-3</v>
      </c>
      <c r="R147" s="58">
        <f t="shared" si="384"/>
        <v>3.211E-2</v>
      </c>
      <c r="S147" s="58">
        <f t="shared" si="384"/>
        <v>3.5060000000000001E-2</v>
      </c>
      <c r="T147" s="58">
        <f t="shared" si="384"/>
        <v>1.256E-3</v>
      </c>
      <c r="U147" s="59">
        <v>0.92835999999999996</v>
      </c>
      <c r="V147" s="59">
        <v>0.90593999999999997</v>
      </c>
      <c r="W147" s="58">
        <f t="shared" ref="W147:Z147" si="385">W67/1000</f>
        <v>3.3600000000000004E-4</v>
      </c>
      <c r="X147" s="58">
        <f t="shared" si="385"/>
        <v>1.1050000000000001E-2</v>
      </c>
      <c r="Y147" s="58">
        <f t="shared" si="385"/>
        <v>3.058E-2</v>
      </c>
      <c r="Z147" s="58">
        <f t="shared" si="385"/>
        <v>0.26589999999999997</v>
      </c>
      <c r="AA147" s="59">
        <v>0.99094000000000004</v>
      </c>
      <c r="AB147" s="59">
        <v>1.09287</v>
      </c>
      <c r="AC147" s="58">
        <f t="shared" ref="AC147:AI147" si="386">AC67/1000</f>
        <v>8.7999999999999998E-5</v>
      </c>
      <c r="AD147" s="58">
        <f t="shared" si="386"/>
        <v>4.1299999999999996E-4</v>
      </c>
      <c r="AE147" s="58">
        <f t="shared" si="386"/>
        <v>9.9999999999999995E-7</v>
      </c>
      <c r="AF147" s="58">
        <f t="shared" si="386"/>
        <v>6.9999999999999999E-6</v>
      </c>
      <c r="AG147" s="58">
        <f t="shared" si="386"/>
        <v>6.3999999999999997E-5</v>
      </c>
      <c r="AH147" s="58">
        <f t="shared" si="386"/>
        <v>2.4399999999999999E-4</v>
      </c>
      <c r="AI147" s="58">
        <f t="shared" si="386"/>
        <v>5.1999999999999997E-5</v>
      </c>
      <c r="AJ147" s="59">
        <v>0.90193000000000001</v>
      </c>
      <c r="AK147" s="59">
        <v>1.0843799999999999</v>
      </c>
      <c r="AL147" s="58">
        <f t="shared" ref="AL147:BN147" si="387">AM67/1000</f>
        <v>1.15E-4</v>
      </c>
      <c r="AM147" s="58">
        <f t="shared" si="387"/>
        <v>5.0000000000000004E-6</v>
      </c>
      <c r="AN147" s="58">
        <f t="shared" si="387"/>
        <v>4.9200000000000003E-4</v>
      </c>
      <c r="AO147" s="58">
        <f t="shared" si="387"/>
        <v>3.0920000000000003E-2</v>
      </c>
      <c r="AP147" s="58">
        <f t="shared" si="387"/>
        <v>3.1010000000000003E-2</v>
      </c>
      <c r="AQ147" s="58">
        <f t="shared" si="387"/>
        <v>7.8300000000000006E-4</v>
      </c>
      <c r="AR147" s="58">
        <f t="shared" si="387"/>
        <v>1.6040000000000002E-3</v>
      </c>
      <c r="AS147" s="58">
        <f t="shared" si="387"/>
        <v>1.92E-4</v>
      </c>
      <c r="AT147" s="58">
        <f t="shared" si="387"/>
        <v>7.3300000000000004E-4</v>
      </c>
      <c r="AU147" s="58">
        <f t="shared" si="387"/>
        <v>1.4099999999999998E-4</v>
      </c>
      <c r="AV147" s="58">
        <f t="shared" si="387"/>
        <v>3.1999999999999999E-5</v>
      </c>
      <c r="AW147" s="58">
        <f t="shared" si="387"/>
        <v>1.2300000000000001E-4</v>
      </c>
      <c r="AX147" s="58">
        <f t="shared" si="387"/>
        <v>1.7999999999999997E-5</v>
      </c>
      <c r="AY147" s="58">
        <f t="shared" si="387"/>
        <v>9.1000000000000003E-5</v>
      </c>
      <c r="AZ147" s="58">
        <f t="shared" si="387"/>
        <v>1.7E-5</v>
      </c>
      <c r="BA147" s="58">
        <f t="shared" si="387"/>
        <v>4.6999999999999997E-5</v>
      </c>
      <c r="BB147" s="58">
        <f t="shared" si="387"/>
        <v>6.0000000000000002E-6</v>
      </c>
      <c r="BC147" s="58">
        <f t="shared" si="387"/>
        <v>4.0000000000000003E-5</v>
      </c>
      <c r="BD147" s="58">
        <f t="shared" si="387"/>
        <v>6.0000000000000002E-6</v>
      </c>
      <c r="BE147" s="58">
        <f t="shared" si="387"/>
        <v>1.9999999999999999E-6</v>
      </c>
      <c r="BF147" s="58">
        <f t="shared" si="387"/>
        <v>9.2E-5</v>
      </c>
      <c r="BG147" s="58">
        <f t="shared" si="387"/>
        <v>8.4000000000000009E-5</v>
      </c>
      <c r="BH147" s="58">
        <f t="shared" si="387"/>
        <v>8.8999999999999995E-5</v>
      </c>
      <c r="BI147" s="58">
        <f t="shared" si="387"/>
        <v>0</v>
      </c>
      <c r="BJ147" s="58">
        <f t="shared" si="387"/>
        <v>9.9999999999999995E-7</v>
      </c>
      <c r="BK147" s="58">
        <f t="shared" si="387"/>
        <v>1.27E-4</v>
      </c>
      <c r="BL147" s="58">
        <f t="shared" si="387"/>
        <v>1.5999999999999999E-5</v>
      </c>
      <c r="BM147" s="58">
        <f t="shared" si="387"/>
        <v>6.3070000000000001E-3</v>
      </c>
      <c r="BN147" s="58">
        <f t="shared" si="387"/>
        <v>8.7695000000000004E-4</v>
      </c>
      <c r="BO147" s="59">
        <v>0.87695000000000001</v>
      </c>
      <c r="BP147" s="59">
        <v>1.0430999999999999</v>
      </c>
      <c r="BQ147" s="58">
        <f t="shared" ref="BQ147:BR147" si="388">BQ67/1000</f>
        <v>2.3599999999999999E-4</v>
      </c>
      <c r="BR147" s="58">
        <f t="shared" si="388"/>
        <v>3.8000000000000002E-5</v>
      </c>
    </row>
    <row r="148" spans="1:70" ht="15.95" customHeight="1" x14ac:dyDescent="0.25">
      <c r="A148" s="58" t="s">
        <v>79</v>
      </c>
      <c r="B148" s="58">
        <f t="shared" ref="B148:G148" si="389">B68/1000</f>
        <v>0.36069999999999997</v>
      </c>
      <c r="C148" s="58">
        <f t="shared" si="389"/>
        <v>4.782</v>
      </c>
      <c r="D148" s="58">
        <f t="shared" si="389"/>
        <v>0.56629999999999991</v>
      </c>
      <c r="E148" s="58">
        <f t="shared" si="389"/>
        <v>3.3809999999999998</v>
      </c>
      <c r="F148" s="58">
        <f t="shared" si="389"/>
        <v>45.48</v>
      </c>
      <c r="G148" s="58">
        <f t="shared" si="389"/>
        <v>42.48</v>
      </c>
      <c r="H148" s="59">
        <v>1.0370699999999999</v>
      </c>
      <c r="I148" s="59">
        <v>1.07585</v>
      </c>
      <c r="J148" s="58">
        <f t="shared" ref="J148:T148" si="390">J68/1000</f>
        <v>0.24780000000000002</v>
      </c>
      <c r="K148" s="58">
        <f t="shared" si="390"/>
        <v>2.2940000000000002E-2</v>
      </c>
      <c r="L148" s="58">
        <f t="shared" si="390"/>
        <v>2.988E-2</v>
      </c>
      <c r="M148" s="58">
        <f t="shared" si="390"/>
        <v>2.8319999999999999E-3</v>
      </c>
      <c r="N148" s="58">
        <f t="shared" si="390"/>
        <v>0.10579999999999999</v>
      </c>
      <c r="O148" s="58">
        <f t="shared" si="390"/>
        <v>0.92</v>
      </c>
      <c r="P148" s="58">
        <f t="shared" si="390"/>
        <v>4.4700000000000002E-4</v>
      </c>
      <c r="Q148" s="58">
        <f t="shared" si="390"/>
        <v>3.5980000000000001E-3</v>
      </c>
      <c r="R148" s="58">
        <f t="shared" si="390"/>
        <v>2.828E-2</v>
      </c>
      <c r="S148" s="58">
        <f t="shared" si="390"/>
        <v>3.737E-2</v>
      </c>
      <c r="T148" s="58">
        <f t="shared" si="390"/>
        <v>1.3129999999999999E-3</v>
      </c>
      <c r="U148" s="59">
        <v>0.92747999999999997</v>
      </c>
      <c r="V148" s="59">
        <v>0.92679</v>
      </c>
      <c r="W148" s="58">
        <f t="shared" ref="W148:Z148" si="391">W68/1000</f>
        <v>3.2200000000000002E-4</v>
      </c>
      <c r="X148" s="58">
        <f t="shared" si="391"/>
        <v>2.2510000000000002E-2</v>
      </c>
      <c r="Y148" s="58">
        <f t="shared" si="391"/>
        <v>9.5690000000000011E-3</v>
      </c>
      <c r="Z148" s="58">
        <f t="shared" si="391"/>
        <v>0.22440000000000002</v>
      </c>
      <c r="AA148" s="59">
        <v>0.99124999999999996</v>
      </c>
      <c r="AB148" s="59">
        <v>1.10748</v>
      </c>
      <c r="AC148" s="58">
        <f t="shared" ref="AC148:AI148" si="392">AC68/1000</f>
        <v>5.8999999999999998E-5</v>
      </c>
      <c r="AD148" s="58">
        <f t="shared" si="392"/>
        <v>2.9399999999999999E-4</v>
      </c>
      <c r="AE148" s="58">
        <f t="shared" si="392"/>
        <v>9.9999999999999995E-7</v>
      </c>
      <c r="AF148" s="58">
        <f t="shared" si="392"/>
        <v>3.9999999999999998E-6</v>
      </c>
      <c r="AG148" s="58">
        <f t="shared" si="392"/>
        <v>5.3000000000000001E-5</v>
      </c>
      <c r="AH148" s="58">
        <f t="shared" si="392"/>
        <v>1.4799999999999999E-4</v>
      </c>
      <c r="AI148" s="58">
        <f t="shared" si="392"/>
        <v>5.0000000000000002E-5</v>
      </c>
      <c r="AJ148" s="59">
        <v>0.90634999999999999</v>
      </c>
      <c r="AK148" s="59">
        <v>1.1010500000000001</v>
      </c>
      <c r="AL148" s="58">
        <f t="shared" ref="AL148:BN148" si="393">AM68/1000</f>
        <v>1.07E-4</v>
      </c>
      <c r="AM148" s="58">
        <f t="shared" si="393"/>
        <v>9.9999999999999995E-7</v>
      </c>
      <c r="AN148" s="58">
        <f t="shared" si="393"/>
        <v>1.1300000000000001E-4</v>
      </c>
      <c r="AO148" s="58">
        <f t="shared" si="393"/>
        <v>3.3680000000000002E-2</v>
      </c>
      <c r="AP148" s="58">
        <f t="shared" si="393"/>
        <v>3.3610000000000001E-2</v>
      </c>
      <c r="AQ148" s="58">
        <f t="shared" si="393"/>
        <v>5.6100000000000008E-4</v>
      </c>
      <c r="AR148" s="58">
        <f t="shared" si="393"/>
        <v>1.101E-3</v>
      </c>
      <c r="AS148" s="58">
        <f t="shared" si="393"/>
        <v>1.3700000000000002E-4</v>
      </c>
      <c r="AT148" s="58">
        <f t="shared" si="393"/>
        <v>5.1000000000000004E-4</v>
      </c>
      <c r="AU148" s="58">
        <f t="shared" si="393"/>
        <v>9.7E-5</v>
      </c>
      <c r="AV148" s="58">
        <f t="shared" si="393"/>
        <v>2.3E-5</v>
      </c>
      <c r="AW148" s="58">
        <f t="shared" si="393"/>
        <v>8.8999999999999995E-5</v>
      </c>
      <c r="AX148" s="58">
        <f t="shared" si="393"/>
        <v>1.2E-5</v>
      </c>
      <c r="AY148" s="58">
        <f t="shared" si="393"/>
        <v>6.0999999999999999E-5</v>
      </c>
      <c r="AZ148" s="58">
        <f t="shared" si="393"/>
        <v>1.2E-5</v>
      </c>
      <c r="BA148" s="58">
        <f t="shared" si="393"/>
        <v>2.9999999999999997E-5</v>
      </c>
      <c r="BB148" s="58">
        <f t="shared" si="393"/>
        <v>3.9999999999999998E-6</v>
      </c>
      <c r="BC148" s="58">
        <f t="shared" si="393"/>
        <v>2.5999999999999998E-5</v>
      </c>
      <c r="BD148" s="58">
        <f t="shared" si="393"/>
        <v>3.9999999999999998E-6</v>
      </c>
      <c r="BE148" s="58">
        <f t="shared" si="393"/>
        <v>9.9999999999999995E-7</v>
      </c>
      <c r="BF148" s="58">
        <f t="shared" si="393"/>
        <v>5.1999999999999997E-5</v>
      </c>
      <c r="BG148" s="58">
        <f t="shared" si="393"/>
        <v>5.9999999999999995E-5</v>
      </c>
      <c r="BH148" s="58">
        <f t="shared" si="393"/>
        <v>6.2000000000000003E-5</v>
      </c>
      <c r="BI148" s="58">
        <f t="shared" si="393"/>
        <v>0</v>
      </c>
      <c r="BJ148" s="58">
        <f t="shared" si="393"/>
        <v>0</v>
      </c>
      <c r="BK148" s="58">
        <f t="shared" si="393"/>
        <v>1.2799999999999999E-4</v>
      </c>
      <c r="BL148" s="58">
        <f t="shared" si="393"/>
        <v>7.9999999999999996E-6</v>
      </c>
      <c r="BM148" s="58">
        <f t="shared" si="393"/>
        <v>3.1329999999999999E-3</v>
      </c>
      <c r="BN148" s="58">
        <f t="shared" si="393"/>
        <v>8.7945999999999999E-4</v>
      </c>
      <c r="BO148" s="59">
        <v>0.87946000000000002</v>
      </c>
      <c r="BP148" s="59">
        <v>1.05183</v>
      </c>
      <c r="BQ148" s="58">
        <f t="shared" ref="BQ148:BR148" si="394">BQ68/1000</f>
        <v>1.5799999999999999E-4</v>
      </c>
      <c r="BR148" s="58">
        <f t="shared" si="394"/>
        <v>2.3E-5</v>
      </c>
    </row>
    <row r="149" spans="1:70" ht="15.95" customHeight="1" x14ac:dyDescent="0.25">
      <c r="A149" s="58" t="s">
        <v>80</v>
      </c>
      <c r="B149" s="58">
        <f t="shared" ref="B149:G149" si="395">B69/1000</f>
        <v>0.31060000000000004</v>
      </c>
      <c r="C149" s="58">
        <f t="shared" si="395"/>
        <v>5.7939999999999996</v>
      </c>
      <c r="D149" s="58">
        <f t="shared" si="395"/>
        <v>0.42610000000000003</v>
      </c>
      <c r="E149" s="58">
        <f t="shared" si="395"/>
        <v>4.6050000000000004</v>
      </c>
      <c r="F149" s="58">
        <f t="shared" si="395"/>
        <v>50.73</v>
      </c>
      <c r="G149" s="58">
        <f t="shared" si="395"/>
        <v>48.61</v>
      </c>
      <c r="H149" s="59">
        <v>1.04769</v>
      </c>
      <c r="I149" s="59">
        <v>1.0748800000000001</v>
      </c>
      <c r="J149" s="58">
        <f t="shared" ref="J149:T149" si="396">J69/1000</f>
        <v>0.27179999999999999</v>
      </c>
      <c r="K149" s="58">
        <f t="shared" si="396"/>
        <v>1.444E-2</v>
      </c>
      <c r="L149" s="58">
        <f t="shared" si="396"/>
        <v>2.0460000000000002E-2</v>
      </c>
      <c r="M149" s="58">
        <f t="shared" si="396"/>
        <v>1.8829999999999999E-3</v>
      </c>
      <c r="N149" s="58">
        <f t="shared" si="396"/>
        <v>0.14050000000000001</v>
      </c>
      <c r="O149" s="58">
        <f t="shared" si="396"/>
        <v>0.63800000000000001</v>
      </c>
      <c r="P149" s="58">
        <f t="shared" si="396"/>
        <v>3.4200000000000002E-4</v>
      </c>
      <c r="Q149" s="58">
        <f t="shared" si="396"/>
        <v>7.5690000000000002E-3</v>
      </c>
      <c r="R149" s="58">
        <f t="shared" si="396"/>
        <v>6.4140000000000003E-2</v>
      </c>
      <c r="S149" s="58">
        <f t="shared" si="396"/>
        <v>4.7140000000000001E-2</v>
      </c>
      <c r="T149" s="58">
        <f t="shared" si="396"/>
        <v>1.4170000000000001E-3</v>
      </c>
      <c r="U149" s="59">
        <v>0.94681000000000004</v>
      </c>
      <c r="V149" s="59">
        <v>0.92649999999999999</v>
      </c>
      <c r="W149" s="58">
        <f t="shared" ref="W149:Z149" si="397">W69/1000</f>
        <v>1.94E-4</v>
      </c>
      <c r="X149" s="58">
        <f t="shared" si="397"/>
        <v>3.5569999999999998E-3</v>
      </c>
      <c r="Y149" s="58">
        <f t="shared" si="397"/>
        <v>2.2239999999999999E-2</v>
      </c>
      <c r="Z149" s="58">
        <f t="shared" si="397"/>
        <v>0.22650000000000001</v>
      </c>
      <c r="AA149" s="59">
        <v>1.00003</v>
      </c>
      <c r="AB149" s="59">
        <v>1.09867</v>
      </c>
      <c r="AC149" s="58">
        <f t="shared" ref="AC149:AI149" si="398">AC69/1000</f>
        <v>3.6999999999999998E-5</v>
      </c>
      <c r="AD149" s="58">
        <f t="shared" si="398"/>
        <v>6.1499999999999999E-4</v>
      </c>
      <c r="AE149" s="58">
        <f t="shared" si="398"/>
        <v>0</v>
      </c>
      <c r="AF149" s="58">
        <f t="shared" si="398"/>
        <v>3.9999999999999998E-6</v>
      </c>
      <c r="AG149" s="58">
        <f t="shared" si="398"/>
        <v>5.3999999999999998E-5</v>
      </c>
      <c r="AH149" s="58">
        <f t="shared" si="398"/>
        <v>8.5000000000000006E-5</v>
      </c>
      <c r="AI149" s="58">
        <f t="shared" si="398"/>
        <v>1.6900000000000002E-4</v>
      </c>
      <c r="AJ149" s="59">
        <v>0.90788999999999997</v>
      </c>
      <c r="AK149" s="59">
        <v>1.0929500000000001</v>
      </c>
      <c r="AL149" s="58">
        <f t="shared" ref="AL149:BN149" si="399">AM69/1000</f>
        <v>4.2999999999999995E-5</v>
      </c>
      <c r="AM149" s="58">
        <f t="shared" si="399"/>
        <v>0</v>
      </c>
      <c r="AN149" s="58">
        <f t="shared" si="399"/>
        <v>1.5900000000000002E-4</v>
      </c>
      <c r="AO149" s="58">
        <f t="shared" si="399"/>
        <v>3.7870000000000001E-2</v>
      </c>
      <c r="AP149" s="58">
        <f t="shared" si="399"/>
        <v>3.7850000000000002E-2</v>
      </c>
      <c r="AQ149" s="58">
        <f t="shared" si="399"/>
        <v>3.3800000000000003E-4</v>
      </c>
      <c r="AR149" s="58">
        <f t="shared" si="399"/>
        <v>6.4900000000000005E-4</v>
      </c>
      <c r="AS149" s="58">
        <f t="shared" si="399"/>
        <v>8.2000000000000001E-5</v>
      </c>
      <c r="AT149" s="58">
        <f t="shared" si="399"/>
        <v>3.0199999999999997E-4</v>
      </c>
      <c r="AU149" s="58">
        <f t="shared" si="399"/>
        <v>6.3E-5</v>
      </c>
      <c r="AV149" s="58">
        <f t="shared" si="399"/>
        <v>2.0000000000000002E-5</v>
      </c>
      <c r="AW149" s="58">
        <f t="shared" si="399"/>
        <v>5.5000000000000002E-5</v>
      </c>
      <c r="AX149" s="58">
        <f t="shared" si="399"/>
        <v>7.9999999999999996E-6</v>
      </c>
      <c r="AY149" s="58">
        <f t="shared" si="399"/>
        <v>3.8999999999999999E-5</v>
      </c>
      <c r="AZ149" s="58">
        <f t="shared" si="399"/>
        <v>6.9999999999999999E-6</v>
      </c>
      <c r="BA149" s="58">
        <f t="shared" si="399"/>
        <v>2.0000000000000002E-5</v>
      </c>
      <c r="BB149" s="58">
        <f t="shared" si="399"/>
        <v>1.9999999999999999E-6</v>
      </c>
      <c r="BC149" s="58">
        <f t="shared" si="399"/>
        <v>1.5999999999999999E-5</v>
      </c>
      <c r="BD149" s="58">
        <f t="shared" si="399"/>
        <v>1.9999999999999999E-6</v>
      </c>
      <c r="BE149" s="58">
        <f t="shared" si="399"/>
        <v>9.9999999999999995E-7</v>
      </c>
      <c r="BF149" s="58">
        <f t="shared" si="399"/>
        <v>6.900000000000001E-5</v>
      </c>
      <c r="BG149" s="58">
        <f t="shared" si="399"/>
        <v>2.3400000000000002E-4</v>
      </c>
      <c r="BH149" s="58">
        <f t="shared" si="399"/>
        <v>2.43E-4</v>
      </c>
      <c r="BI149" s="58">
        <f t="shared" si="399"/>
        <v>0</v>
      </c>
      <c r="BJ149" s="58">
        <f t="shared" si="399"/>
        <v>0</v>
      </c>
      <c r="BK149" s="58">
        <f t="shared" si="399"/>
        <v>1.7100000000000001E-4</v>
      </c>
      <c r="BL149" s="58">
        <f t="shared" si="399"/>
        <v>8.9999999999999985E-6</v>
      </c>
      <c r="BM149" s="58">
        <f t="shared" si="399"/>
        <v>2.5600000000000002E-3</v>
      </c>
      <c r="BN149" s="58">
        <f t="shared" si="399"/>
        <v>8.8032999999999991E-4</v>
      </c>
      <c r="BO149" s="59">
        <v>0.88032999999999995</v>
      </c>
      <c r="BP149" s="59">
        <v>1.04129</v>
      </c>
      <c r="BQ149" s="58">
        <f t="shared" ref="BQ149:BR149" si="400">BQ69/1000</f>
        <v>1E-4</v>
      </c>
      <c r="BR149" s="58">
        <f t="shared" si="400"/>
        <v>1.7999999999999997E-5</v>
      </c>
    </row>
    <row r="150" spans="1:70" ht="15.95" customHeight="1" x14ac:dyDescent="0.25">
      <c r="A150" s="58" t="s">
        <v>81</v>
      </c>
      <c r="B150" s="58">
        <f t="shared" ref="B150:G150" si="401">B70/1000</f>
        <v>0.2301</v>
      </c>
      <c r="C150" s="58">
        <f t="shared" si="401"/>
        <v>4.0149999999999997</v>
      </c>
      <c r="D150" s="58">
        <f t="shared" si="401"/>
        <v>1.224</v>
      </c>
      <c r="E150" s="58">
        <f t="shared" si="401"/>
        <v>1.9339999999999999</v>
      </c>
      <c r="F150" s="58">
        <f t="shared" si="401"/>
        <v>44.76</v>
      </c>
      <c r="G150" s="58">
        <f t="shared" si="401"/>
        <v>49.02</v>
      </c>
      <c r="H150" s="59">
        <v>1.0548599999999999</v>
      </c>
      <c r="I150" s="59">
        <v>1.1080700000000001</v>
      </c>
      <c r="J150" s="58">
        <f t="shared" ref="J150:T150" si="402">J70/1000</f>
        <v>0.32419999999999999</v>
      </c>
      <c r="K150" s="58">
        <f t="shared" si="402"/>
        <v>5.3780000000000001E-2</v>
      </c>
      <c r="L150" s="58">
        <f t="shared" si="402"/>
        <v>5.5979999999999995E-2</v>
      </c>
      <c r="M150" s="58">
        <f t="shared" si="402"/>
        <v>3.565E-3</v>
      </c>
      <c r="N150" s="58">
        <f t="shared" si="402"/>
        <v>0.1183</v>
      </c>
      <c r="O150" s="58">
        <f t="shared" si="402"/>
        <v>1.823</v>
      </c>
      <c r="P150" s="58">
        <f t="shared" si="402"/>
        <v>8.070000000000001E-4</v>
      </c>
      <c r="Q150" s="58">
        <f t="shared" si="402"/>
        <v>3.7469999999999999E-3</v>
      </c>
      <c r="R150" s="58">
        <f t="shared" si="402"/>
        <v>3.4470000000000001E-2</v>
      </c>
      <c r="S150" s="58">
        <f t="shared" si="402"/>
        <v>3.8950000000000005E-2</v>
      </c>
      <c r="T150" s="58">
        <f t="shared" si="402"/>
        <v>1.33E-3</v>
      </c>
      <c r="U150" s="59">
        <v>0.94979000000000002</v>
      </c>
      <c r="V150" s="59">
        <v>0.94535999999999998</v>
      </c>
      <c r="W150" s="58">
        <f t="shared" ref="W150:Z150" si="403">W70/1000</f>
        <v>5.1500000000000005E-4</v>
      </c>
      <c r="X150" s="58">
        <f t="shared" si="403"/>
        <v>1.5980000000000001E-2</v>
      </c>
      <c r="Y150" s="58">
        <f t="shared" si="403"/>
        <v>4.2909999999999997E-2</v>
      </c>
      <c r="Z150" s="58">
        <f t="shared" si="403"/>
        <v>0.17660000000000001</v>
      </c>
      <c r="AA150" s="59">
        <v>1.01641</v>
      </c>
      <c r="AB150" s="59">
        <v>1.13411</v>
      </c>
      <c r="AC150" s="58">
        <f t="shared" ref="AC150:AI150" si="404">AC70/1000</f>
        <v>1.5699999999999999E-4</v>
      </c>
      <c r="AD150" s="58">
        <f t="shared" si="404"/>
        <v>7.9900000000000001E-4</v>
      </c>
      <c r="AE150" s="58">
        <f t="shared" si="404"/>
        <v>9.9999999999999995E-7</v>
      </c>
      <c r="AF150" s="58">
        <f t="shared" si="404"/>
        <v>3.9999999999999998E-6</v>
      </c>
      <c r="AG150" s="58">
        <f t="shared" si="404"/>
        <v>4.2000000000000004E-5</v>
      </c>
      <c r="AH150" s="58">
        <f t="shared" si="404"/>
        <v>3.7599999999999998E-4</v>
      </c>
      <c r="AI150" s="58">
        <f t="shared" si="404"/>
        <v>1.02E-4</v>
      </c>
      <c r="AJ150" s="59">
        <v>0.92040999999999995</v>
      </c>
      <c r="AK150" s="59">
        <v>1.1220399999999999</v>
      </c>
      <c r="AL150" s="58">
        <f t="shared" ref="AL150:BN150" si="405">AM70/1000</f>
        <v>1.8599999999999999E-4</v>
      </c>
      <c r="AM150" s="58">
        <f t="shared" si="405"/>
        <v>1.9999999999999999E-6</v>
      </c>
      <c r="AN150" s="58">
        <f t="shared" si="405"/>
        <v>4.7199999999999998E-4</v>
      </c>
      <c r="AO150" s="58">
        <f t="shared" si="405"/>
        <v>3.1120000000000002E-2</v>
      </c>
      <c r="AP150" s="58">
        <f t="shared" si="405"/>
        <v>3.1E-2</v>
      </c>
      <c r="AQ150" s="58">
        <f t="shared" si="405"/>
        <v>1.5009999999999999E-3</v>
      </c>
      <c r="AR150" s="58">
        <f t="shared" si="405"/>
        <v>2.9390000000000002E-3</v>
      </c>
      <c r="AS150" s="58">
        <f t="shared" si="405"/>
        <v>3.59E-4</v>
      </c>
      <c r="AT150" s="58">
        <f t="shared" si="405"/>
        <v>1.353E-3</v>
      </c>
      <c r="AU150" s="58">
        <f t="shared" si="405"/>
        <v>3.21E-4</v>
      </c>
      <c r="AV150" s="58">
        <f t="shared" si="405"/>
        <v>5.1999999999999997E-5</v>
      </c>
      <c r="AW150" s="58">
        <f t="shared" si="405"/>
        <v>2.3400000000000002E-4</v>
      </c>
      <c r="AX150" s="58">
        <f t="shared" si="405"/>
        <v>3.1999999999999999E-5</v>
      </c>
      <c r="AY150" s="58">
        <f t="shared" si="405"/>
        <v>1.7000000000000001E-4</v>
      </c>
      <c r="AZ150" s="58">
        <f t="shared" si="405"/>
        <v>3.1999999999999999E-5</v>
      </c>
      <c r="BA150" s="58">
        <f t="shared" si="405"/>
        <v>8.7000000000000001E-5</v>
      </c>
      <c r="BB150" s="58">
        <f t="shared" si="405"/>
        <v>1.2E-5</v>
      </c>
      <c r="BC150" s="58">
        <f t="shared" si="405"/>
        <v>7.3999999999999996E-5</v>
      </c>
      <c r="BD150" s="58">
        <f t="shared" si="405"/>
        <v>1.0000000000000001E-5</v>
      </c>
      <c r="BE150" s="58">
        <f t="shared" si="405"/>
        <v>3.0000000000000001E-6</v>
      </c>
      <c r="BF150" s="58">
        <f t="shared" si="405"/>
        <v>1.47E-4</v>
      </c>
      <c r="BG150" s="58">
        <f t="shared" si="405"/>
        <v>6.0999999999999999E-5</v>
      </c>
      <c r="BH150" s="58">
        <f t="shared" si="405"/>
        <v>6.2000000000000003E-5</v>
      </c>
      <c r="BI150" s="58">
        <f t="shared" si="405"/>
        <v>0</v>
      </c>
      <c r="BJ150" s="58">
        <f t="shared" si="405"/>
        <v>0</v>
      </c>
      <c r="BK150" s="58">
        <f t="shared" si="405"/>
        <v>1.3300000000000001E-4</v>
      </c>
      <c r="BL150" s="58">
        <f t="shared" si="405"/>
        <v>2.4000000000000001E-5</v>
      </c>
      <c r="BM150" s="58">
        <f t="shared" si="405"/>
        <v>8.2710000000000006E-3</v>
      </c>
      <c r="BN150" s="58">
        <f t="shared" si="405"/>
        <v>8.9249999999999996E-4</v>
      </c>
      <c r="BO150" s="59">
        <v>0.89249999999999996</v>
      </c>
      <c r="BP150" s="59">
        <v>1.0663899999999999</v>
      </c>
      <c r="BQ150" s="58">
        <f t="shared" ref="BQ150:BR150" si="406">BQ70/1000</f>
        <v>3.9200000000000004E-4</v>
      </c>
      <c r="BR150" s="58">
        <f t="shared" si="406"/>
        <v>6.2000000000000003E-5</v>
      </c>
    </row>
    <row r="151" spans="1:70" ht="15.95" customHeight="1" x14ac:dyDescent="0.25">
      <c r="A151" s="58" t="s">
        <v>82</v>
      </c>
      <c r="B151" s="58">
        <f t="shared" ref="B151:G151" si="407">B71/1000</f>
        <v>0.62949999999999995</v>
      </c>
      <c r="C151" s="58">
        <f t="shared" si="407"/>
        <v>5.3070000000000004</v>
      </c>
      <c r="D151" s="58">
        <f t="shared" si="407"/>
        <v>1.831</v>
      </c>
      <c r="E151" s="58">
        <f t="shared" si="407"/>
        <v>3.4529999999999998</v>
      </c>
      <c r="F151" s="58">
        <f t="shared" si="407"/>
        <v>44.71</v>
      </c>
      <c r="G151" s="58">
        <f t="shared" si="407"/>
        <v>38.020000000000003</v>
      </c>
      <c r="H151" s="59">
        <v>1.0823499999999999</v>
      </c>
      <c r="I151" s="59">
        <v>1.13923</v>
      </c>
      <c r="J151" s="58">
        <f t="shared" ref="J151:T151" si="408">J71/1000</f>
        <v>0.30160000000000003</v>
      </c>
      <c r="K151" s="58">
        <f t="shared" si="408"/>
        <v>7.2279999999999997E-2</v>
      </c>
      <c r="L151" s="58">
        <f t="shared" si="408"/>
        <v>7.2290000000000007E-2</v>
      </c>
      <c r="M151" s="58">
        <f t="shared" si="408"/>
        <v>3.8010000000000001E-3</v>
      </c>
      <c r="N151" s="58">
        <f t="shared" si="408"/>
        <v>0.12940000000000002</v>
      </c>
      <c r="O151" s="58">
        <f t="shared" si="408"/>
        <v>2.2799999999999998</v>
      </c>
      <c r="P151" s="58">
        <f t="shared" si="408"/>
        <v>8.1599999999999999E-4</v>
      </c>
      <c r="Q151" s="58">
        <f t="shared" si="408"/>
        <v>4.1340000000000005E-3</v>
      </c>
      <c r="R151" s="58">
        <f t="shared" si="408"/>
        <v>3.1239999999999997E-2</v>
      </c>
      <c r="S151" s="58">
        <f t="shared" si="408"/>
        <v>2.5020000000000001E-2</v>
      </c>
      <c r="T151" s="58">
        <f t="shared" si="408"/>
        <v>1.8839999999999998E-3</v>
      </c>
      <c r="U151" s="59">
        <v>0.97289000000000003</v>
      </c>
      <c r="V151" s="59">
        <v>0.96131</v>
      </c>
      <c r="W151" s="58">
        <f t="shared" ref="W151:Z151" si="409">W71/1000</f>
        <v>5.1500000000000005E-4</v>
      </c>
      <c r="X151" s="58">
        <f t="shared" si="409"/>
        <v>1.0070000000000001E-2</v>
      </c>
      <c r="Y151" s="58">
        <f t="shared" si="409"/>
        <v>1.4839999999999999E-2</v>
      </c>
      <c r="Z151" s="58">
        <f t="shared" si="409"/>
        <v>0.19040000000000001</v>
      </c>
      <c r="AA151" s="59">
        <v>1.0364500000000001</v>
      </c>
      <c r="AB151" s="59">
        <v>1.15679</v>
      </c>
      <c r="AC151" s="58">
        <f t="shared" ref="AC151:AI151" si="410">AC71/1000</f>
        <v>1.94E-4</v>
      </c>
      <c r="AD151" s="58">
        <f t="shared" si="410"/>
        <v>9.859999999999999E-4</v>
      </c>
      <c r="AE151" s="58">
        <f t="shared" si="410"/>
        <v>9.9999999999999995E-7</v>
      </c>
      <c r="AF151" s="58">
        <f t="shared" si="410"/>
        <v>3.0000000000000001E-6</v>
      </c>
      <c r="AG151" s="58">
        <f t="shared" si="410"/>
        <v>4.2000000000000004E-5</v>
      </c>
      <c r="AH151" s="58">
        <f t="shared" si="410"/>
        <v>3.6699999999999998E-4</v>
      </c>
      <c r="AI151" s="58">
        <f t="shared" si="410"/>
        <v>7.1999999999999988E-5</v>
      </c>
      <c r="AJ151" s="59">
        <v>0.93896000000000002</v>
      </c>
      <c r="AK151" s="59">
        <v>1.14683</v>
      </c>
      <c r="AL151" s="58">
        <f t="shared" ref="AL151:BN151" si="411">AM71/1000</f>
        <v>3.8000000000000002E-5</v>
      </c>
      <c r="AM151" s="58">
        <f t="shared" si="411"/>
        <v>3.9999999999999998E-6</v>
      </c>
      <c r="AN151" s="58">
        <f t="shared" si="411"/>
        <v>3.9200000000000004E-4</v>
      </c>
      <c r="AO151" s="58">
        <f t="shared" si="411"/>
        <v>4.2520000000000002E-2</v>
      </c>
      <c r="AP151" s="58">
        <f t="shared" si="411"/>
        <v>4.6850000000000003E-2</v>
      </c>
      <c r="AQ151" s="58">
        <f t="shared" si="411"/>
        <v>1.789E-3</v>
      </c>
      <c r="AR151" s="58">
        <f t="shared" si="411"/>
        <v>3.509E-3</v>
      </c>
      <c r="AS151" s="58">
        <f t="shared" si="411"/>
        <v>4.3800000000000002E-4</v>
      </c>
      <c r="AT151" s="58">
        <f t="shared" si="411"/>
        <v>1.601E-3</v>
      </c>
      <c r="AU151" s="58">
        <f t="shared" si="411"/>
        <v>3.1399999999999999E-4</v>
      </c>
      <c r="AV151" s="58">
        <f t="shared" si="411"/>
        <v>5.8999999999999998E-5</v>
      </c>
      <c r="AW151" s="58">
        <f t="shared" si="411"/>
        <v>2.7100000000000003E-4</v>
      </c>
      <c r="AX151" s="58">
        <f t="shared" si="411"/>
        <v>3.6999999999999998E-5</v>
      </c>
      <c r="AY151" s="58">
        <f t="shared" si="411"/>
        <v>1.8799999999999999E-4</v>
      </c>
      <c r="AZ151" s="58">
        <f t="shared" si="411"/>
        <v>3.5000000000000004E-5</v>
      </c>
      <c r="BA151" s="58">
        <f t="shared" si="411"/>
        <v>9.5000000000000005E-5</v>
      </c>
      <c r="BB151" s="58">
        <f t="shared" si="411"/>
        <v>1.2999999999999999E-5</v>
      </c>
      <c r="BC151" s="58">
        <f t="shared" si="411"/>
        <v>8.0000000000000007E-5</v>
      </c>
      <c r="BD151" s="58">
        <f t="shared" si="411"/>
        <v>1.1E-5</v>
      </c>
      <c r="BE151" s="58">
        <f t="shared" si="411"/>
        <v>3.0000000000000001E-6</v>
      </c>
      <c r="BF151" s="58">
        <f t="shared" si="411"/>
        <v>1.0899999999999999E-4</v>
      </c>
      <c r="BG151" s="58">
        <f t="shared" si="411"/>
        <v>1.02E-4</v>
      </c>
      <c r="BH151" s="58">
        <f t="shared" si="411"/>
        <v>1.0499999999999999E-4</v>
      </c>
      <c r="BI151" s="58">
        <f t="shared" si="411"/>
        <v>0</v>
      </c>
      <c r="BJ151" s="58">
        <f t="shared" si="411"/>
        <v>0</v>
      </c>
      <c r="BK151" s="58">
        <f t="shared" si="411"/>
        <v>1.06E-4</v>
      </c>
      <c r="BL151" s="58">
        <f t="shared" si="411"/>
        <v>2.1999999999999999E-5</v>
      </c>
      <c r="BM151" s="58">
        <f t="shared" si="411"/>
        <v>6.0860000000000003E-3</v>
      </c>
      <c r="BN151" s="58">
        <f t="shared" si="411"/>
        <v>9.0400000000000007E-4</v>
      </c>
      <c r="BO151" s="59">
        <v>0.90400000000000003</v>
      </c>
      <c r="BP151" s="59">
        <v>1.0817600000000001</v>
      </c>
      <c r="BQ151" s="58">
        <f t="shared" ref="BQ151:BR151" si="412">BQ71/1000</f>
        <v>6.4800000000000003E-4</v>
      </c>
      <c r="BR151" s="58">
        <f t="shared" si="412"/>
        <v>7.7999999999999999E-5</v>
      </c>
    </row>
    <row r="152" spans="1:70" ht="15.95" customHeight="1" x14ac:dyDescent="0.25">
      <c r="A152" s="58" t="s">
        <v>83</v>
      </c>
      <c r="B152" s="58">
        <f t="shared" ref="B152:G152" si="413">B72/1000</f>
        <v>0.37680000000000002</v>
      </c>
      <c r="C152" s="58">
        <f t="shared" si="413"/>
        <v>4.8739999999999997</v>
      </c>
      <c r="D152" s="58">
        <f t="shared" si="413"/>
        <v>0.3427</v>
      </c>
      <c r="E152" s="58">
        <f t="shared" si="413"/>
        <v>4.0229999999999997</v>
      </c>
      <c r="F152" s="58">
        <f t="shared" si="413"/>
        <v>49.72</v>
      </c>
      <c r="G152" s="58">
        <f t="shared" si="413"/>
        <v>37.04</v>
      </c>
      <c r="H152" s="59">
        <v>1.09958</v>
      </c>
      <c r="I152" s="59">
        <v>1.1488799999999999</v>
      </c>
      <c r="J152" s="58">
        <f t="shared" ref="J152:T152" si="414">J72/1000</f>
        <v>0.20619999999999999</v>
      </c>
      <c r="K152" s="58">
        <f t="shared" si="414"/>
        <v>1.2070000000000001E-2</v>
      </c>
      <c r="L152" s="58">
        <f t="shared" si="414"/>
        <v>2.4120000000000003E-2</v>
      </c>
      <c r="M152" s="58">
        <f t="shared" si="414"/>
        <v>2.957E-3</v>
      </c>
      <c r="N152" s="58">
        <f t="shared" si="414"/>
        <v>0.11220000000000001</v>
      </c>
      <c r="O152" s="58">
        <f t="shared" si="414"/>
        <v>0.52679999999999993</v>
      </c>
      <c r="P152" s="58">
        <f t="shared" si="414"/>
        <v>3.1800000000000003E-4</v>
      </c>
      <c r="Q152" s="58">
        <f t="shared" si="414"/>
        <v>3.437E-3</v>
      </c>
      <c r="R152" s="58">
        <f t="shared" si="414"/>
        <v>5.3850000000000002E-2</v>
      </c>
      <c r="S152" s="58">
        <f t="shared" si="414"/>
        <v>2.7629999999999998E-2</v>
      </c>
      <c r="T152" s="58">
        <f t="shared" si="414"/>
        <v>1.1149999999999999E-3</v>
      </c>
      <c r="U152" s="59">
        <v>0.97750000000000004</v>
      </c>
      <c r="V152" s="59">
        <v>0.97102999999999995</v>
      </c>
      <c r="W152" s="58">
        <f t="shared" ref="W152:Z152" si="415">W72/1000</f>
        <v>1.46E-4</v>
      </c>
      <c r="X152" s="58">
        <f t="shared" si="415"/>
        <v>8.8149999999999999E-3</v>
      </c>
      <c r="Y152" s="58">
        <f t="shared" si="415"/>
        <v>1.489E-2</v>
      </c>
      <c r="Z152" s="58">
        <f t="shared" si="415"/>
        <v>0.21230000000000002</v>
      </c>
      <c r="AA152" s="59">
        <v>1.0439799999999999</v>
      </c>
      <c r="AB152" s="59">
        <v>1.1692100000000001</v>
      </c>
      <c r="AC152" s="58">
        <f t="shared" ref="AC152:AI152" si="416">AC72/1000</f>
        <v>2.9E-5</v>
      </c>
      <c r="AD152" s="58">
        <f t="shared" si="416"/>
        <v>1.1619999999999998E-3</v>
      </c>
      <c r="AE152" s="58">
        <f t="shared" si="416"/>
        <v>9.9999999999999995E-7</v>
      </c>
      <c r="AF152" s="58">
        <f t="shared" si="416"/>
        <v>3.0000000000000001E-6</v>
      </c>
      <c r="AG152" s="58">
        <f t="shared" si="416"/>
        <v>4.9000000000000005E-5</v>
      </c>
      <c r="AH152" s="58">
        <f t="shared" si="416"/>
        <v>-3.4E-5</v>
      </c>
      <c r="AI152" s="58">
        <f t="shared" si="416"/>
        <v>8.4000000000000009E-5</v>
      </c>
      <c r="AJ152" s="59">
        <v>0.94457000000000002</v>
      </c>
      <c r="AK152" s="59">
        <v>1.15256</v>
      </c>
      <c r="AL152" s="58">
        <f t="shared" ref="AL152:BN152" si="417">AM72/1000</f>
        <v>2.1000000000000002E-5</v>
      </c>
      <c r="AM152" s="58">
        <f t="shared" si="417"/>
        <v>1.9999999999999999E-6</v>
      </c>
      <c r="AN152" s="58">
        <f t="shared" si="417"/>
        <v>9.5000000000000005E-5</v>
      </c>
      <c r="AO152" s="58">
        <f t="shared" si="417"/>
        <v>2.886E-2</v>
      </c>
      <c r="AP152" s="58">
        <f t="shared" si="417"/>
        <v>2.8920000000000001E-2</v>
      </c>
      <c r="AQ152" s="58">
        <f t="shared" si="417"/>
        <v>3.4000000000000002E-4</v>
      </c>
      <c r="AR152" s="58">
        <f t="shared" si="417"/>
        <v>6.6600000000000003E-4</v>
      </c>
      <c r="AS152" s="58">
        <f t="shared" si="417"/>
        <v>8.7999999999999998E-5</v>
      </c>
      <c r="AT152" s="58">
        <f t="shared" si="417"/>
        <v>3.4399999999999996E-4</v>
      </c>
      <c r="AU152" s="58">
        <f t="shared" si="417"/>
        <v>7.6000000000000004E-5</v>
      </c>
      <c r="AV152" s="58">
        <f t="shared" si="417"/>
        <v>1.4999999999999999E-5</v>
      </c>
      <c r="AW152" s="58">
        <f t="shared" si="417"/>
        <v>7.4999999999999993E-5</v>
      </c>
      <c r="AX152" s="58">
        <f t="shared" si="417"/>
        <v>1.1E-5</v>
      </c>
      <c r="AY152" s="58">
        <f t="shared" si="417"/>
        <v>6.7999999999999999E-5</v>
      </c>
      <c r="AZ152" s="58">
        <f t="shared" si="417"/>
        <v>1.4E-5</v>
      </c>
      <c r="BA152" s="58">
        <f t="shared" si="417"/>
        <v>3.5999999999999994E-5</v>
      </c>
      <c r="BB152" s="58">
        <f t="shared" si="417"/>
        <v>5.0000000000000004E-6</v>
      </c>
      <c r="BC152" s="58">
        <f t="shared" si="417"/>
        <v>2.9999999999999997E-5</v>
      </c>
      <c r="BD152" s="58">
        <f t="shared" si="417"/>
        <v>3.9999999999999998E-6</v>
      </c>
      <c r="BE152" s="58">
        <f t="shared" si="417"/>
        <v>9.9999999999999995E-7</v>
      </c>
      <c r="BF152" s="58">
        <f t="shared" si="417"/>
        <v>1.01E-4</v>
      </c>
      <c r="BG152" s="58">
        <f t="shared" si="417"/>
        <v>1.1700000000000001E-4</v>
      </c>
      <c r="BH152" s="58">
        <f t="shared" si="417"/>
        <v>1.1899999999999999E-4</v>
      </c>
      <c r="BI152" s="58">
        <f t="shared" si="417"/>
        <v>0</v>
      </c>
      <c r="BJ152" s="58">
        <f t="shared" si="417"/>
        <v>0</v>
      </c>
      <c r="BK152" s="58">
        <f t="shared" si="417"/>
        <v>1.9800000000000002E-4</v>
      </c>
      <c r="BL152" s="58">
        <f t="shared" si="417"/>
        <v>8.9999999999999985E-6</v>
      </c>
      <c r="BM152" s="58">
        <f t="shared" si="417"/>
        <v>3.4100000000000005E-4</v>
      </c>
      <c r="BN152" s="58">
        <f t="shared" si="417"/>
        <v>9.0503000000000003E-4</v>
      </c>
      <c r="BO152" s="59">
        <v>0.90503</v>
      </c>
      <c r="BP152" s="59">
        <v>1.0831599999999999</v>
      </c>
      <c r="BQ152" s="58">
        <f t="shared" ref="BQ152:BR152" si="418">BQ72/1000</f>
        <v>8.9999999999999992E-5</v>
      </c>
      <c r="BR152" s="58">
        <f t="shared" si="418"/>
        <v>1.4999999999999999E-5</v>
      </c>
    </row>
    <row r="153" spans="1:70" ht="15.95" customHeight="1" x14ac:dyDescent="0.25">
      <c r="A153" s="58" t="s">
        <v>84</v>
      </c>
      <c r="B153" s="58">
        <f t="shared" ref="B153:G153" si="419">B73/1000</f>
        <v>0.23039999999999999</v>
      </c>
      <c r="C153" s="58">
        <f t="shared" si="419"/>
        <v>3.91</v>
      </c>
      <c r="D153" s="58">
        <f t="shared" si="419"/>
        <v>0.89370000000000005</v>
      </c>
      <c r="E153" s="58">
        <f t="shared" si="419"/>
        <v>4.4000000000000004</v>
      </c>
      <c r="F153" s="58">
        <f t="shared" si="419"/>
        <v>46.91</v>
      </c>
      <c r="G153" s="58">
        <f t="shared" si="419"/>
        <v>33.39</v>
      </c>
      <c r="H153" s="59">
        <v>1.09084</v>
      </c>
      <c r="I153" s="59">
        <v>1.1324799999999999</v>
      </c>
      <c r="J153" s="58">
        <f t="shared" ref="J153:T153" si="420">J73/1000</f>
        <v>0.22340000000000002</v>
      </c>
      <c r="K153" s="58">
        <f t="shared" si="420"/>
        <v>3.6479999999999999E-2</v>
      </c>
      <c r="L153" s="58">
        <f t="shared" si="420"/>
        <v>4.1280000000000004E-2</v>
      </c>
      <c r="M153" s="58">
        <f t="shared" si="420"/>
        <v>2.947E-3</v>
      </c>
      <c r="N153" s="58">
        <f t="shared" si="420"/>
        <v>0.13500000000000001</v>
      </c>
      <c r="O153" s="58">
        <f t="shared" si="420"/>
        <v>1.155</v>
      </c>
      <c r="P153" s="58">
        <f t="shared" si="420"/>
        <v>1.057E-3</v>
      </c>
      <c r="Q153" s="58">
        <f t="shared" si="420"/>
        <v>6.6820000000000004E-3</v>
      </c>
      <c r="R153" s="58">
        <f t="shared" si="420"/>
        <v>2.9309999999999999E-2</v>
      </c>
      <c r="S153" s="58">
        <f t="shared" si="420"/>
        <v>1.332E-2</v>
      </c>
      <c r="T153" s="58">
        <f t="shared" si="420"/>
        <v>1.6659999999999999E-3</v>
      </c>
      <c r="U153" s="59">
        <v>0.96779999999999999</v>
      </c>
      <c r="V153" s="59">
        <v>0.96894999999999998</v>
      </c>
      <c r="W153" s="58">
        <f t="shared" ref="W153:Z153" si="421">W73/1000</f>
        <v>2.41E-4</v>
      </c>
      <c r="X153" s="58">
        <f t="shared" si="421"/>
        <v>3.2060000000000005E-2</v>
      </c>
      <c r="Y153" s="58">
        <f t="shared" si="421"/>
        <v>2.2210000000000001E-2</v>
      </c>
      <c r="Z153" s="58">
        <f t="shared" si="421"/>
        <v>0.2165</v>
      </c>
      <c r="AA153" s="59">
        <v>1.03386</v>
      </c>
      <c r="AB153" s="59">
        <v>1.1537900000000001</v>
      </c>
      <c r="AC153" s="58">
        <f t="shared" ref="AC153:AI153" si="422">AC73/1000</f>
        <v>9.3999999999999994E-5</v>
      </c>
      <c r="AD153" s="58">
        <f t="shared" si="422"/>
        <v>5.9899999999999992E-4</v>
      </c>
      <c r="AE153" s="58">
        <f t="shared" si="422"/>
        <v>9.9999999999999995E-7</v>
      </c>
      <c r="AF153" s="58">
        <f t="shared" si="422"/>
        <v>3.9999999999999998E-6</v>
      </c>
      <c r="AG153" s="58">
        <f t="shared" si="422"/>
        <v>5.1E-5</v>
      </c>
      <c r="AH153" s="58">
        <f t="shared" si="422"/>
        <v>6.6000000000000005E-5</v>
      </c>
      <c r="AI153" s="58">
        <f t="shared" si="422"/>
        <v>1.6800000000000002E-4</v>
      </c>
      <c r="AJ153" s="59">
        <v>0.93508999999999998</v>
      </c>
      <c r="AK153" s="59">
        <v>1.14795</v>
      </c>
      <c r="AL153" s="58">
        <f t="shared" ref="AL153:BN153" si="423">AM73/1000</f>
        <v>4.4999999999999996E-5</v>
      </c>
      <c r="AM153" s="58">
        <f t="shared" si="423"/>
        <v>9.9999999999999995E-7</v>
      </c>
      <c r="AN153" s="58">
        <f t="shared" si="423"/>
        <v>2.2100000000000001E-4</v>
      </c>
      <c r="AO153" s="58">
        <f t="shared" si="423"/>
        <v>4.1270000000000001E-2</v>
      </c>
      <c r="AP153" s="58">
        <f t="shared" si="423"/>
        <v>4.1059999999999999E-2</v>
      </c>
      <c r="AQ153" s="58">
        <f t="shared" si="423"/>
        <v>8.34E-4</v>
      </c>
      <c r="AR153" s="58">
        <f t="shared" si="423"/>
        <v>1.7030000000000001E-3</v>
      </c>
      <c r="AS153" s="58">
        <f t="shared" si="423"/>
        <v>2.1499999999999999E-4</v>
      </c>
      <c r="AT153" s="58">
        <f t="shared" si="423"/>
        <v>8.1599999999999999E-4</v>
      </c>
      <c r="AU153" s="58">
        <f t="shared" si="423"/>
        <v>1.6000000000000001E-4</v>
      </c>
      <c r="AV153" s="58">
        <f t="shared" si="423"/>
        <v>3.4E-5</v>
      </c>
      <c r="AW153" s="58">
        <f t="shared" si="423"/>
        <v>1.4099999999999998E-4</v>
      </c>
      <c r="AX153" s="58">
        <f t="shared" si="423"/>
        <v>1.9000000000000001E-5</v>
      </c>
      <c r="AY153" s="58">
        <f t="shared" si="423"/>
        <v>9.5000000000000005E-5</v>
      </c>
      <c r="AZ153" s="58">
        <f t="shared" si="423"/>
        <v>1.7999999999999997E-5</v>
      </c>
      <c r="BA153" s="58">
        <f t="shared" si="423"/>
        <v>4.8000000000000001E-5</v>
      </c>
      <c r="BB153" s="58">
        <f t="shared" si="423"/>
        <v>6.0000000000000002E-6</v>
      </c>
      <c r="BC153" s="58">
        <f t="shared" si="423"/>
        <v>3.8000000000000002E-5</v>
      </c>
      <c r="BD153" s="58">
        <f t="shared" si="423"/>
        <v>5.0000000000000004E-6</v>
      </c>
      <c r="BE153" s="58">
        <f t="shared" si="423"/>
        <v>1.9999999999999999E-6</v>
      </c>
      <c r="BF153" s="58">
        <f t="shared" si="423"/>
        <v>8.7000000000000001E-5</v>
      </c>
      <c r="BG153" s="58">
        <f t="shared" si="423"/>
        <v>1.21E-4</v>
      </c>
      <c r="BH153" s="58">
        <f t="shared" si="423"/>
        <v>1.2300000000000001E-4</v>
      </c>
      <c r="BI153" s="58">
        <f t="shared" si="423"/>
        <v>0</v>
      </c>
      <c r="BJ153" s="58">
        <f t="shared" si="423"/>
        <v>0</v>
      </c>
      <c r="BK153" s="58">
        <f t="shared" si="423"/>
        <v>1.1E-4</v>
      </c>
      <c r="BL153" s="58">
        <f t="shared" si="423"/>
        <v>1.5999999999999999E-5</v>
      </c>
      <c r="BM153" s="58">
        <f t="shared" si="423"/>
        <v>1.794E-3</v>
      </c>
      <c r="BN153" s="58">
        <f t="shared" si="423"/>
        <v>9.0327000000000007E-4</v>
      </c>
      <c r="BO153" s="59">
        <v>0.90327000000000002</v>
      </c>
      <c r="BP153" s="59">
        <v>1.08762</v>
      </c>
      <c r="BQ153" s="58">
        <f t="shared" ref="BQ153:BR153" si="424">BQ73/1000</f>
        <v>2.6600000000000001E-4</v>
      </c>
      <c r="BR153" s="58">
        <f t="shared" si="424"/>
        <v>3.5000000000000004E-5</v>
      </c>
    </row>
    <row r="154" spans="1:70" ht="15.95" customHeight="1" x14ac:dyDescent="0.25">
      <c r="A154" s="58" t="s">
        <v>85</v>
      </c>
      <c r="B154" s="58">
        <f t="shared" ref="B154:G154" si="425">B74/1000</f>
        <v>0.31180000000000002</v>
      </c>
      <c r="C154" s="58">
        <f t="shared" si="425"/>
        <v>6.202</v>
      </c>
      <c r="D154" s="58">
        <f t="shared" si="425"/>
        <v>1.08</v>
      </c>
      <c r="E154" s="58">
        <f t="shared" si="425"/>
        <v>3.4430000000000001</v>
      </c>
      <c r="F154" s="58">
        <f t="shared" si="425"/>
        <v>39.369999999999997</v>
      </c>
      <c r="G154" s="58">
        <f t="shared" si="425"/>
        <v>54.12</v>
      </c>
      <c r="H154" s="59">
        <v>1.0841499999999999</v>
      </c>
      <c r="I154" s="59">
        <v>1.11843</v>
      </c>
      <c r="J154" s="58">
        <f t="shared" ref="J154:T154" si="426">J74/1000</f>
        <v>0.3382</v>
      </c>
      <c r="K154" s="58">
        <f t="shared" si="426"/>
        <v>4.5079999999999995E-2</v>
      </c>
      <c r="L154" s="58">
        <f t="shared" si="426"/>
        <v>5.0270000000000002E-2</v>
      </c>
      <c r="M154" s="58">
        <f t="shared" si="426"/>
        <v>3.4350000000000001E-3</v>
      </c>
      <c r="N154" s="58">
        <f t="shared" si="426"/>
        <v>0.1762</v>
      </c>
      <c r="O154" s="58">
        <f t="shared" si="426"/>
        <v>1.393</v>
      </c>
      <c r="P154" s="58">
        <f t="shared" si="426"/>
        <v>1.075E-3</v>
      </c>
      <c r="Q154" s="58">
        <f t="shared" si="426"/>
        <v>8.8649999999999996E-3</v>
      </c>
      <c r="R154" s="58">
        <f t="shared" si="426"/>
        <v>5.2010000000000001E-2</v>
      </c>
      <c r="S154" s="58">
        <f t="shared" si="426"/>
        <v>2.0120000000000002E-2</v>
      </c>
      <c r="T154" s="58">
        <f t="shared" si="426"/>
        <v>2.085E-3</v>
      </c>
      <c r="U154" s="59">
        <v>0.97250000000000003</v>
      </c>
      <c r="V154" s="59">
        <v>0.95999000000000001</v>
      </c>
      <c r="W154" s="58">
        <f t="shared" ref="W154:Z154" si="427">W74/1000</f>
        <v>4.5800000000000002E-4</v>
      </c>
      <c r="X154" s="58">
        <f t="shared" si="427"/>
        <v>1.307E-2</v>
      </c>
      <c r="Y154" s="58">
        <f t="shared" si="427"/>
        <v>1.341E-2</v>
      </c>
      <c r="Z154" s="58">
        <f t="shared" si="427"/>
        <v>0.2407</v>
      </c>
      <c r="AA154" s="59">
        <v>1.0341100000000001</v>
      </c>
      <c r="AB154" s="59">
        <v>1.14438</v>
      </c>
      <c r="AC154" s="58">
        <f t="shared" ref="AC154:AI154" si="428">AC74/1000</f>
        <v>1.16E-4</v>
      </c>
      <c r="AD154" s="58">
        <f t="shared" si="428"/>
        <v>6.0399999999999994E-4</v>
      </c>
      <c r="AE154" s="58">
        <f t="shared" si="428"/>
        <v>9.9999999999999995E-7</v>
      </c>
      <c r="AF154" s="58">
        <f t="shared" si="428"/>
        <v>3.9999999999999998E-6</v>
      </c>
      <c r="AG154" s="58">
        <f t="shared" si="428"/>
        <v>5.8E-5</v>
      </c>
      <c r="AH154" s="58">
        <f t="shared" si="428"/>
        <v>2.8499999999999999E-4</v>
      </c>
      <c r="AI154" s="58">
        <f t="shared" si="428"/>
        <v>7.1999999999999988E-5</v>
      </c>
      <c r="AJ154" s="59">
        <v>0.93705000000000005</v>
      </c>
      <c r="AK154" s="59">
        <v>1.1312599999999999</v>
      </c>
      <c r="AL154" s="58">
        <f t="shared" ref="AL154:BN154" si="429">AM74/1000</f>
        <v>4.9000000000000005E-5</v>
      </c>
      <c r="AM154" s="58">
        <f t="shared" si="429"/>
        <v>1.9999999999999999E-6</v>
      </c>
      <c r="AN154" s="58">
        <f t="shared" si="429"/>
        <v>2.2800000000000001E-4</v>
      </c>
      <c r="AO154" s="58">
        <f t="shared" si="429"/>
        <v>5.287E-2</v>
      </c>
      <c r="AP154" s="58">
        <f t="shared" si="429"/>
        <v>6.1340000000000006E-2</v>
      </c>
      <c r="AQ154" s="58">
        <f t="shared" si="429"/>
        <v>1.021E-3</v>
      </c>
      <c r="AR154" s="58">
        <f t="shared" si="429"/>
        <v>2.0579999999999999E-3</v>
      </c>
      <c r="AS154" s="58">
        <f t="shared" si="429"/>
        <v>2.61E-4</v>
      </c>
      <c r="AT154" s="58">
        <f t="shared" si="429"/>
        <v>9.6599999999999995E-4</v>
      </c>
      <c r="AU154" s="58">
        <f t="shared" si="429"/>
        <v>1.95E-4</v>
      </c>
      <c r="AV154" s="58">
        <f t="shared" si="429"/>
        <v>4.2999999999999995E-5</v>
      </c>
      <c r="AW154" s="58">
        <f t="shared" si="429"/>
        <v>1.7100000000000001E-4</v>
      </c>
      <c r="AX154" s="58">
        <f t="shared" si="429"/>
        <v>2.4000000000000001E-5</v>
      </c>
      <c r="AY154" s="58">
        <f t="shared" si="429"/>
        <v>1.2300000000000001E-4</v>
      </c>
      <c r="AZ154" s="58">
        <f t="shared" si="429"/>
        <v>2.3E-5</v>
      </c>
      <c r="BA154" s="58">
        <f t="shared" si="429"/>
        <v>6.0999999999999999E-5</v>
      </c>
      <c r="BB154" s="58">
        <f t="shared" si="429"/>
        <v>7.9999999999999996E-6</v>
      </c>
      <c r="BC154" s="58">
        <f t="shared" si="429"/>
        <v>4.9000000000000005E-5</v>
      </c>
      <c r="BD154" s="58">
        <f t="shared" si="429"/>
        <v>6.9999999999999999E-6</v>
      </c>
      <c r="BE154" s="58">
        <f t="shared" si="429"/>
        <v>1.9999999999999999E-6</v>
      </c>
      <c r="BF154" s="58">
        <f t="shared" si="429"/>
        <v>1.0499999999999999E-4</v>
      </c>
      <c r="BG154" s="58">
        <f t="shared" si="429"/>
        <v>2.3000000000000001E-4</v>
      </c>
      <c r="BH154" s="58">
        <f t="shared" si="429"/>
        <v>2.42E-4</v>
      </c>
      <c r="BI154" s="58">
        <f t="shared" si="429"/>
        <v>0</v>
      </c>
      <c r="BJ154" s="58">
        <f t="shared" si="429"/>
        <v>0</v>
      </c>
      <c r="BK154" s="58">
        <f t="shared" si="429"/>
        <v>6.3999999999999997E-5</v>
      </c>
      <c r="BL154" s="58">
        <f t="shared" si="429"/>
        <v>2.4000000000000001E-5</v>
      </c>
      <c r="BM154" s="58">
        <f t="shared" si="429"/>
        <v>5.9500000000000004E-3</v>
      </c>
      <c r="BN154" s="58">
        <f t="shared" si="429"/>
        <v>9.0446000000000005E-4</v>
      </c>
      <c r="BO154" s="59">
        <v>0.90446000000000004</v>
      </c>
      <c r="BP154" s="59">
        <v>1.0724199999999999</v>
      </c>
      <c r="BQ154" s="58">
        <f t="shared" ref="BQ154:BR154" si="430">BQ74/1000</f>
        <v>3.2700000000000003E-4</v>
      </c>
      <c r="BR154" s="58">
        <f t="shared" si="430"/>
        <v>5.0000000000000002E-5</v>
      </c>
    </row>
    <row r="155" spans="1:70" ht="15.95" customHeight="1" x14ac:dyDescent="0.25">
      <c r="A155" s="58" t="s">
        <v>86</v>
      </c>
      <c r="B155" s="58">
        <f t="shared" ref="B155:G155" si="431">B75/1000</f>
        <v>0.21080000000000002</v>
      </c>
      <c r="C155" s="58">
        <f t="shared" si="431"/>
        <v>4.3170000000000002</v>
      </c>
      <c r="D155" s="58">
        <f t="shared" si="431"/>
        <v>0.4325</v>
      </c>
      <c r="E155" s="58">
        <f t="shared" si="431"/>
        <v>3.968</v>
      </c>
      <c r="F155" s="58">
        <f t="shared" si="431"/>
        <v>61.11</v>
      </c>
      <c r="G155" s="58">
        <f t="shared" si="431"/>
        <v>45.49</v>
      </c>
      <c r="H155" s="59">
        <v>1.09548</v>
      </c>
      <c r="I155" s="59">
        <v>1.1517599999999999</v>
      </c>
      <c r="J155" s="58">
        <f t="shared" ref="J155:T155" si="432">J75/1000</f>
        <v>0.25839999999999996</v>
      </c>
      <c r="K155" s="58">
        <f t="shared" si="432"/>
        <v>1.6E-2</v>
      </c>
      <c r="L155" s="58">
        <f t="shared" si="432"/>
        <v>2.41E-2</v>
      </c>
      <c r="M155" s="58">
        <f t="shared" si="432"/>
        <v>2.4529999999999999E-3</v>
      </c>
      <c r="N155" s="58">
        <f t="shared" si="432"/>
        <v>0.11459999999999999</v>
      </c>
      <c r="O155" s="58">
        <f t="shared" si="432"/>
        <v>0.66379999999999995</v>
      </c>
      <c r="P155" s="58">
        <f t="shared" si="432"/>
        <v>3.8299999999999999E-4</v>
      </c>
      <c r="Q155" s="58">
        <f t="shared" si="432"/>
        <v>3.7959999999999999E-3</v>
      </c>
      <c r="R155" s="58">
        <f t="shared" si="432"/>
        <v>2.4500000000000001E-2</v>
      </c>
      <c r="S155" s="58">
        <f t="shared" si="432"/>
        <v>1.9420000000000003E-2</v>
      </c>
      <c r="T155" s="58">
        <f t="shared" si="432"/>
        <v>1.8189999999999999E-3</v>
      </c>
      <c r="U155" s="59">
        <v>0.97814000000000001</v>
      </c>
      <c r="V155" s="59">
        <v>0.97313000000000005</v>
      </c>
      <c r="W155" s="58">
        <f t="shared" ref="W155:Z155" si="433">W75/1000</f>
        <v>5.3999999999999998E-5</v>
      </c>
      <c r="X155" s="58">
        <f t="shared" si="433"/>
        <v>6.6079999999999993E-3</v>
      </c>
      <c r="Y155" s="58">
        <f t="shared" si="433"/>
        <v>1.166E-2</v>
      </c>
      <c r="Z155" s="58">
        <f t="shared" si="433"/>
        <v>0.21959999999999999</v>
      </c>
      <c r="AA155" s="59">
        <v>1.03803</v>
      </c>
      <c r="AB155" s="59">
        <v>1.1660299999999999</v>
      </c>
      <c r="AC155" s="58">
        <f t="shared" ref="AC155:AI155" si="434">AC75/1000</f>
        <v>4.2000000000000004E-5</v>
      </c>
      <c r="AD155" s="58">
        <f t="shared" si="434"/>
        <v>5.6000000000000006E-4</v>
      </c>
      <c r="AE155" s="58">
        <f t="shared" si="434"/>
        <v>0</v>
      </c>
      <c r="AF155" s="58">
        <f t="shared" si="434"/>
        <v>3.9999999999999998E-6</v>
      </c>
      <c r="AG155" s="58">
        <f t="shared" si="434"/>
        <v>5.1999999999999997E-5</v>
      </c>
      <c r="AH155" s="58">
        <f t="shared" si="434"/>
        <v>3.0000000000000001E-6</v>
      </c>
      <c r="AI155" s="58">
        <f t="shared" si="434"/>
        <v>8.9999999999999992E-5</v>
      </c>
      <c r="AJ155" s="59">
        <v>0.93645</v>
      </c>
      <c r="AK155" s="59">
        <v>1.1478699999999999</v>
      </c>
      <c r="AL155" s="58">
        <f t="shared" ref="AL155:BN155" si="435">AM75/1000</f>
        <v>2.5000000000000001E-5</v>
      </c>
      <c r="AM155" s="58">
        <f t="shared" si="435"/>
        <v>-9.9999999999999995E-7</v>
      </c>
      <c r="AN155" s="58">
        <f t="shared" si="435"/>
        <v>8.599999999999999E-5</v>
      </c>
      <c r="AO155" s="58">
        <f t="shared" si="435"/>
        <v>4.7240000000000004E-2</v>
      </c>
      <c r="AP155" s="58">
        <f t="shared" si="435"/>
        <v>4.7149999999999997E-2</v>
      </c>
      <c r="AQ155" s="58">
        <f t="shared" si="435"/>
        <v>3.0899999999999998E-4</v>
      </c>
      <c r="AR155" s="58">
        <f t="shared" si="435"/>
        <v>6.2E-4</v>
      </c>
      <c r="AS155" s="58">
        <f t="shared" si="435"/>
        <v>7.4999999999999993E-5</v>
      </c>
      <c r="AT155" s="58">
        <f t="shared" si="435"/>
        <v>2.7700000000000001E-4</v>
      </c>
      <c r="AU155" s="58">
        <f t="shared" si="435"/>
        <v>5.5999999999999999E-5</v>
      </c>
      <c r="AV155" s="58">
        <f t="shared" si="435"/>
        <v>1.7999999999999997E-5</v>
      </c>
      <c r="AW155" s="58">
        <f t="shared" si="435"/>
        <v>5.0000000000000002E-5</v>
      </c>
      <c r="AX155" s="58">
        <f t="shared" si="435"/>
        <v>6.9999999999999999E-6</v>
      </c>
      <c r="AY155" s="58">
        <f t="shared" si="435"/>
        <v>3.4E-5</v>
      </c>
      <c r="AZ155" s="58">
        <f t="shared" si="435"/>
        <v>6.0000000000000002E-6</v>
      </c>
      <c r="BA155" s="58">
        <f t="shared" si="435"/>
        <v>1.7999999999999997E-5</v>
      </c>
      <c r="BB155" s="58">
        <f t="shared" si="435"/>
        <v>1.9999999999999999E-6</v>
      </c>
      <c r="BC155" s="58">
        <f t="shared" si="435"/>
        <v>1.4E-5</v>
      </c>
      <c r="BD155" s="58">
        <f t="shared" si="435"/>
        <v>1.9999999999999999E-6</v>
      </c>
      <c r="BE155" s="58">
        <f t="shared" si="435"/>
        <v>9.9999999999999995E-7</v>
      </c>
      <c r="BF155" s="58">
        <f t="shared" si="435"/>
        <v>6.7000000000000002E-5</v>
      </c>
      <c r="BG155" s="58">
        <f t="shared" si="435"/>
        <v>1.02E-4</v>
      </c>
      <c r="BH155" s="58">
        <f t="shared" si="435"/>
        <v>1.02E-4</v>
      </c>
      <c r="BI155" s="58">
        <f t="shared" si="435"/>
        <v>0</v>
      </c>
      <c r="BJ155" s="58">
        <f t="shared" si="435"/>
        <v>0</v>
      </c>
      <c r="BK155" s="58">
        <f t="shared" si="435"/>
        <v>1.1400000000000001E-4</v>
      </c>
      <c r="BL155" s="58">
        <f t="shared" si="435"/>
        <v>1.0000000000000001E-5</v>
      </c>
      <c r="BM155" s="58">
        <f t="shared" si="435"/>
        <v>2.5430000000000001E-3</v>
      </c>
      <c r="BN155" s="58">
        <f t="shared" si="435"/>
        <v>8.9802000000000002E-4</v>
      </c>
      <c r="BO155" s="59">
        <v>0.89802000000000004</v>
      </c>
      <c r="BP155" s="59">
        <v>1.0763499999999999</v>
      </c>
      <c r="BQ155" s="58">
        <f t="shared" ref="BQ155:BR155" si="436">BQ75/1000</f>
        <v>8.5000000000000006E-5</v>
      </c>
      <c r="BR155" s="58">
        <f t="shared" si="436"/>
        <v>1.4E-5</v>
      </c>
    </row>
    <row r="156" spans="1:70" ht="15.95" customHeight="1" x14ac:dyDescent="0.25">
      <c r="A156" s="58" t="s">
        <v>88</v>
      </c>
      <c r="B156" s="58">
        <f t="shared" ref="B156:G156" si="437">B76/1000</f>
        <v>-1.7909999999999999E-2</v>
      </c>
      <c r="C156" s="58">
        <f t="shared" si="437"/>
        <v>1.73E-3</v>
      </c>
      <c r="D156" s="58">
        <f t="shared" si="437"/>
        <v>-2.245E-3</v>
      </c>
      <c r="E156" s="58">
        <f t="shared" si="437"/>
        <v>1.8530000000000001E-2</v>
      </c>
      <c r="F156" s="58">
        <f t="shared" si="437"/>
        <v>-6.0940000000000005E-3</v>
      </c>
      <c r="G156" s="58">
        <f t="shared" si="437"/>
        <v>-2.7800000000000004E-4</v>
      </c>
      <c r="H156" s="59">
        <v>1.0580400000000001</v>
      </c>
      <c r="I156" s="59">
        <v>1.05888</v>
      </c>
      <c r="J156" s="58">
        <f t="shared" ref="J156:T156" si="438">J76/1000</f>
        <v>1.02E-4</v>
      </c>
      <c r="K156" s="58">
        <f t="shared" si="438"/>
        <v>1.36E-4</v>
      </c>
      <c r="L156" s="58">
        <f t="shared" si="438"/>
        <v>3.21E-4</v>
      </c>
      <c r="M156" s="58">
        <f t="shared" si="438"/>
        <v>1.6100000000000001E-4</v>
      </c>
      <c r="N156" s="58">
        <f t="shared" si="438"/>
        <v>8.4000000000000009E-5</v>
      </c>
      <c r="O156" s="58">
        <f t="shared" si="438"/>
        <v>0.18709999999999999</v>
      </c>
      <c r="P156" s="58">
        <f t="shared" si="438"/>
        <v>-2.4000000000000001E-5</v>
      </c>
      <c r="Q156" s="58">
        <f t="shared" si="438"/>
        <v>5.9999999999999995E-5</v>
      </c>
      <c r="R156" s="58">
        <f t="shared" si="438"/>
        <v>2.5500000000000002E-4</v>
      </c>
      <c r="S156" s="58">
        <f t="shared" si="438"/>
        <v>-1.5429999999999999E-3</v>
      </c>
      <c r="T156" s="58">
        <f t="shared" si="438"/>
        <v>-1.9999999999999999E-6</v>
      </c>
      <c r="U156" s="59">
        <v>0.99541000000000002</v>
      </c>
      <c r="V156" s="59">
        <v>0.93454999999999999</v>
      </c>
      <c r="W156" s="58">
        <f t="shared" ref="W156:Z156" si="439">W76/1000</f>
        <v>8.9999999999999985E-6</v>
      </c>
      <c r="X156" s="58">
        <f t="shared" si="439"/>
        <v>-7.2999999999999999E-5</v>
      </c>
      <c r="Y156" s="58">
        <f t="shared" si="439"/>
        <v>0</v>
      </c>
      <c r="Z156" s="58">
        <f t="shared" si="439"/>
        <v>-1.4999999999999999E-5</v>
      </c>
      <c r="AA156" s="59">
        <v>1.0190600000000001</v>
      </c>
      <c r="AB156" s="59">
        <v>1.0874600000000001</v>
      </c>
      <c r="AC156" s="58">
        <f t="shared" ref="AC156:AI156" si="440">AC76/1000</f>
        <v>-9.9999999999999995E-7</v>
      </c>
      <c r="AD156" s="58">
        <f t="shared" si="440"/>
        <v>-7.9999999999999996E-6</v>
      </c>
      <c r="AE156" s="58">
        <f t="shared" si="440"/>
        <v>0</v>
      </c>
      <c r="AF156" s="58">
        <f t="shared" si="440"/>
        <v>0</v>
      </c>
      <c r="AG156" s="58">
        <f t="shared" si="440"/>
        <v>9.9999999999999995E-7</v>
      </c>
      <c r="AH156" s="58">
        <f t="shared" si="440"/>
        <v>-4.2000000000000004E-5</v>
      </c>
      <c r="AI156" s="58">
        <f t="shared" si="440"/>
        <v>1.9999999999999999E-6</v>
      </c>
      <c r="AJ156" s="59">
        <v>0.92588999999999999</v>
      </c>
      <c r="AK156" s="59">
        <v>1.09198</v>
      </c>
      <c r="AL156" s="58">
        <f t="shared" ref="AL156:BN156" si="441">AM76/1000</f>
        <v>3.9999999999999998E-6</v>
      </c>
      <c r="AM156" s="58">
        <f t="shared" si="441"/>
        <v>0</v>
      </c>
      <c r="AN156" s="58">
        <f t="shared" si="441"/>
        <v>9.9999999999999995E-7</v>
      </c>
      <c r="AO156" s="58">
        <f t="shared" si="441"/>
        <v>-5.0000000000000004E-6</v>
      </c>
      <c r="AP156" s="58">
        <f t="shared" si="441"/>
        <v>-3.9999999999999998E-6</v>
      </c>
      <c r="AQ156" s="58">
        <f t="shared" si="441"/>
        <v>8.9999999999999985E-6</v>
      </c>
      <c r="AR156" s="58">
        <f t="shared" si="441"/>
        <v>-1.1E-5</v>
      </c>
      <c r="AS156" s="58">
        <f t="shared" si="441"/>
        <v>0</v>
      </c>
      <c r="AT156" s="58">
        <f t="shared" si="441"/>
        <v>-9.9999999999999995E-7</v>
      </c>
      <c r="AU156" s="58">
        <f t="shared" si="441"/>
        <v>0</v>
      </c>
      <c r="AV156" s="58">
        <f t="shared" si="441"/>
        <v>0</v>
      </c>
      <c r="AW156" s="58">
        <f t="shared" si="441"/>
        <v>0</v>
      </c>
      <c r="AX156" s="58">
        <f t="shared" si="441"/>
        <v>0</v>
      </c>
      <c r="AY156" s="58">
        <f t="shared" si="441"/>
        <v>0</v>
      </c>
      <c r="AZ156" s="58">
        <f t="shared" si="441"/>
        <v>0</v>
      </c>
      <c r="BA156" s="58">
        <f t="shared" si="441"/>
        <v>0</v>
      </c>
      <c r="BB156" s="58">
        <f t="shared" si="441"/>
        <v>0</v>
      </c>
      <c r="BC156" s="58">
        <f t="shared" si="441"/>
        <v>0</v>
      </c>
      <c r="BD156" s="58">
        <f t="shared" si="441"/>
        <v>0</v>
      </c>
      <c r="BE156" s="58">
        <f t="shared" si="441"/>
        <v>0</v>
      </c>
      <c r="BF156" s="58">
        <f t="shared" si="441"/>
        <v>9.9999999999999995E-7</v>
      </c>
      <c r="BG156" s="58">
        <f t="shared" si="441"/>
        <v>0</v>
      </c>
      <c r="BH156" s="58">
        <f t="shared" si="441"/>
        <v>0</v>
      </c>
      <c r="BI156" s="58">
        <f t="shared" si="441"/>
        <v>0</v>
      </c>
      <c r="BJ156" s="58">
        <f t="shared" si="441"/>
        <v>0</v>
      </c>
      <c r="BK156" s="58">
        <f t="shared" si="441"/>
        <v>4.1999999999999996E-4</v>
      </c>
      <c r="BL156" s="58">
        <f t="shared" si="441"/>
        <v>0</v>
      </c>
      <c r="BM156" s="58">
        <f t="shared" si="441"/>
        <v>4.6999999999999997E-5</v>
      </c>
      <c r="BN156" s="58">
        <f t="shared" si="441"/>
        <v>9.1796E-4</v>
      </c>
      <c r="BO156" s="59">
        <v>0.91796</v>
      </c>
      <c r="BP156" s="59">
        <v>1.0616099999999999</v>
      </c>
      <c r="BQ156" s="58">
        <f t="shared" ref="BQ156:BR156" si="442">BQ76/1000</f>
        <v>1.9999999999999999E-6</v>
      </c>
      <c r="BR156" s="58">
        <f t="shared" si="442"/>
        <v>0</v>
      </c>
    </row>
    <row r="157" spans="1:70" ht="15.95" customHeight="1" x14ac:dyDescent="0.25">
      <c r="A157" s="58" t="s">
        <v>93</v>
      </c>
      <c r="B157" s="58">
        <f t="shared" ref="B157:G157" si="443">B77/1000</f>
        <v>2.963E-2</v>
      </c>
      <c r="C157" s="58">
        <f t="shared" si="443"/>
        <v>11.35</v>
      </c>
      <c r="D157" s="58">
        <f t="shared" si="443"/>
        <v>0.44680000000000003</v>
      </c>
      <c r="E157" s="58">
        <f t="shared" si="443"/>
        <v>3.1629999999999998</v>
      </c>
      <c r="F157" s="58">
        <f t="shared" si="443"/>
        <v>62.51</v>
      </c>
      <c r="G157" s="58">
        <f t="shared" si="443"/>
        <v>39.909999999999997</v>
      </c>
      <c r="H157" s="59">
        <v>1.1125799999999999</v>
      </c>
      <c r="I157" s="59">
        <v>1.1633500000000001</v>
      </c>
      <c r="J157" s="58">
        <f t="shared" ref="J157:T157" si="444">J77/1000</f>
        <v>0.22130000000000002</v>
      </c>
      <c r="K157" s="58">
        <f t="shared" si="444"/>
        <v>1.5169999999999999E-2</v>
      </c>
      <c r="L157" s="58">
        <f t="shared" si="444"/>
        <v>2.0160000000000001E-2</v>
      </c>
      <c r="M157" s="58">
        <f t="shared" si="444"/>
        <v>3.0699999999999998E-3</v>
      </c>
      <c r="N157" s="58">
        <f t="shared" si="444"/>
        <v>0.25319999999999998</v>
      </c>
      <c r="O157" s="58">
        <f t="shared" si="444"/>
        <v>0.62720000000000009</v>
      </c>
      <c r="P157" s="58">
        <f t="shared" si="444"/>
        <v>1.65E-4</v>
      </c>
      <c r="Q157" s="58">
        <f t="shared" si="444"/>
        <v>1.4299999999999998E-3</v>
      </c>
      <c r="R157" s="58">
        <f t="shared" si="444"/>
        <v>8.7860000000000004E-3</v>
      </c>
      <c r="S157" s="58">
        <f t="shared" si="444"/>
        <v>3.7190000000000001E-2</v>
      </c>
      <c r="T157" s="58">
        <f t="shared" si="444"/>
        <v>9.0259999999999993E-3</v>
      </c>
      <c r="U157" s="59">
        <v>1.0089300000000001</v>
      </c>
      <c r="V157" s="59">
        <v>0.99578</v>
      </c>
      <c r="W157" s="58">
        <f t="shared" ref="W157:Z157" si="445">W77/1000</f>
        <v>6.7600000000000006E-4</v>
      </c>
      <c r="X157" s="58">
        <f t="shared" si="445"/>
        <v>9.0730000000000012E-3</v>
      </c>
      <c r="Y157" s="58">
        <f t="shared" si="445"/>
        <v>4.1770000000000002E-2</v>
      </c>
      <c r="Z157" s="58">
        <f t="shared" si="445"/>
        <v>0.13850000000000001</v>
      </c>
      <c r="AA157" s="59">
        <v>1.10754</v>
      </c>
      <c r="AB157" s="59">
        <v>1.22299</v>
      </c>
      <c r="AC157" s="58">
        <f t="shared" ref="AC157:AI157" si="446">AC77/1000</f>
        <v>4.4999999999999996E-5</v>
      </c>
      <c r="AD157" s="58">
        <f t="shared" si="446"/>
        <v>9.7E-5</v>
      </c>
      <c r="AE157" s="58">
        <f t="shared" si="446"/>
        <v>0</v>
      </c>
      <c r="AF157" s="58">
        <f t="shared" si="446"/>
        <v>3.0000000000000001E-6</v>
      </c>
      <c r="AG157" s="58">
        <f t="shared" si="446"/>
        <v>3.5999999999999994E-5</v>
      </c>
      <c r="AH157" s="58">
        <f t="shared" si="446"/>
        <v>-7.3999999999999996E-5</v>
      </c>
      <c r="AI157" s="58">
        <f t="shared" si="446"/>
        <v>1.1E-4</v>
      </c>
      <c r="AJ157" s="59">
        <v>0.95852999999999999</v>
      </c>
      <c r="AK157" s="59">
        <v>1.15055</v>
      </c>
      <c r="AL157" s="58">
        <f t="shared" ref="AL157:BN157" si="447">AM77/1000</f>
        <v>4.3999999999999999E-5</v>
      </c>
      <c r="AM157" s="58">
        <f t="shared" si="447"/>
        <v>1.9999999999999999E-6</v>
      </c>
      <c r="AN157" s="58">
        <f t="shared" si="447"/>
        <v>1.4000000000000001E-4</v>
      </c>
      <c r="AO157" s="58">
        <f t="shared" si="447"/>
        <v>0.24580000000000002</v>
      </c>
      <c r="AP157" s="58">
        <f t="shared" si="447"/>
        <v>0.2878</v>
      </c>
      <c r="AQ157" s="58">
        <f t="shared" si="447"/>
        <v>1.966E-2</v>
      </c>
      <c r="AR157" s="58">
        <f t="shared" si="447"/>
        <v>2.1409999999999998E-2</v>
      </c>
      <c r="AS157" s="58">
        <f t="shared" si="447"/>
        <v>4.0130000000000001E-3</v>
      </c>
      <c r="AT157" s="58">
        <f t="shared" si="447"/>
        <v>1.5210000000000001E-2</v>
      </c>
      <c r="AU157" s="58">
        <f t="shared" si="447"/>
        <v>2.513E-3</v>
      </c>
      <c r="AV157" s="58">
        <f t="shared" si="447"/>
        <v>4.5100000000000001E-4</v>
      </c>
      <c r="AW157" s="58">
        <f t="shared" si="447"/>
        <v>2.2949999999999997E-3</v>
      </c>
      <c r="AX157" s="58">
        <f t="shared" si="447"/>
        <v>2.6400000000000002E-4</v>
      </c>
      <c r="AY157" s="58">
        <f t="shared" si="447"/>
        <v>1.1850000000000001E-3</v>
      </c>
      <c r="AZ157" s="58">
        <f t="shared" si="447"/>
        <v>2.1499999999999999E-4</v>
      </c>
      <c r="BA157" s="58">
        <f t="shared" si="447"/>
        <v>5.2300000000000003E-4</v>
      </c>
      <c r="BB157" s="58">
        <f t="shared" si="447"/>
        <v>5.7000000000000003E-5</v>
      </c>
      <c r="BC157" s="58">
        <f t="shared" si="447"/>
        <v>2.9099999999999997E-4</v>
      </c>
      <c r="BD157" s="58">
        <f t="shared" si="447"/>
        <v>4.0000000000000003E-5</v>
      </c>
      <c r="BE157" s="58">
        <f t="shared" si="447"/>
        <v>9.9999999999999995E-7</v>
      </c>
      <c r="BF157" s="58">
        <f t="shared" si="447"/>
        <v>1.4E-5</v>
      </c>
      <c r="BG157" s="58">
        <f t="shared" si="447"/>
        <v>9.9999999999999995E-7</v>
      </c>
      <c r="BH157" s="58">
        <f t="shared" si="447"/>
        <v>0</v>
      </c>
      <c r="BI157" s="58">
        <f t="shared" si="447"/>
        <v>0</v>
      </c>
      <c r="BJ157" s="58">
        <f t="shared" si="447"/>
        <v>0</v>
      </c>
      <c r="BK157" s="58">
        <f t="shared" si="447"/>
        <v>6.900000000000001E-5</v>
      </c>
      <c r="BL157" s="58">
        <f t="shared" si="447"/>
        <v>4.4999999999999996E-5</v>
      </c>
      <c r="BM157" s="58">
        <f t="shared" si="447"/>
        <v>1.9090000000000001E-3</v>
      </c>
      <c r="BN157" s="58">
        <f t="shared" si="447"/>
        <v>9.1100000000000003E-4</v>
      </c>
      <c r="BO157" s="59">
        <v>0.91100000000000003</v>
      </c>
      <c r="BP157" s="59">
        <v>1.07806</v>
      </c>
      <c r="BQ157" s="58">
        <f t="shared" ref="BQ157:BR157" si="448">BQ77/1000</f>
        <v>8.599999999999999E-5</v>
      </c>
      <c r="BR157" s="58">
        <f t="shared" si="448"/>
        <v>1.9000000000000001E-5</v>
      </c>
    </row>
    <row r="158" spans="1:70" ht="15.95" customHeight="1" x14ac:dyDescent="0.25">
      <c r="A158" s="58" t="s">
        <v>90</v>
      </c>
      <c r="B158" s="58">
        <f t="shared" ref="B158:G158" si="449">B78/1000</f>
        <v>0.17449999999999999</v>
      </c>
      <c r="C158" s="58">
        <f t="shared" si="449"/>
        <v>0.37510000000000004</v>
      </c>
      <c r="D158" s="58">
        <f t="shared" si="449"/>
        <v>0.37889999999999996</v>
      </c>
      <c r="E158" s="58">
        <f t="shared" si="449"/>
        <v>0.14880000000000002</v>
      </c>
      <c r="F158" s="58">
        <f t="shared" si="449"/>
        <v>0.39450000000000002</v>
      </c>
      <c r="G158" s="58">
        <f t="shared" si="449"/>
        <v>0.22159999999999999</v>
      </c>
      <c r="H158" s="59">
        <v>1.07972</v>
      </c>
      <c r="I158" s="59">
        <v>1.0694399999999999</v>
      </c>
      <c r="J158" s="58">
        <f t="shared" ref="J158:T158" si="450">J78/1000</f>
        <v>0.2233</v>
      </c>
      <c r="K158" s="58">
        <f t="shared" si="450"/>
        <v>0.17949999999999999</v>
      </c>
      <c r="L158" s="58">
        <f t="shared" si="450"/>
        <v>0.15230000000000002</v>
      </c>
      <c r="M158" s="58">
        <f t="shared" si="450"/>
        <v>3.5330000000000001E-3</v>
      </c>
      <c r="N158" s="58">
        <f t="shared" si="450"/>
        <v>3.0130000000000001E-2</v>
      </c>
      <c r="O158" s="58">
        <f t="shared" si="450"/>
        <v>0.41139999999999999</v>
      </c>
      <c r="P158" s="58">
        <f t="shared" si="450"/>
        <v>3.0619999999999996E-3</v>
      </c>
      <c r="Q158" s="58">
        <f t="shared" si="450"/>
        <v>3.3180000000000002E-3</v>
      </c>
      <c r="R158" s="58">
        <f t="shared" si="450"/>
        <v>3.3670000000000002E-3</v>
      </c>
      <c r="S158" s="58">
        <f t="shared" si="450"/>
        <v>1.304E-3</v>
      </c>
      <c r="T158" s="58">
        <f t="shared" si="450"/>
        <v>1.0889999999999999E-3</v>
      </c>
      <c r="U158" s="59">
        <v>1.0456700000000001</v>
      </c>
      <c r="V158" s="59">
        <v>0.9667</v>
      </c>
      <c r="W158" s="58">
        <f t="shared" ref="W158:Z158" si="451">W78/1000</f>
        <v>1.5809999999999999E-3</v>
      </c>
      <c r="X158" s="58">
        <f t="shared" si="451"/>
        <v>1.745E-3</v>
      </c>
      <c r="Y158" s="58">
        <f t="shared" si="451"/>
        <v>7.7089999999999997E-3</v>
      </c>
      <c r="Z158" s="58">
        <f t="shared" si="451"/>
        <v>3.1280000000000001E-3</v>
      </c>
      <c r="AA158" s="59">
        <v>1.03807</v>
      </c>
      <c r="AB158" s="59">
        <v>1.0874900000000001</v>
      </c>
      <c r="AC158" s="58">
        <f t="shared" ref="AC158:AI158" si="452">AC78/1000</f>
        <v>9.7900000000000005E-4</v>
      </c>
      <c r="AD158" s="58">
        <f t="shared" si="452"/>
        <v>3.088E-3</v>
      </c>
      <c r="AE158" s="58">
        <f t="shared" si="452"/>
        <v>2.3400000000000002E-4</v>
      </c>
      <c r="AF158" s="58">
        <f t="shared" si="452"/>
        <v>2.3499999999999999E-4</v>
      </c>
      <c r="AG158" s="58">
        <f t="shared" si="452"/>
        <v>1.7899999999999999E-4</v>
      </c>
      <c r="AH158" s="58">
        <f t="shared" si="452"/>
        <v>2.7629999999999998E-3</v>
      </c>
      <c r="AI158" s="58">
        <f t="shared" si="452"/>
        <v>3.0769999999999999E-3</v>
      </c>
      <c r="AJ158" s="59">
        <v>0.94640999999999997</v>
      </c>
      <c r="AK158" s="59">
        <v>1.0906</v>
      </c>
      <c r="AL158" s="58">
        <f t="shared" ref="AL158:BN158" si="453">AM78/1000</f>
        <v>2.24E-4</v>
      </c>
      <c r="AM158" s="58">
        <f t="shared" si="453"/>
        <v>2.4399999999999999E-4</v>
      </c>
      <c r="AN158" s="58">
        <f t="shared" si="453"/>
        <v>1.3779999999999999E-3</v>
      </c>
      <c r="AO158" s="58">
        <f t="shared" si="453"/>
        <v>1.374E-2</v>
      </c>
      <c r="AP158" s="58">
        <f t="shared" si="453"/>
        <v>1.391E-2</v>
      </c>
      <c r="AQ158" s="58">
        <f t="shared" si="453"/>
        <v>3.97E-4</v>
      </c>
      <c r="AR158" s="58">
        <f t="shared" si="453"/>
        <v>3.7800000000000003E-4</v>
      </c>
      <c r="AS158" s="58">
        <f t="shared" si="453"/>
        <v>3.9600000000000003E-4</v>
      </c>
      <c r="AT158" s="58">
        <f t="shared" si="453"/>
        <v>3.8700000000000003E-4</v>
      </c>
      <c r="AU158" s="58">
        <f t="shared" si="453"/>
        <v>3.8999999999999999E-4</v>
      </c>
      <c r="AV158" s="58">
        <f t="shared" si="453"/>
        <v>3.9300000000000001E-4</v>
      </c>
      <c r="AW158" s="58">
        <f t="shared" si="453"/>
        <v>3.8999999999999999E-4</v>
      </c>
      <c r="AX158" s="58">
        <f t="shared" si="453"/>
        <v>3.9200000000000004E-4</v>
      </c>
      <c r="AY158" s="58">
        <f t="shared" si="453"/>
        <v>3.88E-4</v>
      </c>
      <c r="AZ158" s="58">
        <f t="shared" si="453"/>
        <v>3.9600000000000003E-4</v>
      </c>
      <c r="BA158" s="58">
        <f t="shared" si="453"/>
        <v>3.8900000000000002E-4</v>
      </c>
      <c r="BB158" s="58">
        <f t="shared" si="453"/>
        <v>3.9500000000000001E-4</v>
      </c>
      <c r="BC158" s="58">
        <f t="shared" si="453"/>
        <v>3.9300000000000001E-4</v>
      </c>
      <c r="BD158" s="58">
        <f t="shared" si="453"/>
        <v>3.9400000000000004E-4</v>
      </c>
      <c r="BE158" s="58">
        <f t="shared" si="453"/>
        <v>2.14E-4</v>
      </c>
      <c r="BF158" s="58">
        <f t="shared" si="453"/>
        <v>1.392E-3</v>
      </c>
      <c r="BG158" s="58">
        <f t="shared" si="453"/>
        <v>1.469E-3</v>
      </c>
      <c r="BH158" s="58">
        <f t="shared" si="453"/>
        <v>1.5049999999999998E-3</v>
      </c>
      <c r="BI158" s="58">
        <f t="shared" si="453"/>
        <v>1.9100000000000001E-4</v>
      </c>
      <c r="BJ158" s="58">
        <f t="shared" si="453"/>
        <v>1.95E-4</v>
      </c>
      <c r="BK158" s="58">
        <f t="shared" si="453"/>
        <v>3.1300000000000002E-4</v>
      </c>
      <c r="BL158" s="58">
        <f t="shared" si="453"/>
        <v>9.0259999999999993E-3</v>
      </c>
      <c r="BM158" s="58">
        <f t="shared" si="453"/>
        <v>1.4730000000000001E-3</v>
      </c>
      <c r="BN158" s="58">
        <f t="shared" si="453"/>
        <v>9.4359999999999995E-4</v>
      </c>
      <c r="BO158" s="59">
        <v>0.94359999999999999</v>
      </c>
      <c r="BP158" s="59">
        <v>1.07731</v>
      </c>
      <c r="BQ158" s="58">
        <f t="shared" ref="BQ158:BR158" si="454">BQ78/1000</f>
        <v>3.9500000000000001E-4</v>
      </c>
      <c r="BR158" s="58">
        <f t="shared" si="454"/>
        <v>1.7569999999999999E-3</v>
      </c>
    </row>
    <row r="159" spans="1:70" ht="15.95" customHeight="1" x14ac:dyDescent="0.25">
      <c r="A159" s="58" t="s">
        <v>69</v>
      </c>
      <c r="B159" s="58">
        <f t="shared" ref="B159:G159" si="455">B79/1000</f>
        <v>-1.4019999999999999E-2</v>
      </c>
      <c r="C159" s="58">
        <f t="shared" si="455"/>
        <v>-4.2000000000000004E-5</v>
      </c>
      <c r="D159" s="58">
        <f t="shared" si="455"/>
        <v>-4.4500000000000003E-4</v>
      </c>
      <c r="E159" s="58">
        <f t="shared" si="455"/>
        <v>-9.2010000000000008E-3</v>
      </c>
      <c r="F159" s="58">
        <f t="shared" si="455"/>
        <v>1.474E-3</v>
      </c>
      <c r="G159" s="58">
        <f t="shared" si="455"/>
        <v>-2.5249999999999999E-3</v>
      </c>
      <c r="H159" s="59">
        <v>1.05986</v>
      </c>
      <c r="I159" s="59">
        <v>1.0505</v>
      </c>
      <c r="J159" s="58">
        <f t="shared" ref="J159:T159" si="456">J79/1000</f>
        <v>-8.0000000000000007E-5</v>
      </c>
      <c r="K159" s="58">
        <f t="shared" si="456"/>
        <v>-1.9000000000000001E-5</v>
      </c>
      <c r="L159" s="58">
        <f t="shared" si="456"/>
        <v>1.9000000000000001E-5</v>
      </c>
      <c r="M159" s="58">
        <f t="shared" si="456"/>
        <v>-3.0000000000000001E-6</v>
      </c>
      <c r="N159" s="58">
        <f t="shared" si="456"/>
        <v>-5.1999999999999997E-5</v>
      </c>
      <c r="O159" s="58">
        <f t="shared" si="456"/>
        <v>-1.4999999999999999E-5</v>
      </c>
      <c r="P159" s="58">
        <f t="shared" si="456"/>
        <v>-6.0000000000000002E-6</v>
      </c>
      <c r="Q159" s="58">
        <f t="shared" si="456"/>
        <v>-1.9999999999999999E-6</v>
      </c>
      <c r="R159" s="58">
        <f t="shared" si="456"/>
        <v>-2.1000000000000002E-5</v>
      </c>
      <c r="S159" s="58">
        <f t="shared" si="456"/>
        <v>-4.4850000000000003E-3</v>
      </c>
      <c r="T159" s="58">
        <f t="shared" si="456"/>
        <v>-9.9999999999999995E-7</v>
      </c>
      <c r="U159" s="59">
        <v>1.0268699999999999</v>
      </c>
      <c r="V159" s="59">
        <v>0.95133999999999996</v>
      </c>
      <c r="W159" s="58">
        <f t="shared" ref="W159:Z159" si="457">W79/1000</f>
        <v>4.6999999999999997E-5</v>
      </c>
      <c r="X159" s="58">
        <f t="shared" si="457"/>
        <v>-2.6999999999999999E-5</v>
      </c>
      <c r="Y159" s="58">
        <f t="shared" si="457"/>
        <v>3.0000000000000001E-6</v>
      </c>
      <c r="Z159" s="58">
        <f t="shared" si="457"/>
        <v>-1.2999999999999999E-5</v>
      </c>
      <c r="AA159" s="59">
        <v>1.02399</v>
      </c>
      <c r="AB159" s="59">
        <v>1.0753200000000001</v>
      </c>
      <c r="AC159" s="58">
        <f t="shared" ref="AC159:AI159" si="458">AC79/1000</f>
        <v>3.0000000000000001E-6</v>
      </c>
      <c r="AD159" s="58">
        <f t="shared" si="458"/>
        <v>-1.9999999999999999E-6</v>
      </c>
      <c r="AE159" s="58">
        <f t="shared" si="458"/>
        <v>0</v>
      </c>
      <c r="AF159" s="58">
        <f t="shared" si="458"/>
        <v>0</v>
      </c>
      <c r="AG159" s="58">
        <f t="shared" si="458"/>
        <v>0</v>
      </c>
      <c r="AH159" s="58">
        <f t="shared" si="458"/>
        <v>1.07E-3</v>
      </c>
      <c r="AI159" s="58">
        <f t="shared" si="458"/>
        <v>0</v>
      </c>
      <c r="AJ159" s="59">
        <v>0.93350999999999995</v>
      </c>
      <c r="AK159" s="59">
        <v>1.0819099999999999</v>
      </c>
      <c r="AL159" s="58">
        <f t="shared" ref="AL159:BN159" si="459">AM79/1000</f>
        <v>0</v>
      </c>
      <c r="AM159" s="58">
        <f t="shared" si="459"/>
        <v>0</v>
      </c>
      <c r="AN159" s="58">
        <f t="shared" si="459"/>
        <v>0</v>
      </c>
      <c r="AO159" s="58">
        <f t="shared" si="459"/>
        <v>-1.9999999999999999E-6</v>
      </c>
      <c r="AP159" s="58">
        <f t="shared" si="459"/>
        <v>-9.9999999999999995E-7</v>
      </c>
      <c r="AQ159" s="58">
        <f t="shared" si="459"/>
        <v>0</v>
      </c>
      <c r="AR159" s="58">
        <f t="shared" si="459"/>
        <v>-1.2999999999999999E-5</v>
      </c>
      <c r="AS159" s="58">
        <f t="shared" si="459"/>
        <v>0</v>
      </c>
      <c r="AT159" s="58">
        <f t="shared" si="459"/>
        <v>0</v>
      </c>
      <c r="AU159" s="58">
        <f t="shared" si="459"/>
        <v>0</v>
      </c>
      <c r="AV159" s="58">
        <f t="shared" si="459"/>
        <v>0</v>
      </c>
      <c r="AW159" s="58">
        <f t="shared" si="459"/>
        <v>0</v>
      </c>
      <c r="AX159" s="58">
        <f t="shared" si="459"/>
        <v>0</v>
      </c>
      <c r="AY159" s="58">
        <f t="shared" si="459"/>
        <v>0</v>
      </c>
      <c r="AZ159" s="58">
        <f t="shared" si="459"/>
        <v>0</v>
      </c>
      <c r="BA159" s="58">
        <f t="shared" si="459"/>
        <v>0</v>
      </c>
      <c r="BB159" s="58">
        <f t="shared" si="459"/>
        <v>0</v>
      </c>
      <c r="BC159" s="58">
        <f t="shared" si="459"/>
        <v>0</v>
      </c>
      <c r="BD159" s="58">
        <f t="shared" si="459"/>
        <v>0</v>
      </c>
      <c r="BE159" s="58">
        <f t="shared" si="459"/>
        <v>0</v>
      </c>
      <c r="BF159" s="58">
        <f t="shared" si="459"/>
        <v>-3.0000000000000001E-6</v>
      </c>
      <c r="BG159" s="58">
        <f t="shared" si="459"/>
        <v>0</v>
      </c>
      <c r="BH159" s="58">
        <f t="shared" si="459"/>
        <v>0</v>
      </c>
      <c r="BI159" s="58">
        <f t="shared" si="459"/>
        <v>0</v>
      </c>
      <c r="BJ159" s="58">
        <f t="shared" si="459"/>
        <v>0</v>
      </c>
      <c r="BK159" s="58">
        <f t="shared" si="459"/>
        <v>2.4000000000000001E-5</v>
      </c>
      <c r="BL159" s="58">
        <f t="shared" si="459"/>
        <v>9.9999999999999995E-7</v>
      </c>
      <c r="BM159" s="58">
        <f t="shared" si="459"/>
        <v>-9.9999999999999995E-7</v>
      </c>
      <c r="BN159" s="58">
        <f t="shared" si="459"/>
        <v>9.3353000000000002E-4</v>
      </c>
      <c r="BO159" s="59">
        <v>0.93352999999999997</v>
      </c>
      <c r="BP159" s="59">
        <v>1.07236</v>
      </c>
      <c r="BQ159" s="58">
        <f t="shared" ref="BQ159:BR159" si="460">BQ79/1000</f>
        <v>0</v>
      </c>
      <c r="BR159" s="58">
        <f t="shared" si="46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K76"/>
  <sheetViews>
    <sheetView topLeftCell="A67" workbookViewId="0"/>
  </sheetViews>
  <sheetFormatPr defaultRowHeight="15" x14ac:dyDescent="0.25"/>
  <cols>
    <col min="2" max="2" width="12.85546875" customWidth="1"/>
    <col min="3" max="4" width="13.140625" customWidth="1"/>
    <col min="5" max="5" width="13" bestFit="1" customWidth="1"/>
    <col min="6" max="6" width="12.85546875" customWidth="1"/>
    <col min="7" max="7" width="13" bestFit="1" customWidth="1"/>
    <col min="8" max="8" width="14.28515625" customWidth="1"/>
    <col min="17" max="17" width="12.5703125" customWidth="1"/>
    <col min="18" max="18" width="12.140625" customWidth="1"/>
    <col min="36" max="36" width="15" customWidth="1"/>
    <col min="38" max="38" width="13.42578125" customWidth="1"/>
    <col min="39" max="39" width="13.7109375" customWidth="1"/>
    <col min="40" max="40" width="12.42578125" customWidth="1"/>
    <col min="41" max="41" width="11.7109375" customWidth="1"/>
    <col min="42" max="42" width="12.140625" customWidth="1"/>
    <col min="44" max="44" width="11.7109375" customWidth="1"/>
    <col min="45" max="45" width="15.140625" customWidth="1"/>
    <col min="46" max="46" width="12.7109375" customWidth="1"/>
    <col min="47" max="48" width="14.42578125" customWidth="1"/>
    <col min="49" max="49" width="12.7109375" customWidth="1"/>
    <col min="50" max="50" width="12.28515625" customWidth="1"/>
    <col min="51" max="51" width="13" customWidth="1"/>
    <col min="52" max="52" width="11.7109375" customWidth="1"/>
    <col min="53" max="53" width="12.7109375" customWidth="1"/>
    <col min="55" max="55" width="11.28515625" customWidth="1"/>
    <col min="58" max="58" width="11.140625" customWidth="1"/>
    <col min="59" max="59" width="13" customWidth="1"/>
    <col min="61" max="61" width="11.5703125" customWidth="1"/>
    <col min="63" max="63" width="11.5703125" customWidth="1"/>
  </cols>
  <sheetData>
    <row r="2" spans="1:10" ht="15.75" thickBot="1" x14ac:dyDescent="0.3"/>
    <row r="3" spans="1:10" ht="18.75" x14ac:dyDescent="0.3">
      <c r="B3" s="1" t="s">
        <v>158</v>
      </c>
      <c r="C3" s="1" t="s">
        <v>159</v>
      </c>
      <c r="D3" s="1" t="s">
        <v>160</v>
      </c>
      <c r="E3" s="1" t="s">
        <v>161</v>
      </c>
      <c r="F3" s="1" t="s">
        <v>162</v>
      </c>
      <c r="G3" s="1" t="s">
        <v>163</v>
      </c>
      <c r="H3" s="1" t="s">
        <v>164</v>
      </c>
      <c r="J3" s="1" t="s">
        <v>165</v>
      </c>
    </row>
    <row r="4" spans="1:10" ht="18.75" x14ac:dyDescent="0.3">
      <c r="B4" s="2" t="s">
        <v>155</v>
      </c>
      <c r="C4" s="2" t="s">
        <v>156</v>
      </c>
      <c r="D4" s="2" t="s">
        <v>157</v>
      </c>
      <c r="E4" s="3">
        <v>6.9444444444444434E-2</v>
      </c>
      <c r="F4" s="3">
        <v>5.5555555555555552E-2</v>
      </c>
      <c r="G4" s="3">
        <v>4.8611111111111112E-2</v>
      </c>
      <c r="H4" s="4" t="s">
        <v>153</v>
      </c>
      <c r="J4" s="2" t="s">
        <v>166</v>
      </c>
    </row>
    <row r="5" spans="1:10" ht="19.5" thickBot="1" x14ac:dyDescent="0.35">
      <c r="B5" s="5" t="s">
        <v>111</v>
      </c>
      <c r="C5" s="5" t="s">
        <v>111</v>
      </c>
      <c r="D5" s="6" t="s">
        <v>111</v>
      </c>
      <c r="E5" s="5" t="s">
        <v>111</v>
      </c>
      <c r="F5" s="5" t="s">
        <v>111</v>
      </c>
      <c r="G5" s="5" t="s">
        <v>111</v>
      </c>
      <c r="H5" s="5" t="s">
        <v>111</v>
      </c>
      <c r="J5" s="6" t="s">
        <v>111</v>
      </c>
    </row>
    <row r="6" spans="1:10" ht="21" x14ac:dyDescent="0.35">
      <c r="A6" s="7" t="s">
        <v>109</v>
      </c>
      <c r="B6" s="8">
        <f>H6/1000</f>
        <v>4.2686077409226787E-2</v>
      </c>
      <c r="C6" s="8">
        <f>H6/200</f>
        <v>0.21343038704613396</v>
      </c>
      <c r="D6" s="9">
        <f>H6/100</f>
        <v>0.42686077409226791</v>
      </c>
      <c r="E6" s="8">
        <f>H6/40</f>
        <v>1.0671519352306698</v>
      </c>
      <c r="F6" s="8">
        <f>H6/20</f>
        <v>2.1343038704613395</v>
      </c>
      <c r="G6" s="8">
        <f>H6/10</f>
        <v>4.268607740922679</v>
      </c>
      <c r="H6" s="10">
        <v>42.68607740922679</v>
      </c>
      <c r="J6" s="11">
        <f>H6/40</f>
        <v>1.0671519352306698</v>
      </c>
    </row>
    <row r="7" spans="1:10" ht="21.75" thickBot="1" x14ac:dyDescent="0.4">
      <c r="A7" s="12" t="s">
        <v>115</v>
      </c>
      <c r="B7" s="13">
        <f t="shared" ref="B7:B65" si="0">H7/1000</f>
        <v>4.1708407158006069E-2</v>
      </c>
      <c r="C7" s="13">
        <f t="shared" ref="C7:C65" si="1">H7/200</f>
        <v>0.20854203579003033</v>
      </c>
      <c r="D7" s="14">
        <f t="shared" ref="D7:D65" si="2">H7/100</f>
        <v>0.41708407158006067</v>
      </c>
      <c r="E7" s="13">
        <f t="shared" ref="E7:E65" si="3">H7/40</f>
        <v>1.0427101789501516</v>
      </c>
      <c r="F7" s="13">
        <f t="shared" ref="F7:F65" si="4">H7/20</f>
        <v>2.0854203579003032</v>
      </c>
      <c r="G7" s="13">
        <f t="shared" ref="G7:G65" si="5">H7/10</f>
        <v>4.1708407158006064</v>
      </c>
      <c r="H7" s="15">
        <v>41.708407158006068</v>
      </c>
      <c r="J7" s="16">
        <f t="shared" ref="J7:J65" si="6">H7/40</f>
        <v>1.0427101789501516</v>
      </c>
    </row>
    <row r="8" spans="1:10" ht="21" x14ac:dyDescent="0.35">
      <c r="A8" s="17" t="s">
        <v>120</v>
      </c>
      <c r="B8" s="8">
        <f t="shared" si="0"/>
        <v>0.40826487481245177</v>
      </c>
      <c r="C8" s="8">
        <f t="shared" si="1"/>
        <v>2.0413243740622589</v>
      </c>
      <c r="D8" s="9">
        <f t="shared" si="2"/>
        <v>4.0826487481245177</v>
      </c>
      <c r="E8" s="8">
        <f t="shared" si="3"/>
        <v>10.206621870311293</v>
      </c>
      <c r="F8" s="8">
        <f t="shared" si="4"/>
        <v>20.413243740622587</v>
      </c>
      <c r="G8" s="8">
        <f t="shared" si="5"/>
        <v>40.826487481245174</v>
      </c>
      <c r="H8" s="18">
        <v>408.26487481245175</v>
      </c>
      <c r="J8" s="11">
        <f t="shared" si="6"/>
        <v>10.206621870311293</v>
      </c>
    </row>
    <row r="9" spans="1:10" ht="21.75" thickBot="1" x14ac:dyDescent="0.4">
      <c r="A9" s="19" t="s">
        <v>147</v>
      </c>
      <c r="B9" s="13">
        <f t="shared" si="0"/>
        <v>0.42156823787286657</v>
      </c>
      <c r="C9" s="13">
        <f t="shared" si="1"/>
        <v>2.1078411893643327</v>
      </c>
      <c r="D9" s="14">
        <f t="shared" si="2"/>
        <v>4.2156823787286655</v>
      </c>
      <c r="E9" s="13">
        <f t="shared" si="3"/>
        <v>10.539205946821664</v>
      </c>
      <c r="F9" s="13">
        <f t="shared" si="4"/>
        <v>21.078411893643327</v>
      </c>
      <c r="G9" s="13">
        <f t="shared" si="5"/>
        <v>42.156823787286655</v>
      </c>
      <c r="H9" s="20">
        <v>421.56823787286658</v>
      </c>
      <c r="J9" s="16">
        <f t="shared" si="6"/>
        <v>10.539205946821664</v>
      </c>
    </row>
    <row r="10" spans="1:10" ht="21" x14ac:dyDescent="0.35">
      <c r="A10" s="21" t="s">
        <v>146</v>
      </c>
      <c r="B10" s="8">
        <f t="shared" si="0"/>
        <v>9.9107531181168492E-3</v>
      </c>
      <c r="C10" s="8">
        <f t="shared" si="1"/>
        <v>4.9553765590584248E-2</v>
      </c>
      <c r="D10" s="9">
        <f t="shared" si="2"/>
        <v>9.9107531181168496E-2</v>
      </c>
      <c r="E10" s="8">
        <f t="shared" si="3"/>
        <v>0.24776882795292124</v>
      </c>
      <c r="F10" s="8">
        <f t="shared" si="4"/>
        <v>0.49553765590584248</v>
      </c>
      <c r="G10" s="8">
        <f t="shared" si="5"/>
        <v>0.99107531181168496</v>
      </c>
      <c r="H10" s="18">
        <v>9.9107531181168493</v>
      </c>
      <c r="J10" s="11">
        <f t="shared" si="6"/>
        <v>0.24776882795292124</v>
      </c>
    </row>
    <row r="11" spans="1:10" ht="21" x14ac:dyDescent="0.35">
      <c r="A11" s="22" t="s">
        <v>141</v>
      </c>
      <c r="B11" s="23">
        <f t="shared" si="0"/>
        <v>9.9107531181168492E-3</v>
      </c>
      <c r="C11" s="23">
        <f t="shared" si="1"/>
        <v>4.9553765590584248E-2</v>
      </c>
      <c r="D11" s="24">
        <f t="shared" si="2"/>
        <v>9.9107531181168496E-2</v>
      </c>
      <c r="E11" s="23">
        <f t="shared" si="3"/>
        <v>0.24776882795292124</v>
      </c>
      <c r="F11" s="23">
        <f t="shared" si="4"/>
        <v>0.49553765590584248</v>
      </c>
      <c r="G11" s="23">
        <f t="shared" si="5"/>
        <v>0.99107531181168496</v>
      </c>
      <c r="H11" s="25">
        <v>9.9107531181168493</v>
      </c>
      <c r="J11" s="26">
        <f t="shared" si="6"/>
        <v>0.24776882795292124</v>
      </c>
    </row>
    <row r="12" spans="1:10" ht="21" x14ac:dyDescent="0.35">
      <c r="A12" s="22" t="s">
        <v>144</v>
      </c>
      <c r="B12" s="23">
        <f t="shared" si="0"/>
        <v>9.9107531181168492E-3</v>
      </c>
      <c r="C12" s="23">
        <f t="shared" si="1"/>
        <v>4.9553765590584248E-2</v>
      </c>
      <c r="D12" s="24">
        <f t="shared" si="2"/>
        <v>9.9107531181168496E-2</v>
      </c>
      <c r="E12" s="23">
        <f t="shared" si="3"/>
        <v>0.24776882795292124</v>
      </c>
      <c r="F12" s="23">
        <f t="shared" si="4"/>
        <v>0.49553765590584248</v>
      </c>
      <c r="G12" s="23">
        <f t="shared" si="5"/>
        <v>0.99107531181168496</v>
      </c>
      <c r="H12" s="25">
        <v>9.9107531181168493</v>
      </c>
      <c r="J12" s="26">
        <f t="shared" si="6"/>
        <v>0.24776882795292124</v>
      </c>
    </row>
    <row r="13" spans="1:10" ht="21" x14ac:dyDescent="0.35">
      <c r="A13" s="22" t="s">
        <v>119</v>
      </c>
      <c r="B13" s="23">
        <f t="shared" si="0"/>
        <v>9.9107531181168492E-3</v>
      </c>
      <c r="C13" s="23">
        <f t="shared" si="1"/>
        <v>4.9553765590584248E-2</v>
      </c>
      <c r="D13" s="24">
        <f t="shared" si="2"/>
        <v>9.9107531181168496E-2</v>
      </c>
      <c r="E13" s="23">
        <f t="shared" si="3"/>
        <v>0.24776882795292124</v>
      </c>
      <c r="F13" s="23">
        <f t="shared" si="4"/>
        <v>0.49553765590584248</v>
      </c>
      <c r="G13" s="23">
        <f t="shared" si="5"/>
        <v>0.99107531181168496</v>
      </c>
      <c r="H13" s="25">
        <v>9.9107531181168493</v>
      </c>
      <c r="J13" s="26">
        <f t="shared" si="6"/>
        <v>0.24776882795292124</v>
      </c>
    </row>
    <row r="14" spans="1:10" ht="21" x14ac:dyDescent="0.35">
      <c r="A14" s="22" t="s">
        <v>145</v>
      </c>
      <c r="B14" s="23">
        <f t="shared" si="0"/>
        <v>9.9107531181168492E-3</v>
      </c>
      <c r="C14" s="23">
        <f t="shared" si="1"/>
        <v>4.9553765590584248E-2</v>
      </c>
      <c r="D14" s="24">
        <f t="shared" si="2"/>
        <v>9.9107531181168496E-2</v>
      </c>
      <c r="E14" s="23">
        <f t="shared" si="3"/>
        <v>0.24776882795292124</v>
      </c>
      <c r="F14" s="23">
        <f t="shared" si="4"/>
        <v>0.49553765590584248</v>
      </c>
      <c r="G14" s="23">
        <f t="shared" si="5"/>
        <v>0.99107531181168496</v>
      </c>
      <c r="H14" s="25">
        <v>9.9107531181168493</v>
      </c>
      <c r="J14" s="26">
        <f t="shared" si="6"/>
        <v>0.24776882795292124</v>
      </c>
    </row>
    <row r="15" spans="1:10" ht="21" x14ac:dyDescent="0.35">
      <c r="A15" s="22" t="s">
        <v>118</v>
      </c>
      <c r="B15" s="23">
        <f t="shared" si="0"/>
        <v>9.9107531181168492E-3</v>
      </c>
      <c r="C15" s="23">
        <f t="shared" si="1"/>
        <v>4.9553765590584248E-2</v>
      </c>
      <c r="D15" s="24">
        <f t="shared" si="2"/>
        <v>9.9107531181168496E-2</v>
      </c>
      <c r="E15" s="23">
        <f t="shared" si="3"/>
        <v>0.24776882795292124</v>
      </c>
      <c r="F15" s="23">
        <f t="shared" si="4"/>
        <v>0.49553765590584248</v>
      </c>
      <c r="G15" s="23">
        <f t="shared" si="5"/>
        <v>0.99107531181168496</v>
      </c>
      <c r="H15" s="25">
        <v>9.9107531181168493</v>
      </c>
      <c r="J15" s="26">
        <f t="shared" si="6"/>
        <v>0.24776882795292124</v>
      </c>
    </row>
    <row r="16" spans="1:10" ht="21" x14ac:dyDescent="0.35">
      <c r="A16" s="22" t="s">
        <v>117</v>
      </c>
      <c r="B16" s="23">
        <f t="shared" si="0"/>
        <v>9.9107531181168492E-3</v>
      </c>
      <c r="C16" s="23">
        <f t="shared" si="1"/>
        <v>4.9553765590584248E-2</v>
      </c>
      <c r="D16" s="24">
        <f t="shared" si="2"/>
        <v>9.9107531181168496E-2</v>
      </c>
      <c r="E16" s="23">
        <f t="shared" si="3"/>
        <v>0.24776882795292124</v>
      </c>
      <c r="F16" s="23">
        <f t="shared" si="4"/>
        <v>0.49553765590584248</v>
      </c>
      <c r="G16" s="23">
        <f t="shared" si="5"/>
        <v>0.99107531181168496</v>
      </c>
      <c r="H16" s="25">
        <v>9.9107531181168493</v>
      </c>
      <c r="J16" s="26">
        <f t="shared" si="6"/>
        <v>0.24776882795292124</v>
      </c>
    </row>
    <row r="17" spans="1:10" ht="21" x14ac:dyDescent="0.35">
      <c r="A17" s="22" t="s">
        <v>123</v>
      </c>
      <c r="B17" s="23">
        <f t="shared" si="0"/>
        <v>9.9107531181168492E-3</v>
      </c>
      <c r="C17" s="23">
        <f t="shared" si="1"/>
        <v>4.9553765590584248E-2</v>
      </c>
      <c r="D17" s="24">
        <f t="shared" si="2"/>
        <v>9.9107531181168496E-2</v>
      </c>
      <c r="E17" s="23">
        <f t="shared" si="3"/>
        <v>0.24776882795292124</v>
      </c>
      <c r="F17" s="23">
        <f t="shared" si="4"/>
        <v>0.49553765590584248</v>
      </c>
      <c r="G17" s="23">
        <f t="shared" si="5"/>
        <v>0.99107531181168496</v>
      </c>
      <c r="H17" s="25">
        <v>9.9107531181168493</v>
      </c>
      <c r="J17" s="26">
        <f t="shared" si="6"/>
        <v>0.24776882795292124</v>
      </c>
    </row>
    <row r="18" spans="1:10" ht="21" x14ac:dyDescent="0.35">
      <c r="A18" s="22" t="s">
        <v>122</v>
      </c>
      <c r="B18" s="23">
        <f t="shared" si="0"/>
        <v>9.9107531181168492E-3</v>
      </c>
      <c r="C18" s="23">
        <f t="shared" si="1"/>
        <v>4.9553765590584248E-2</v>
      </c>
      <c r="D18" s="24">
        <f t="shared" si="2"/>
        <v>9.9107531181168496E-2</v>
      </c>
      <c r="E18" s="23">
        <f t="shared" si="3"/>
        <v>0.24776882795292124</v>
      </c>
      <c r="F18" s="23">
        <f t="shared" si="4"/>
        <v>0.49553765590584248</v>
      </c>
      <c r="G18" s="23">
        <f t="shared" si="5"/>
        <v>0.99107531181168496</v>
      </c>
      <c r="H18" s="25">
        <v>9.9107531181168493</v>
      </c>
      <c r="J18" s="26">
        <f t="shared" si="6"/>
        <v>0.24776882795292124</v>
      </c>
    </row>
    <row r="19" spans="1:10" ht="21.75" thickBot="1" x14ac:dyDescent="0.4">
      <c r="A19" s="27" t="s">
        <v>124</v>
      </c>
      <c r="B19" s="13">
        <f t="shared" si="0"/>
        <v>9.9107531181168492E-3</v>
      </c>
      <c r="C19" s="13">
        <f t="shared" si="1"/>
        <v>4.9553765590584248E-2</v>
      </c>
      <c r="D19" s="14">
        <f t="shared" si="2"/>
        <v>9.9107531181168496E-2</v>
      </c>
      <c r="E19" s="13">
        <f t="shared" si="3"/>
        <v>0.24776882795292124</v>
      </c>
      <c r="F19" s="13">
        <f t="shared" si="4"/>
        <v>0.49553765590584248</v>
      </c>
      <c r="G19" s="13">
        <f t="shared" si="5"/>
        <v>0.99107531181168496</v>
      </c>
      <c r="H19" s="20">
        <v>9.9107531181168493</v>
      </c>
      <c r="J19" s="16">
        <f t="shared" si="6"/>
        <v>0.24776882795292124</v>
      </c>
    </row>
    <row r="20" spans="1:10" ht="21" x14ac:dyDescent="0.35">
      <c r="A20" s="28" t="s">
        <v>128</v>
      </c>
      <c r="B20" s="8">
        <f t="shared" si="0"/>
        <v>1.7684803849597794E-2</v>
      </c>
      <c r="C20" s="8">
        <f t="shared" si="1"/>
        <v>8.8424019247988983E-2</v>
      </c>
      <c r="D20" s="9">
        <f t="shared" si="2"/>
        <v>0.17684803849597797</v>
      </c>
      <c r="E20" s="8">
        <f t="shared" si="3"/>
        <v>0.44212009623994486</v>
      </c>
      <c r="F20" s="8">
        <f t="shared" si="4"/>
        <v>0.88424019247988972</v>
      </c>
      <c r="G20" s="8">
        <f t="shared" si="5"/>
        <v>1.7684803849597794</v>
      </c>
      <c r="H20" s="18">
        <v>17.684803849597795</v>
      </c>
      <c r="J20" s="11">
        <f t="shared" si="6"/>
        <v>0.44212009623994486</v>
      </c>
    </row>
    <row r="21" spans="1:10" ht="21" x14ac:dyDescent="0.35">
      <c r="A21" s="29" t="s">
        <v>135</v>
      </c>
      <c r="B21" s="23">
        <f t="shared" si="0"/>
        <v>1.7684803849597794E-2</v>
      </c>
      <c r="C21" s="23">
        <f t="shared" si="1"/>
        <v>8.8424019247988983E-2</v>
      </c>
      <c r="D21" s="24">
        <f t="shared" si="2"/>
        <v>0.17684803849597797</v>
      </c>
      <c r="E21" s="23">
        <f t="shared" si="3"/>
        <v>0.44212009623994486</v>
      </c>
      <c r="F21" s="23">
        <f t="shared" si="4"/>
        <v>0.88424019247988972</v>
      </c>
      <c r="G21" s="23">
        <f t="shared" si="5"/>
        <v>1.7684803849597794</v>
      </c>
      <c r="H21" s="25">
        <v>17.684803849597795</v>
      </c>
      <c r="J21" s="26">
        <f t="shared" si="6"/>
        <v>0.44212009623994486</v>
      </c>
    </row>
    <row r="22" spans="1:10" ht="21" x14ac:dyDescent="0.35">
      <c r="A22" s="29" t="s">
        <v>137</v>
      </c>
      <c r="B22" s="23">
        <f t="shared" si="0"/>
        <v>1.7684803849597794E-2</v>
      </c>
      <c r="C22" s="23">
        <f t="shared" si="1"/>
        <v>8.8424019247988983E-2</v>
      </c>
      <c r="D22" s="24">
        <f t="shared" si="2"/>
        <v>0.17684803849597797</v>
      </c>
      <c r="E22" s="23">
        <f t="shared" si="3"/>
        <v>0.44212009623994486</v>
      </c>
      <c r="F22" s="23">
        <f t="shared" si="4"/>
        <v>0.88424019247988972</v>
      </c>
      <c r="G22" s="23">
        <f t="shared" si="5"/>
        <v>1.7684803849597794</v>
      </c>
      <c r="H22" s="25">
        <v>17.684803849597795</v>
      </c>
      <c r="J22" s="26">
        <f t="shared" si="6"/>
        <v>0.44212009623994486</v>
      </c>
    </row>
    <row r="23" spans="1:10" ht="21" x14ac:dyDescent="0.35">
      <c r="A23" s="29" t="s">
        <v>132</v>
      </c>
      <c r="B23" s="23">
        <f t="shared" si="0"/>
        <v>1.7684803849597794E-2</v>
      </c>
      <c r="C23" s="23">
        <f t="shared" si="1"/>
        <v>8.8424019247988983E-2</v>
      </c>
      <c r="D23" s="24">
        <f t="shared" si="2"/>
        <v>0.17684803849597797</v>
      </c>
      <c r="E23" s="23">
        <f t="shared" si="3"/>
        <v>0.44212009623994486</v>
      </c>
      <c r="F23" s="23">
        <f t="shared" si="4"/>
        <v>0.88424019247988972</v>
      </c>
      <c r="G23" s="23">
        <f t="shared" si="5"/>
        <v>1.7684803849597794</v>
      </c>
      <c r="H23" s="25">
        <v>17.684803849597795</v>
      </c>
      <c r="J23" s="26">
        <f t="shared" si="6"/>
        <v>0.44212009623994486</v>
      </c>
    </row>
    <row r="24" spans="1:10" ht="21" x14ac:dyDescent="0.35">
      <c r="A24" s="29" t="s">
        <v>133</v>
      </c>
      <c r="B24" s="23">
        <f t="shared" si="0"/>
        <v>1.7684803849597794E-2</v>
      </c>
      <c r="C24" s="23">
        <f t="shared" si="1"/>
        <v>8.8424019247988983E-2</v>
      </c>
      <c r="D24" s="24">
        <f t="shared" si="2"/>
        <v>0.17684803849597797</v>
      </c>
      <c r="E24" s="23">
        <f t="shared" si="3"/>
        <v>0.44212009623994486</v>
      </c>
      <c r="F24" s="23">
        <f t="shared" si="4"/>
        <v>0.88424019247988972</v>
      </c>
      <c r="G24" s="23">
        <f t="shared" si="5"/>
        <v>1.7684803849597794</v>
      </c>
      <c r="H24" s="25">
        <v>17.684803849597795</v>
      </c>
      <c r="J24" s="26">
        <f t="shared" si="6"/>
        <v>0.44212009623994486</v>
      </c>
    </row>
    <row r="25" spans="1:10" ht="21" x14ac:dyDescent="0.35">
      <c r="A25" s="29" t="s">
        <v>136</v>
      </c>
      <c r="B25" s="23">
        <f t="shared" si="0"/>
        <v>1.7684803849597794E-2</v>
      </c>
      <c r="C25" s="23">
        <f t="shared" si="1"/>
        <v>8.8424019247988983E-2</v>
      </c>
      <c r="D25" s="24">
        <f t="shared" si="2"/>
        <v>0.17684803849597797</v>
      </c>
      <c r="E25" s="23">
        <f t="shared" si="3"/>
        <v>0.44212009623994486</v>
      </c>
      <c r="F25" s="23">
        <f t="shared" si="4"/>
        <v>0.88424019247988972</v>
      </c>
      <c r="G25" s="23">
        <f t="shared" si="5"/>
        <v>1.7684803849597794</v>
      </c>
      <c r="H25" s="25">
        <v>17.684803849597795</v>
      </c>
      <c r="J25" s="26">
        <f t="shared" si="6"/>
        <v>0.44212009623994486</v>
      </c>
    </row>
    <row r="26" spans="1:10" ht="21" x14ac:dyDescent="0.35">
      <c r="A26" s="29" t="s">
        <v>127</v>
      </c>
      <c r="B26" s="23">
        <f t="shared" si="0"/>
        <v>1.7684803849597794E-2</v>
      </c>
      <c r="C26" s="23">
        <f t="shared" si="1"/>
        <v>8.8424019247988983E-2</v>
      </c>
      <c r="D26" s="24">
        <f t="shared" si="2"/>
        <v>0.17684803849597797</v>
      </c>
      <c r="E26" s="23">
        <f t="shared" si="3"/>
        <v>0.44212009623994486</v>
      </c>
      <c r="F26" s="23">
        <f t="shared" si="4"/>
        <v>0.88424019247988972</v>
      </c>
      <c r="G26" s="23">
        <f t="shared" si="5"/>
        <v>1.7684803849597794</v>
      </c>
      <c r="H26" s="25">
        <v>17.684803849597795</v>
      </c>
      <c r="J26" s="26">
        <f t="shared" si="6"/>
        <v>0.44212009623994486</v>
      </c>
    </row>
    <row r="27" spans="1:10" ht="21" x14ac:dyDescent="0.35">
      <c r="A27" s="29" t="s">
        <v>140</v>
      </c>
      <c r="B27" s="23">
        <f t="shared" si="0"/>
        <v>1.7684803849597794E-2</v>
      </c>
      <c r="C27" s="23">
        <f t="shared" si="1"/>
        <v>8.8424019247988983E-2</v>
      </c>
      <c r="D27" s="24">
        <f t="shared" si="2"/>
        <v>0.17684803849597797</v>
      </c>
      <c r="E27" s="23">
        <f t="shared" si="3"/>
        <v>0.44212009623994486</v>
      </c>
      <c r="F27" s="23">
        <f t="shared" si="4"/>
        <v>0.88424019247988972</v>
      </c>
      <c r="G27" s="23">
        <f t="shared" si="5"/>
        <v>1.7684803849597794</v>
      </c>
      <c r="H27" s="25">
        <v>17.684803849597795</v>
      </c>
      <c r="J27" s="26">
        <f t="shared" si="6"/>
        <v>0.44212009623994486</v>
      </c>
    </row>
    <row r="28" spans="1:10" ht="21" x14ac:dyDescent="0.35">
      <c r="A28" s="29" t="s">
        <v>130</v>
      </c>
      <c r="B28" s="23">
        <f t="shared" si="0"/>
        <v>1.7684803849597794E-2</v>
      </c>
      <c r="C28" s="23">
        <f t="shared" si="1"/>
        <v>8.8424019247988983E-2</v>
      </c>
      <c r="D28" s="24">
        <f t="shared" si="2"/>
        <v>0.17684803849597797</v>
      </c>
      <c r="E28" s="23">
        <f t="shared" si="3"/>
        <v>0.44212009623994486</v>
      </c>
      <c r="F28" s="23">
        <f t="shared" si="4"/>
        <v>0.88424019247988972</v>
      </c>
      <c r="G28" s="23">
        <f t="shared" si="5"/>
        <v>1.7684803849597794</v>
      </c>
      <c r="H28" s="25">
        <v>17.684803849597795</v>
      </c>
      <c r="J28" s="26">
        <f t="shared" si="6"/>
        <v>0.44212009623994486</v>
      </c>
    </row>
    <row r="29" spans="1:10" ht="21" x14ac:dyDescent="0.35">
      <c r="A29" s="29" t="s">
        <v>129</v>
      </c>
      <c r="B29" s="23">
        <f t="shared" si="0"/>
        <v>1.7684803849597794E-2</v>
      </c>
      <c r="C29" s="23">
        <f t="shared" si="1"/>
        <v>8.8424019247988983E-2</v>
      </c>
      <c r="D29" s="24">
        <f t="shared" si="2"/>
        <v>0.17684803849597797</v>
      </c>
      <c r="E29" s="23">
        <f t="shared" si="3"/>
        <v>0.44212009623994486</v>
      </c>
      <c r="F29" s="23">
        <f t="shared" si="4"/>
        <v>0.88424019247988972</v>
      </c>
      <c r="G29" s="23">
        <f t="shared" si="5"/>
        <v>1.7684803849597794</v>
      </c>
      <c r="H29" s="25">
        <v>17.684803849597795</v>
      </c>
      <c r="J29" s="26">
        <f t="shared" si="6"/>
        <v>0.44212009623994486</v>
      </c>
    </row>
    <row r="30" spans="1:10" ht="21" x14ac:dyDescent="0.35">
      <c r="A30" s="29" t="s">
        <v>167</v>
      </c>
      <c r="B30" s="23">
        <f t="shared" si="0"/>
        <v>1.7684803849597794E-2</v>
      </c>
      <c r="C30" s="23">
        <f t="shared" si="1"/>
        <v>8.8424019247988983E-2</v>
      </c>
      <c r="D30" s="24">
        <f t="shared" si="2"/>
        <v>0.17684803849597797</v>
      </c>
      <c r="E30" s="23">
        <f t="shared" si="3"/>
        <v>0.44212009623994486</v>
      </c>
      <c r="F30" s="23">
        <f t="shared" si="4"/>
        <v>0.88424019247988972</v>
      </c>
      <c r="G30" s="23">
        <f t="shared" si="5"/>
        <v>1.7684803849597794</v>
      </c>
      <c r="H30" s="25">
        <v>17.684803849597795</v>
      </c>
      <c r="J30" s="26">
        <f t="shared" si="6"/>
        <v>0.44212009623994486</v>
      </c>
    </row>
    <row r="31" spans="1:10" ht="21" x14ac:dyDescent="0.35">
      <c r="A31" s="29" t="s">
        <v>131</v>
      </c>
      <c r="B31" s="23">
        <f t="shared" si="0"/>
        <v>1.7684803849597794E-2</v>
      </c>
      <c r="C31" s="23">
        <f t="shared" si="1"/>
        <v>8.8424019247988983E-2</v>
      </c>
      <c r="D31" s="24">
        <f t="shared" si="2"/>
        <v>0.17684803849597797</v>
      </c>
      <c r="E31" s="23">
        <f t="shared" si="3"/>
        <v>0.44212009623994486</v>
      </c>
      <c r="F31" s="23">
        <f t="shared" si="4"/>
        <v>0.88424019247988972</v>
      </c>
      <c r="G31" s="23">
        <f t="shared" si="5"/>
        <v>1.7684803849597794</v>
      </c>
      <c r="H31" s="25">
        <v>17.684803849597795</v>
      </c>
      <c r="J31" s="26">
        <f t="shared" si="6"/>
        <v>0.44212009623994486</v>
      </c>
    </row>
    <row r="32" spans="1:10" ht="21" x14ac:dyDescent="0.35">
      <c r="A32" s="29" t="s">
        <v>134</v>
      </c>
      <c r="B32" s="23">
        <f t="shared" si="0"/>
        <v>1.7684803849597794E-2</v>
      </c>
      <c r="C32" s="23">
        <f t="shared" si="1"/>
        <v>8.8424019247988983E-2</v>
      </c>
      <c r="D32" s="24">
        <f t="shared" si="2"/>
        <v>0.17684803849597797</v>
      </c>
      <c r="E32" s="23">
        <f t="shared" si="3"/>
        <v>0.44212009623994486</v>
      </c>
      <c r="F32" s="23">
        <f t="shared" si="4"/>
        <v>0.88424019247988972</v>
      </c>
      <c r="G32" s="23">
        <f t="shared" si="5"/>
        <v>1.7684803849597794</v>
      </c>
      <c r="H32" s="25">
        <v>17.684803849597795</v>
      </c>
      <c r="J32" s="26">
        <f t="shared" si="6"/>
        <v>0.44212009623994486</v>
      </c>
    </row>
    <row r="33" spans="1:10" ht="21" x14ac:dyDescent="0.35">
      <c r="A33" s="29" t="s">
        <v>149</v>
      </c>
      <c r="B33" s="23">
        <f t="shared" si="0"/>
        <v>1.7684803849597794E-2</v>
      </c>
      <c r="C33" s="23">
        <f t="shared" si="1"/>
        <v>8.8424019247988983E-2</v>
      </c>
      <c r="D33" s="24">
        <f t="shared" si="2"/>
        <v>0.17684803849597797</v>
      </c>
      <c r="E33" s="23">
        <f t="shared" si="3"/>
        <v>0.44212009623994486</v>
      </c>
      <c r="F33" s="23">
        <f t="shared" si="4"/>
        <v>0.88424019247988972</v>
      </c>
      <c r="G33" s="23">
        <f t="shared" si="5"/>
        <v>1.7684803849597794</v>
      </c>
      <c r="H33" s="25">
        <v>17.684803849597795</v>
      </c>
      <c r="J33" s="26">
        <f t="shared" si="6"/>
        <v>0.44212009623994486</v>
      </c>
    </row>
    <row r="34" spans="1:10" ht="21" x14ac:dyDescent="0.35">
      <c r="A34" s="29" t="s">
        <v>138</v>
      </c>
      <c r="B34" s="23">
        <f t="shared" si="0"/>
        <v>1.7684803849597794E-2</v>
      </c>
      <c r="C34" s="23">
        <f t="shared" si="1"/>
        <v>8.8424019247988983E-2</v>
      </c>
      <c r="D34" s="24">
        <f t="shared" si="2"/>
        <v>0.17684803849597797</v>
      </c>
      <c r="E34" s="23">
        <f t="shared" si="3"/>
        <v>0.44212009623994486</v>
      </c>
      <c r="F34" s="23">
        <f t="shared" si="4"/>
        <v>0.88424019247988972</v>
      </c>
      <c r="G34" s="23">
        <f t="shared" si="5"/>
        <v>1.7684803849597794</v>
      </c>
      <c r="H34" s="25">
        <v>17.684803849597795</v>
      </c>
      <c r="J34" s="26">
        <f t="shared" si="6"/>
        <v>0.44212009623994486</v>
      </c>
    </row>
    <row r="35" spans="1:10" ht="21" x14ac:dyDescent="0.35">
      <c r="A35" s="30" t="s">
        <v>150</v>
      </c>
      <c r="B35" s="23">
        <f t="shared" si="0"/>
        <v>1.7684803849597794E-2</v>
      </c>
      <c r="C35" s="23">
        <f t="shared" si="1"/>
        <v>8.8424019247988983E-2</v>
      </c>
      <c r="D35" s="24">
        <f t="shared" si="2"/>
        <v>0.17684803849597797</v>
      </c>
      <c r="E35" s="23">
        <f t="shared" si="3"/>
        <v>0.44212009623994486</v>
      </c>
      <c r="F35" s="23">
        <f t="shared" si="4"/>
        <v>0.88424019247988972</v>
      </c>
      <c r="G35" s="23">
        <f t="shared" si="5"/>
        <v>1.7684803849597794</v>
      </c>
      <c r="H35" s="25">
        <v>17.684803849597795</v>
      </c>
      <c r="J35" s="26">
        <f t="shared" si="6"/>
        <v>0.44212009623994486</v>
      </c>
    </row>
    <row r="36" spans="1:10" ht="21" x14ac:dyDescent="0.35">
      <c r="A36" s="29" t="s">
        <v>168</v>
      </c>
      <c r="B36" s="23">
        <f t="shared" si="0"/>
        <v>1.7684803849597794E-2</v>
      </c>
      <c r="C36" s="23">
        <f t="shared" si="1"/>
        <v>8.8424019247988983E-2</v>
      </c>
      <c r="D36" s="24">
        <f t="shared" si="2"/>
        <v>0.17684803849597797</v>
      </c>
      <c r="E36" s="23">
        <f t="shared" si="3"/>
        <v>0.44212009623994486</v>
      </c>
      <c r="F36" s="23">
        <f t="shared" si="4"/>
        <v>0.88424019247988972</v>
      </c>
      <c r="G36" s="23">
        <f t="shared" si="5"/>
        <v>1.7684803849597794</v>
      </c>
      <c r="H36" s="25">
        <v>17.684803849597795</v>
      </c>
      <c r="J36" s="26">
        <f t="shared" si="6"/>
        <v>0.44212009623994486</v>
      </c>
    </row>
    <row r="37" spans="1:10" ht="21.75" thickBot="1" x14ac:dyDescent="0.4">
      <c r="A37" s="31" t="s">
        <v>139</v>
      </c>
      <c r="B37" s="13">
        <f t="shared" si="0"/>
        <v>1.7684803849597794E-2</v>
      </c>
      <c r="C37" s="13">
        <f t="shared" si="1"/>
        <v>8.8424019247988983E-2</v>
      </c>
      <c r="D37" s="14">
        <f t="shared" si="2"/>
        <v>0.17684803849597797</v>
      </c>
      <c r="E37" s="13">
        <f t="shared" si="3"/>
        <v>0.44212009623994486</v>
      </c>
      <c r="F37" s="13">
        <f t="shared" si="4"/>
        <v>0.88424019247988972</v>
      </c>
      <c r="G37" s="13">
        <f t="shared" si="5"/>
        <v>1.7684803849597794</v>
      </c>
      <c r="H37" s="20">
        <v>17.684803849597795</v>
      </c>
      <c r="J37" s="16">
        <f t="shared" si="6"/>
        <v>0.44212009623994486</v>
      </c>
    </row>
    <row r="38" spans="1:10" ht="21" x14ac:dyDescent="0.35">
      <c r="A38" s="32" t="s">
        <v>96</v>
      </c>
      <c r="B38" s="8">
        <f t="shared" si="0"/>
        <v>13.195424731193482</v>
      </c>
      <c r="C38" s="8">
        <f t="shared" si="1"/>
        <v>65.977123655967404</v>
      </c>
      <c r="D38" s="9">
        <f t="shared" si="2"/>
        <v>131.95424731193481</v>
      </c>
      <c r="E38" s="8">
        <f t="shared" si="3"/>
        <v>329.88561827983705</v>
      </c>
      <c r="F38" s="8">
        <f t="shared" si="4"/>
        <v>659.77123655967409</v>
      </c>
      <c r="G38" s="8">
        <f t="shared" si="5"/>
        <v>1319.5424731193482</v>
      </c>
      <c r="H38" s="18">
        <v>13195.424731193481</v>
      </c>
      <c r="J38" s="26">
        <f t="shared" si="6"/>
        <v>329.88561827983705</v>
      </c>
    </row>
    <row r="39" spans="1:10" ht="21" x14ac:dyDescent="0.35">
      <c r="A39" s="33" t="s">
        <v>110</v>
      </c>
      <c r="B39" s="23">
        <f t="shared" si="0"/>
        <v>6.3110857397301573E-2</v>
      </c>
      <c r="C39" s="23">
        <f t="shared" si="1"/>
        <v>0.31555428698650784</v>
      </c>
      <c r="D39" s="24">
        <f t="shared" si="2"/>
        <v>0.63110857397301567</v>
      </c>
      <c r="E39" s="23">
        <f t="shared" si="3"/>
        <v>1.5777714349325394</v>
      </c>
      <c r="F39" s="23">
        <f t="shared" si="4"/>
        <v>3.1555428698650787</v>
      </c>
      <c r="G39" s="23">
        <f t="shared" si="5"/>
        <v>6.3110857397301574</v>
      </c>
      <c r="H39" s="25">
        <v>63.110857397301572</v>
      </c>
      <c r="J39" s="26">
        <f t="shared" si="6"/>
        <v>1.5777714349325394</v>
      </c>
    </row>
    <row r="40" spans="1:10" ht="21" x14ac:dyDescent="0.35">
      <c r="A40" s="33" t="s">
        <v>126</v>
      </c>
      <c r="B40" s="23">
        <f t="shared" si="0"/>
        <v>0.64863691260757872</v>
      </c>
      <c r="C40" s="23">
        <f t="shared" si="1"/>
        <v>3.2431845630378935</v>
      </c>
      <c r="D40" s="24">
        <f t="shared" si="2"/>
        <v>6.486369126075787</v>
      </c>
      <c r="E40" s="23">
        <f t="shared" si="3"/>
        <v>16.215922815189465</v>
      </c>
      <c r="F40" s="23">
        <f t="shared" si="4"/>
        <v>32.43184563037893</v>
      </c>
      <c r="G40" s="23">
        <f t="shared" si="5"/>
        <v>64.863691260757861</v>
      </c>
      <c r="H40" s="25">
        <v>648.63691260757867</v>
      </c>
      <c r="J40" s="26">
        <f t="shared" si="6"/>
        <v>16.215922815189465</v>
      </c>
    </row>
    <row r="41" spans="1:10" ht="21" x14ac:dyDescent="0.35">
      <c r="A41" s="33" t="s">
        <v>99</v>
      </c>
      <c r="B41" s="23">
        <f t="shared" si="0"/>
        <v>8.1642983289230546</v>
      </c>
      <c r="C41" s="23">
        <f t="shared" si="1"/>
        <v>40.821491644615278</v>
      </c>
      <c r="D41" s="24">
        <f t="shared" si="2"/>
        <v>81.642983289230557</v>
      </c>
      <c r="E41" s="23">
        <f t="shared" si="3"/>
        <v>204.10745822307638</v>
      </c>
      <c r="F41" s="23">
        <f t="shared" si="4"/>
        <v>408.21491644615276</v>
      </c>
      <c r="G41" s="23">
        <f t="shared" si="5"/>
        <v>816.42983289230551</v>
      </c>
      <c r="H41" s="25">
        <v>8164.2983289230551</v>
      </c>
      <c r="J41" s="26">
        <f t="shared" si="6"/>
        <v>204.10745822307638</v>
      </c>
    </row>
    <row r="42" spans="1:10" ht="21" x14ac:dyDescent="0.35">
      <c r="A42" s="33" t="s">
        <v>121</v>
      </c>
      <c r="B42" s="23">
        <f t="shared" si="0"/>
        <v>0.13170265283647195</v>
      </c>
      <c r="C42" s="23">
        <f t="shared" si="1"/>
        <v>0.65851326418235967</v>
      </c>
      <c r="D42" s="24">
        <f t="shared" si="2"/>
        <v>1.3170265283647193</v>
      </c>
      <c r="E42" s="23">
        <f t="shared" si="3"/>
        <v>3.2925663209117983</v>
      </c>
      <c r="F42" s="23">
        <f t="shared" si="4"/>
        <v>6.5851326418235967</v>
      </c>
      <c r="G42" s="23">
        <f t="shared" si="5"/>
        <v>13.170265283647193</v>
      </c>
      <c r="H42" s="25">
        <v>131.70265283647194</v>
      </c>
      <c r="J42" s="26">
        <f t="shared" si="6"/>
        <v>3.2925663209117983</v>
      </c>
    </row>
    <row r="43" spans="1:10" ht="21" x14ac:dyDescent="0.35">
      <c r="A43" s="33" t="s">
        <v>105</v>
      </c>
      <c r="B43" s="23">
        <f t="shared" si="0"/>
        <v>0.13123880891178175</v>
      </c>
      <c r="C43" s="23">
        <f t="shared" si="1"/>
        <v>0.65619404455890873</v>
      </c>
      <c r="D43" s="24">
        <f t="shared" si="2"/>
        <v>1.3123880891178175</v>
      </c>
      <c r="E43" s="23">
        <f t="shared" si="3"/>
        <v>3.2809702227945436</v>
      </c>
      <c r="F43" s="23">
        <f t="shared" si="4"/>
        <v>6.5619404455890873</v>
      </c>
      <c r="G43" s="23">
        <f t="shared" si="5"/>
        <v>13.123880891178175</v>
      </c>
      <c r="H43" s="25">
        <v>131.23880891178175</v>
      </c>
      <c r="J43" s="26">
        <f t="shared" si="6"/>
        <v>3.2809702227945436</v>
      </c>
    </row>
    <row r="44" spans="1:10" ht="21" x14ac:dyDescent="0.35">
      <c r="A44" s="33" t="s">
        <v>102</v>
      </c>
      <c r="B44" s="23">
        <f t="shared" si="0"/>
        <v>0.13220597451553787</v>
      </c>
      <c r="C44" s="23">
        <f t="shared" si="1"/>
        <v>0.6610298725776893</v>
      </c>
      <c r="D44" s="24">
        <f t="shared" si="2"/>
        <v>1.3220597451553786</v>
      </c>
      <c r="E44" s="23">
        <f t="shared" si="3"/>
        <v>3.3051493628884465</v>
      </c>
      <c r="F44" s="23">
        <f t="shared" si="4"/>
        <v>6.610298725776893</v>
      </c>
      <c r="G44" s="23">
        <f t="shared" si="5"/>
        <v>13.220597451553786</v>
      </c>
      <c r="H44" s="25">
        <v>132.20597451553786</v>
      </c>
      <c r="J44" s="26">
        <f t="shared" si="6"/>
        <v>3.3051493628884465</v>
      </c>
    </row>
    <row r="45" spans="1:10" ht="21" x14ac:dyDescent="0.35">
      <c r="A45" s="33" t="s">
        <v>125</v>
      </c>
      <c r="B45" s="23">
        <f t="shared" si="0"/>
        <v>6.3392820890476168E-2</v>
      </c>
      <c r="C45" s="23">
        <f t="shared" si="1"/>
        <v>0.31696410445238082</v>
      </c>
      <c r="D45" s="24">
        <f t="shared" si="2"/>
        <v>0.63392820890476165</v>
      </c>
      <c r="E45" s="23">
        <f t="shared" si="3"/>
        <v>1.5848205222619041</v>
      </c>
      <c r="F45" s="23">
        <f t="shared" si="4"/>
        <v>3.1696410445238081</v>
      </c>
      <c r="G45" s="23">
        <f t="shared" si="5"/>
        <v>6.3392820890476163</v>
      </c>
      <c r="H45" s="25">
        <v>63.392820890476166</v>
      </c>
      <c r="J45" s="26">
        <f t="shared" si="6"/>
        <v>1.5848205222619041</v>
      </c>
    </row>
    <row r="46" spans="1:10" ht="21" x14ac:dyDescent="0.35">
      <c r="A46" s="33" t="s">
        <v>107</v>
      </c>
      <c r="B46" s="23">
        <f t="shared" si="0"/>
        <v>0.13203250340027473</v>
      </c>
      <c r="C46" s="23">
        <f t="shared" si="1"/>
        <v>0.66016251700137363</v>
      </c>
      <c r="D46" s="24">
        <f t="shared" si="2"/>
        <v>1.3203250340027473</v>
      </c>
      <c r="E46" s="23">
        <f t="shared" si="3"/>
        <v>3.3008125850068679</v>
      </c>
      <c r="F46" s="23">
        <f t="shared" si="4"/>
        <v>6.6016251700137358</v>
      </c>
      <c r="G46" s="23">
        <f t="shared" si="5"/>
        <v>13.203250340027472</v>
      </c>
      <c r="H46" s="25">
        <v>132.03250340027472</v>
      </c>
      <c r="J46" s="26">
        <f t="shared" si="6"/>
        <v>3.3008125850068679</v>
      </c>
    </row>
    <row r="47" spans="1:10" ht="21" x14ac:dyDescent="0.35">
      <c r="A47" s="33" t="s">
        <v>104</v>
      </c>
      <c r="B47" s="23">
        <f t="shared" si="0"/>
        <v>14.298687590204636</v>
      </c>
      <c r="C47" s="23">
        <f t="shared" si="1"/>
        <v>71.493437951023182</v>
      </c>
      <c r="D47" s="24">
        <f t="shared" si="2"/>
        <v>142.98687590204636</v>
      </c>
      <c r="E47" s="23">
        <f t="shared" si="3"/>
        <v>357.4671897551159</v>
      </c>
      <c r="F47" s="23">
        <f t="shared" si="4"/>
        <v>714.93437951023179</v>
      </c>
      <c r="G47" s="23">
        <f t="shared" si="5"/>
        <v>1429.8687590204636</v>
      </c>
      <c r="H47" s="25">
        <v>14298.687590204636</v>
      </c>
      <c r="J47" s="26">
        <f t="shared" si="6"/>
        <v>357.4671897551159</v>
      </c>
    </row>
    <row r="48" spans="1:10" ht="21" x14ac:dyDescent="0.35">
      <c r="A48" s="33" t="s">
        <v>141</v>
      </c>
      <c r="B48" s="23">
        <f t="shared" si="0"/>
        <v>0.13219781497905037</v>
      </c>
      <c r="C48" s="23">
        <f t="shared" si="1"/>
        <v>0.66098907489525194</v>
      </c>
      <c r="D48" s="24">
        <f t="shared" si="2"/>
        <v>1.3219781497905039</v>
      </c>
      <c r="E48" s="23">
        <f t="shared" si="3"/>
        <v>3.3049453744762594</v>
      </c>
      <c r="F48" s="23">
        <f t="shared" si="4"/>
        <v>6.6098907489525187</v>
      </c>
      <c r="G48" s="23">
        <f t="shared" si="5"/>
        <v>13.219781497905037</v>
      </c>
      <c r="H48" s="25">
        <v>132.19781497905038</v>
      </c>
      <c r="J48" s="26">
        <f t="shared" si="6"/>
        <v>3.3049453744762594</v>
      </c>
    </row>
    <row r="49" spans="1:10" ht="21" x14ac:dyDescent="0.35">
      <c r="A49" s="33" t="s">
        <v>98</v>
      </c>
      <c r="B49" s="23">
        <f t="shared" si="0"/>
        <v>13.271893199689268</v>
      </c>
      <c r="C49" s="23">
        <f t="shared" si="1"/>
        <v>66.359465998446339</v>
      </c>
      <c r="D49" s="24">
        <f t="shared" si="2"/>
        <v>132.71893199689268</v>
      </c>
      <c r="E49" s="23">
        <f t="shared" si="3"/>
        <v>331.79732999223171</v>
      </c>
      <c r="F49" s="23">
        <f t="shared" si="4"/>
        <v>663.59465998446342</v>
      </c>
      <c r="G49" s="23">
        <f t="shared" si="5"/>
        <v>1327.1893199689268</v>
      </c>
      <c r="H49" s="25">
        <v>13271.893199689268</v>
      </c>
      <c r="J49" s="26">
        <f t="shared" si="6"/>
        <v>331.79732999223171</v>
      </c>
    </row>
    <row r="50" spans="1:10" ht="21" x14ac:dyDescent="0.35">
      <c r="A50" s="33" t="s">
        <v>95</v>
      </c>
      <c r="B50" s="23">
        <f t="shared" si="0"/>
        <v>13.654930334775916</v>
      </c>
      <c r="C50" s="23">
        <f t="shared" si="1"/>
        <v>68.274651673879575</v>
      </c>
      <c r="D50" s="24">
        <f t="shared" si="2"/>
        <v>136.54930334775915</v>
      </c>
      <c r="E50" s="23">
        <f t="shared" si="3"/>
        <v>341.37325836939789</v>
      </c>
      <c r="F50" s="23">
        <f t="shared" si="4"/>
        <v>682.74651673879578</v>
      </c>
      <c r="G50" s="23">
        <f t="shared" si="5"/>
        <v>1365.4930334775916</v>
      </c>
      <c r="H50" s="25">
        <v>13654.930334775916</v>
      </c>
      <c r="J50" s="26">
        <f t="shared" si="6"/>
        <v>341.37325836939789</v>
      </c>
    </row>
    <row r="51" spans="1:10" ht="21" x14ac:dyDescent="0.35">
      <c r="A51" s="33" t="s">
        <v>103</v>
      </c>
      <c r="B51" s="23">
        <f t="shared" si="0"/>
        <v>1.2862222930512155</v>
      </c>
      <c r="C51" s="23">
        <f t="shared" si="1"/>
        <v>6.4311114652560777</v>
      </c>
      <c r="D51" s="24">
        <f t="shared" si="2"/>
        <v>12.862222930512155</v>
      </c>
      <c r="E51" s="23">
        <f t="shared" si="3"/>
        <v>32.155557326280388</v>
      </c>
      <c r="F51" s="23">
        <f t="shared" si="4"/>
        <v>64.311114652560775</v>
      </c>
      <c r="G51" s="23">
        <f t="shared" si="5"/>
        <v>128.62222930512155</v>
      </c>
      <c r="H51" s="25">
        <v>1286.2222930512155</v>
      </c>
      <c r="J51" s="26">
        <f t="shared" si="6"/>
        <v>32.155557326280388</v>
      </c>
    </row>
    <row r="52" spans="1:10" ht="21" x14ac:dyDescent="0.35">
      <c r="A52" s="33" t="s">
        <v>116</v>
      </c>
      <c r="B52" s="23">
        <f t="shared" si="0"/>
        <v>0.12999167102238915</v>
      </c>
      <c r="C52" s="23">
        <f t="shared" si="1"/>
        <v>0.64995835511194566</v>
      </c>
      <c r="D52" s="24">
        <f t="shared" si="2"/>
        <v>1.2999167102238913</v>
      </c>
      <c r="E52" s="23">
        <f t="shared" si="3"/>
        <v>3.2497917755597285</v>
      </c>
      <c r="F52" s="23">
        <f t="shared" si="4"/>
        <v>6.4995835511194571</v>
      </c>
      <c r="G52" s="23">
        <f t="shared" si="5"/>
        <v>12.999167102238914</v>
      </c>
      <c r="H52" s="25">
        <v>129.99167102238914</v>
      </c>
      <c r="J52" s="26">
        <f t="shared" si="6"/>
        <v>3.2497917755597285</v>
      </c>
    </row>
    <row r="53" spans="1:10" ht="21" x14ac:dyDescent="0.35">
      <c r="A53" s="33" t="s">
        <v>94</v>
      </c>
      <c r="B53" s="23">
        <f t="shared" si="0"/>
        <v>6.4445632368050081</v>
      </c>
      <c r="C53" s="23">
        <f t="shared" si="1"/>
        <v>32.222816184025042</v>
      </c>
      <c r="D53" s="24">
        <f t="shared" si="2"/>
        <v>64.445632368050084</v>
      </c>
      <c r="E53" s="23">
        <f t="shared" si="3"/>
        <v>161.11408092012522</v>
      </c>
      <c r="F53" s="23">
        <f t="shared" si="4"/>
        <v>322.22816184025044</v>
      </c>
      <c r="G53" s="23">
        <f t="shared" si="5"/>
        <v>644.45632368050087</v>
      </c>
      <c r="H53" s="25">
        <v>6444.5632368050083</v>
      </c>
      <c r="J53" s="26">
        <f t="shared" si="6"/>
        <v>161.11408092012522</v>
      </c>
    </row>
    <row r="54" spans="1:10" ht="21" x14ac:dyDescent="0.35">
      <c r="A54" s="33" t="s">
        <v>106</v>
      </c>
      <c r="B54" s="23">
        <f t="shared" si="0"/>
        <v>0.13185556728021583</v>
      </c>
      <c r="C54" s="23">
        <f t="shared" si="1"/>
        <v>0.65927783640107918</v>
      </c>
      <c r="D54" s="24">
        <f t="shared" si="2"/>
        <v>1.3185556728021584</v>
      </c>
      <c r="E54" s="23">
        <f t="shared" si="3"/>
        <v>3.2963891820053961</v>
      </c>
      <c r="F54" s="23">
        <f t="shared" si="4"/>
        <v>6.5927783640107922</v>
      </c>
      <c r="G54" s="23">
        <f t="shared" si="5"/>
        <v>13.185556728021584</v>
      </c>
      <c r="H54" s="25">
        <v>131.85556728021584</v>
      </c>
      <c r="J54" s="26">
        <f t="shared" si="6"/>
        <v>3.2963891820053961</v>
      </c>
    </row>
    <row r="55" spans="1:10" ht="21" x14ac:dyDescent="0.35">
      <c r="A55" s="33" t="s">
        <v>97</v>
      </c>
      <c r="B55" s="23">
        <f t="shared" si="0"/>
        <v>6.4670153714497527</v>
      </c>
      <c r="C55" s="23">
        <f t="shared" si="1"/>
        <v>32.335076857248765</v>
      </c>
      <c r="D55" s="24">
        <f t="shared" si="2"/>
        <v>64.67015371449753</v>
      </c>
      <c r="E55" s="23">
        <f t="shared" si="3"/>
        <v>161.67538428624383</v>
      </c>
      <c r="F55" s="23">
        <f t="shared" si="4"/>
        <v>323.35076857248765</v>
      </c>
      <c r="G55" s="23">
        <f t="shared" si="5"/>
        <v>646.7015371449753</v>
      </c>
      <c r="H55" s="25">
        <v>6467.0153714497528</v>
      </c>
      <c r="J55" s="26">
        <f t="shared" si="6"/>
        <v>161.67538428624383</v>
      </c>
    </row>
    <row r="56" spans="1:10" ht="21" x14ac:dyDescent="0.35">
      <c r="A56" s="33" t="s">
        <v>148</v>
      </c>
      <c r="B56" s="23">
        <f t="shared" si="0"/>
        <v>6.5353846791878833E-2</v>
      </c>
      <c r="C56" s="23">
        <f t="shared" si="1"/>
        <v>0.32676923395939417</v>
      </c>
      <c r="D56" s="24">
        <f t="shared" si="2"/>
        <v>0.65353846791878833</v>
      </c>
      <c r="E56" s="23">
        <f t="shared" si="3"/>
        <v>1.6338461697969708</v>
      </c>
      <c r="F56" s="23">
        <f t="shared" si="4"/>
        <v>3.2676923395939417</v>
      </c>
      <c r="G56" s="23">
        <f t="shared" si="5"/>
        <v>6.5353846791878833</v>
      </c>
      <c r="H56" s="25">
        <v>65.353846791878837</v>
      </c>
      <c r="J56" s="26">
        <f t="shared" si="6"/>
        <v>1.6338461697969708</v>
      </c>
    </row>
    <row r="57" spans="1:10" ht="21" x14ac:dyDescent="0.35">
      <c r="A57" s="33" t="s">
        <v>113</v>
      </c>
      <c r="B57" s="23">
        <f t="shared" si="0"/>
        <v>0.32217180861200323</v>
      </c>
      <c r="C57" s="23">
        <f t="shared" si="1"/>
        <v>1.6108590430600163</v>
      </c>
      <c r="D57" s="24">
        <f t="shared" si="2"/>
        <v>3.2217180861200325</v>
      </c>
      <c r="E57" s="23">
        <f t="shared" si="3"/>
        <v>8.0542952153000815</v>
      </c>
      <c r="F57" s="23">
        <f t="shared" si="4"/>
        <v>16.108590430600163</v>
      </c>
      <c r="G57" s="23">
        <f t="shared" si="5"/>
        <v>32.217180861200326</v>
      </c>
      <c r="H57" s="25">
        <v>322.17180861200325</v>
      </c>
      <c r="J57" s="26">
        <f t="shared" si="6"/>
        <v>8.0542952153000815</v>
      </c>
    </row>
    <row r="58" spans="1:10" ht="21" x14ac:dyDescent="0.35">
      <c r="A58" s="33" t="s">
        <v>143</v>
      </c>
      <c r="B58" s="23">
        <f t="shared" si="0"/>
        <v>6.6452358856594326E-2</v>
      </c>
      <c r="C58" s="23">
        <f t="shared" si="1"/>
        <v>0.33226179428297165</v>
      </c>
      <c r="D58" s="24">
        <f t="shared" si="2"/>
        <v>0.66452358856594329</v>
      </c>
      <c r="E58" s="23">
        <f t="shared" si="3"/>
        <v>1.6613089714148583</v>
      </c>
      <c r="F58" s="23">
        <f t="shared" si="4"/>
        <v>3.3226179428297167</v>
      </c>
      <c r="G58" s="23">
        <f t="shared" si="5"/>
        <v>6.6452358856594334</v>
      </c>
      <c r="H58" s="25">
        <v>66.45235885659433</v>
      </c>
      <c r="J58" s="26">
        <f t="shared" si="6"/>
        <v>1.6613089714148583</v>
      </c>
    </row>
    <row r="59" spans="1:10" ht="21" x14ac:dyDescent="0.35">
      <c r="A59" s="33" t="s">
        <v>112</v>
      </c>
      <c r="B59" s="23">
        <f t="shared" si="0"/>
        <v>6.4322053082272554E-2</v>
      </c>
      <c r="C59" s="23">
        <f t="shared" si="1"/>
        <v>0.32161026541136278</v>
      </c>
      <c r="D59" s="24">
        <f t="shared" si="2"/>
        <v>0.64322053082272557</v>
      </c>
      <c r="E59" s="23">
        <f t="shared" si="3"/>
        <v>1.608051327056814</v>
      </c>
      <c r="F59" s="23">
        <f t="shared" si="4"/>
        <v>3.2161026541136279</v>
      </c>
      <c r="G59" s="23">
        <f t="shared" si="5"/>
        <v>6.4322053082272559</v>
      </c>
      <c r="H59" s="25">
        <v>64.322053082272561</v>
      </c>
      <c r="J59" s="26">
        <f t="shared" si="6"/>
        <v>1.608051327056814</v>
      </c>
    </row>
    <row r="60" spans="1:10" ht="21" x14ac:dyDescent="0.35">
      <c r="A60" s="33" t="s">
        <v>114</v>
      </c>
      <c r="B60" s="23">
        <f t="shared" si="0"/>
        <v>0.12942522477088642</v>
      </c>
      <c r="C60" s="23">
        <f t="shared" si="1"/>
        <v>0.64712612385443213</v>
      </c>
      <c r="D60" s="24">
        <f t="shared" si="2"/>
        <v>1.2942522477088643</v>
      </c>
      <c r="E60" s="23">
        <f t="shared" si="3"/>
        <v>3.2356306192721602</v>
      </c>
      <c r="F60" s="23">
        <f t="shared" si="4"/>
        <v>6.4712612385443204</v>
      </c>
      <c r="G60" s="23">
        <f t="shared" si="5"/>
        <v>12.942522477088641</v>
      </c>
      <c r="H60" s="25">
        <v>129.42522477088642</v>
      </c>
      <c r="J60" s="26">
        <f t="shared" si="6"/>
        <v>3.2356306192721602</v>
      </c>
    </row>
    <row r="61" spans="1:10" ht="21" x14ac:dyDescent="0.35">
      <c r="A61" s="33" t="s">
        <v>100</v>
      </c>
      <c r="B61" s="23">
        <f t="shared" si="0"/>
        <v>6.4866020857870215</v>
      </c>
      <c r="C61" s="23">
        <f t="shared" si="1"/>
        <v>32.433010428935106</v>
      </c>
      <c r="D61" s="24">
        <f t="shared" si="2"/>
        <v>64.866020857870211</v>
      </c>
      <c r="E61" s="23">
        <f t="shared" si="3"/>
        <v>162.16505214467554</v>
      </c>
      <c r="F61" s="23">
        <f t="shared" si="4"/>
        <v>324.33010428935108</v>
      </c>
      <c r="G61" s="23">
        <f t="shared" si="5"/>
        <v>648.66020857870217</v>
      </c>
      <c r="H61" s="25">
        <v>6486.6020857870217</v>
      </c>
      <c r="J61" s="26">
        <f t="shared" si="6"/>
        <v>162.16505214467554</v>
      </c>
    </row>
    <row r="62" spans="1:10" ht="21" x14ac:dyDescent="0.35">
      <c r="A62" s="30" t="s">
        <v>150</v>
      </c>
      <c r="B62" s="23">
        <f t="shared" si="0"/>
        <v>6.5865533888265229E-2</v>
      </c>
      <c r="C62" s="23">
        <f t="shared" si="1"/>
        <v>0.32932766944132619</v>
      </c>
      <c r="D62" s="24">
        <f t="shared" si="2"/>
        <v>0.65865533888265237</v>
      </c>
      <c r="E62" s="23">
        <f t="shared" si="3"/>
        <v>1.6466383472066308</v>
      </c>
      <c r="F62" s="23">
        <f t="shared" si="4"/>
        <v>3.2932766944132617</v>
      </c>
      <c r="G62" s="23">
        <f t="shared" si="5"/>
        <v>6.5865533888265233</v>
      </c>
      <c r="H62" s="25">
        <v>65.865533888265233</v>
      </c>
      <c r="J62" s="26">
        <f t="shared" si="6"/>
        <v>1.6466383472066308</v>
      </c>
    </row>
    <row r="63" spans="1:10" ht="21" x14ac:dyDescent="0.35">
      <c r="A63" s="33" t="s">
        <v>101</v>
      </c>
      <c r="B63" s="23">
        <f t="shared" si="0"/>
        <v>0.32651490029493335</v>
      </c>
      <c r="C63" s="23">
        <f t="shared" si="1"/>
        <v>1.6325745014746667</v>
      </c>
      <c r="D63" s="24">
        <f t="shared" si="2"/>
        <v>3.2651490029493333</v>
      </c>
      <c r="E63" s="23">
        <f t="shared" si="3"/>
        <v>8.1628725073733328</v>
      </c>
      <c r="F63" s="23">
        <f t="shared" si="4"/>
        <v>16.325745014746666</v>
      </c>
      <c r="G63" s="23">
        <f t="shared" si="5"/>
        <v>32.651490029493331</v>
      </c>
      <c r="H63" s="25">
        <v>326.51490029493334</v>
      </c>
      <c r="J63" s="26">
        <f t="shared" si="6"/>
        <v>8.1628725073733328</v>
      </c>
    </row>
    <row r="64" spans="1:10" ht="21" x14ac:dyDescent="0.35">
      <c r="A64" s="33" t="s">
        <v>142</v>
      </c>
      <c r="B64" s="23">
        <f t="shared" si="0"/>
        <v>6.4998961713760545E-2</v>
      </c>
      <c r="C64" s="23">
        <f t="shared" si="1"/>
        <v>0.32499480856880275</v>
      </c>
      <c r="D64" s="24">
        <f t="shared" si="2"/>
        <v>0.6499896171376055</v>
      </c>
      <c r="E64" s="23">
        <f t="shared" si="3"/>
        <v>1.6249740428440138</v>
      </c>
      <c r="F64" s="23">
        <f t="shared" si="4"/>
        <v>3.2499480856880276</v>
      </c>
      <c r="G64" s="23">
        <f t="shared" si="5"/>
        <v>6.4998961713760552</v>
      </c>
      <c r="H64" s="25">
        <v>64.998961713760551</v>
      </c>
      <c r="J64" s="26">
        <f t="shared" si="6"/>
        <v>1.6249740428440138</v>
      </c>
    </row>
    <row r="65" spans="1:63" ht="20.100000000000001" customHeight="1" thickBot="1" x14ac:dyDescent="0.4">
      <c r="A65" s="34" t="s">
        <v>108</v>
      </c>
      <c r="B65" s="13">
        <f t="shared" si="0"/>
        <v>0.13268369501235877</v>
      </c>
      <c r="C65" s="13">
        <f t="shared" si="1"/>
        <v>0.66341847506179397</v>
      </c>
      <c r="D65" s="14">
        <f t="shared" si="2"/>
        <v>1.3268369501235879</v>
      </c>
      <c r="E65" s="13">
        <f t="shared" si="3"/>
        <v>3.3170923753089694</v>
      </c>
      <c r="F65" s="13">
        <f t="shared" si="4"/>
        <v>6.6341847506179388</v>
      </c>
      <c r="G65" s="13">
        <f t="shared" si="5"/>
        <v>13.268369501235878</v>
      </c>
      <c r="H65" s="20">
        <v>132.68369501235878</v>
      </c>
      <c r="J65" s="16">
        <f t="shared" si="6"/>
        <v>3.3170923753089694</v>
      </c>
    </row>
    <row r="67" spans="1:63" ht="20.100000000000001" customHeight="1" x14ac:dyDescent="0.25">
      <c r="A67" s="30" t="s">
        <v>150</v>
      </c>
      <c r="B67" s="35">
        <f>B62+B35</f>
        <v>8.3550337737863023E-2</v>
      </c>
      <c r="C67" s="35">
        <f t="shared" ref="C67:H67" si="7">C62+C35</f>
        <v>0.41775168868931517</v>
      </c>
      <c r="D67" s="35">
        <f t="shared" si="7"/>
        <v>0.83550337737863034</v>
      </c>
      <c r="E67" s="35">
        <f t="shared" si="7"/>
        <v>2.0887584434465758</v>
      </c>
      <c r="F67" s="35">
        <f t="shared" si="7"/>
        <v>4.1775168868931516</v>
      </c>
      <c r="G67" s="35">
        <f t="shared" si="7"/>
        <v>8.3550337737863032</v>
      </c>
      <c r="H67" s="35">
        <f t="shared" si="7"/>
        <v>83.550337737863032</v>
      </c>
    </row>
    <row r="69" spans="1:63" ht="20.100000000000001" customHeight="1" x14ac:dyDescent="0.25">
      <c r="A69" s="36"/>
      <c r="B69" s="36"/>
      <c r="C69" s="36"/>
      <c r="D69" s="37" t="s">
        <v>109</v>
      </c>
      <c r="E69" s="37" t="s">
        <v>115</v>
      </c>
      <c r="F69" s="38" t="s">
        <v>120</v>
      </c>
      <c r="G69" s="38" t="s">
        <v>147</v>
      </c>
      <c r="H69" s="39" t="s">
        <v>146</v>
      </c>
      <c r="I69" s="39" t="s">
        <v>141</v>
      </c>
      <c r="J69" s="39" t="s">
        <v>144</v>
      </c>
      <c r="K69" s="39" t="s">
        <v>119</v>
      </c>
      <c r="L69" s="39" t="s">
        <v>145</v>
      </c>
      <c r="M69" s="39" t="s">
        <v>118</v>
      </c>
      <c r="N69" s="39" t="s">
        <v>117</v>
      </c>
      <c r="O69" s="39" t="s">
        <v>123</v>
      </c>
      <c r="P69" s="39" t="s">
        <v>122</v>
      </c>
      <c r="Q69" s="40" t="s">
        <v>124</v>
      </c>
      <c r="R69" s="41" t="s">
        <v>128</v>
      </c>
      <c r="S69" s="41" t="s">
        <v>135</v>
      </c>
      <c r="T69" s="41" t="s">
        <v>137</v>
      </c>
      <c r="U69" s="41" t="s">
        <v>132</v>
      </c>
      <c r="V69" s="41" t="s">
        <v>133</v>
      </c>
      <c r="W69" s="41" t="s">
        <v>136</v>
      </c>
      <c r="X69" s="41" t="s">
        <v>127</v>
      </c>
      <c r="Y69" s="41" t="s">
        <v>140</v>
      </c>
      <c r="Z69" s="41" t="s">
        <v>130</v>
      </c>
      <c r="AA69" s="41" t="s">
        <v>129</v>
      </c>
      <c r="AB69" s="41" t="s">
        <v>167</v>
      </c>
      <c r="AC69" s="41" t="s">
        <v>131</v>
      </c>
      <c r="AD69" s="41" t="s">
        <v>134</v>
      </c>
      <c r="AE69" s="41" t="s">
        <v>149</v>
      </c>
      <c r="AF69" s="41" t="s">
        <v>138</v>
      </c>
      <c r="AG69" s="42" t="s">
        <v>150</v>
      </c>
      <c r="AH69" s="41" t="s">
        <v>168</v>
      </c>
      <c r="AI69" s="41" t="s">
        <v>139</v>
      </c>
      <c r="AJ69" s="43" t="s">
        <v>96</v>
      </c>
      <c r="AK69" s="43" t="s">
        <v>110</v>
      </c>
      <c r="AL69" s="43" t="s">
        <v>126</v>
      </c>
      <c r="AM69" s="43" t="s">
        <v>99</v>
      </c>
      <c r="AN69" s="43" t="s">
        <v>121</v>
      </c>
      <c r="AO69" s="43" t="s">
        <v>105</v>
      </c>
      <c r="AP69" s="43" t="s">
        <v>102</v>
      </c>
      <c r="AQ69" s="43" t="s">
        <v>125</v>
      </c>
      <c r="AR69" s="43" t="s">
        <v>107</v>
      </c>
      <c r="AS69" s="43" t="s">
        <v>104</v>
      </c>
      <c r="AT69" s="43" t="s">
        <v>141</v>
      </c>
      <c r="AU69" s="43" t="s">
        <v>98</v>
      </c>
      <c r="AV69" s="43" t="s">
        <v>95</v>
      </c>
      <c r="AW69" s="43" t="s">
        <v>103</v>
      </c>
      <c r="AX69" s="43" t="s">
        <v>116</v>
      </c>
      <c r="AY69" s="43" t="s">
        <v>94</v>
      </c>
      <c r="AZ69" s="43" t="s">
        <v>106</v>
      </c>
      <c r="BA69" s="43" t="s">
        <v>97</v>
      </c>
      <c r="BB69" s="43" t="s">
        <v>148</v>
      </c>
      <c r="BC69" s="43" t="s">
        <v>113</v>
      </c>
      <c r="BD69" s="43" t="s">
        <v>143</v>
      </c>
      <c r="BE69" s="43" t="s">
        <v>112</v>
      </c>
      <c r="BF69" s="43" t="s">
        <v>114</v>
      </c>
      <c r="BG69" s="43" t="s">
        <v>100</v>
      </c>
      <c r="BH69" s="42" t="s">
        <v>150</v>
      </c>
      <c r="BI69" s="43" t="s">
        <v>101</v>
      </c>
      <c r="BJ69" s="43" t="s">
        <v>142</v>
      </c>
      <c r="BK69" s="43" t="s">
        <v>108</v>
      </c>
    </row>
    <row r="70" spans="1:63" ht="20.100000000000001" customHeight="1" x14ac:dyDescent="0.35">
      <c r="A70" s="44" t="s">
        <v>158</v>
      </c>
      <c r="B70" s="45" t="s">
        <v>155</v>
      </c>
      <c r="C70" s="44" t="s">
        <v>111</v>
      </c>
      <c r="D70" s="24">
        <f t="shared" ref="D70:BK70" si="8">D76/1000</f>
        <v>4.2686077409226787E-2</v>
      </c>
      <c r="E70" s="24">
        <f t="shared" si="8"/>
        <v>4.1708407158006069E-2</v>
      </c>
      <c r="F70" s="24">
        <f t="shared" si="8"/>
        <v>0.40826487481245177</v>
      </c>
      <c r="G70" s="24">
        <f t="shared" si="8"/>
        <v>0.42156823787286657</v>
      </c>
      <c r="H70" s="24">
        <f t="shared" si="8"/>
        <v>9.9107531181168492E-3</v>
      </c>
      <c r="I70" s="24">
        <f t="shared" si="8"/>
        <v>9.9107531181168492E-3</v>
      </c>
      <c r="J70" s="24">
        <f t="shared" si="8"/>
        <v>9.9107531181168492E-3</v>
      </c>
      <c r="K70" s="24">
        <f t="shared" si="8"/>
        <v>9.9107531181168492E-3</v>
      </c>
      <c r="L70" s="24">
        <f t="shared" si="8"/>
        <v>9.9107531181168492E-3</v>
      </c>
      <c r="M70" s="24">
        <f t="shared" si="8"/>
        <v>9.9107531181168492E-3</v>
      </c>
      <c r="N70" s="24">
        <f t="shared" si="8"/>
        <v>9.9107531181168492E-3</v>
      </c>
      <c r="O70" s="24">
        <f t="shared" si="8"/>
        <v>9.9107531181168492E-3</v>
      </c>
      <c r="P70" s="24">
        <f t="shared" si="8"/>
        <v>9.9107531181168492E-3</v>
      </c>
      <c r="Q70" s="24">
        <f t="shared" si="8"/>
        <v>9.9107531181168492E-3</v>
      </c>
      <c r="R70" s="24">
        <f t="shared" si="8"/>
        <v>1.7684803849597794E-2</v>
      </c>
      <c r="S70" s="24">
        <f t="shared" si="8"/>
        <v>1.7684803849597794E-2</v>
      </c>
      <c r="T70" s="24">
        <f t="shared" si="8"/>
        <v>1.7684803849597794E-2</v>
      </c>
      <c r="U70" s="24">
        <f t="shared" si="8"/>
        <v>1.7684803849597794E-2</v>
      </c>
      <c r="V70" s="24">
        <f t="shared" si="8"/>
        <v>1.7684803849597794E-2</v>
      </c>
      <c r="W70" s="24">
        <f t="shared" si="8"/>
        <v>1.7684803849597794E-2</v>
      </c>
      <c r="X70" s="24">
        <f t="shared" si="8"/>
        <v>1.7684803849597794E-2</v>
      </c>
      <c r="Y70" s="24">
        <f t="shared" si="8"/>
        <v>1.7684803849597794E-2</v>
      </c>
      <c r="Z70" s="24">
        <f t="shared" si="8"/>
        <v>1.7684803849597794E-2</v>
      </c>
      <c r="AA70" s="24">
        <f t="shared" si="8"/>
        <v>1.7684803849597794E-2</v>
      </c>
      <c r="AB70" s="24">
        <f t="shared" si="8"/>
        <v>1.7684803849597794E-2</v>
      </c>
      <c r="AC70" s="24">
        <f t="shared" si="8"/>
        <v>1.7684803849597794E-2</v>
      </c>
      <c r="AD70" s="24">
        <f t="shared" si="8"/>
        <v>1.7684803849597794E-2</v>
      </c>
      <c r="AE70" s="24">
        <f t="shared" si="8"/>
        <v>1.7684803849597794E-2</v>
      </c>
      <c r="AF70" s="24">
        <f t="shared" si="8"/>
        <v>1.7684803849597794E-2</v>
      </c>
      <c r="AG70" s="24">
        <f t="shared" si="8"/>
        <v>1.7684803849597794E-2</v>
      </c>
      <c r="AH70" s="24">
        <f t="shared" si="8"/>
        <v>1.7684803849597794E-2</v>
      </c>
      <c r="AI70" s="24">
        <f t="shared" si="8"/>
        <v>1.7684803849597794E-2</v>
      </c>
      <c r="AJ70" s="24">
        <f t="shared" si="8"/>
        <v>13.195424731193482</v>
      </c>
      <c r="AK70" s="24">
        <f t="shared" si="8"/>
        <v>6.3110857397301573E-2</v>
      </c>
      <c r="AL70" s="24">
        <f t="shared" si="8"/>
        <v>0.64863691260757872</v>
      </c>
      <c r="AM70" s="24">
        <f t="shared" si="8"/>
        <v>8.1642983289230546</v>
      </c>
      <c r="AN70" s="24">
        <f t="shared" si="8"/>
        <v>0.13170265283647195</v>
      </c>
      <c r="AO70" s="24">
        <f t="shared" si="8"/>
        <v>0.13123880891178175</v>
      </c>
      <c r="AP70" s="24">
        <f t="shared" si="8"/>
        <v>0.13220597451553787</v>
      </c>
      <c r="AQ70" s="24">
        <f t="shared" si="8"/>
        <v>6.3392820890476168E-2</v>
      </c>
      <c r="AR70" s="24">
        <f t="shared" si="8"/>
        <v>0.13203250340027473</v>
      </c>
      <c r="AS70" s="24">
        <f t="shared" si="8"/>
        <v>14.298687590204636</v>
      </c>
      <c r="AT70" s="24">
        <f t="shared" si="8"/>
        <v>0.13219781497905037</v>
      </c>
      <c r="AU70" s="24">
        <f t="shared" si="8"/>
        <v>13.271893199689268</v>
      </c>
      <c r="AV70" s="24">
        <f t="shared" si="8"/>
        <v>13.654930334775916</v>
      </c>
      <c r="AW70" s="24">
        <f t="shared" si="8"/>
        <v>1.2862222930512155</v>
      </c>
      <c r="AX70" s="24">
        <f t="shared" si="8"/>
        <v>0.12999167102238915</v>
      </c>
      <c r="AY70" s="24">
        <f t="shared" si="8"/>
        <v>6.4445632368050081</v>
      </c>
      <c r="AZ70" s="24">
        <f t="shared" si="8"/>
        <v>0.13185556728021583</v>
      </c>
      <c r="BA70" s="24">
        <f t="shared" si="8"/>
        <v>6.4670153714497527</v>
      </c>
      <c r="BB70" s="24">
        <f t="shared" si="8"/>
        <v>6.5353846791878833E-2</v>
      </c>
      <c r="BC70" s="24">
        <f t="shared" si="8"/>
        <v>0.32217180861200323</v>
      </c>
      <c r="BD70" s="24">
        <f t="shared" si="8"/>
        <v>6.6452358856594326E-2</v>
      </c>
      <c r="BE70" s="24">
        <f t="shared" si="8"/>
        <v>6.4322053082272554E-2</v>
      </c>
      <c r="BF70" s="24">
        <f t="shared" si="8"/>
        <v>0.12942522477088642</v>
      </c>
      <c r="BG70" s="24">
        <f t="shared" si="8"/>
        <v>6.4866020857870215</v>
      </c>
      <c r="BH70" s="24">
        <f t="shared" si="8"/>
        <v>6.5865533888265229E-2</v>
      </c>
      <c r="BI70" s="24">
        <f t="shared" si="8"/>
        <v>0.32651490029493335</v>
      </c>
      <c r="BJ70" s="24">
        <f t="shared" si="8"/>
        <v>6.4998961713760545E-2</v>
      </c>
      <c r="BK70" s="24">
        <f t="shared" si="8"/>
        <v>0.13268369501235877</v>
      </c>
    </row>
    <row r="71" spans="1:63" ht="20.100000000000001" customHeight="1" x14ac:dyDescent="0.35">
      <c r="A71" s="44" t="s">
        <v>159</v>
      </c>
      <c r="B71" s="45" t="s">
        <v>156</v>
      </c>
      <c r="C71" s="44" t="s">
        <v>111</v>
      </c>
      <c r="D71" s="24">
        <f t="shared" ref="D71:BK71" si="9">D76/200</f>
        <v>0.21343038704613396</v>
      </c>
      <c r="E71" s="24">
        <f t="shared" si="9"/>
        <v>0.20854203579003033</v>
      </c>
      <c r="F71" s="24">
        <f t="shared" si="9"/>
        <v>2.0413243740622589</v>
      </c>
      <c r="G71" s="24">
        <f t="shared" si="9"/>
        <v>2.1078411893643327</v>
      </c>
      <c r="H71" s="24">
        <f t="shared" si="9"/>
        <v>4.9553765590584248E-2</v>
      </c>
      <c r="I71" s="24">
        <f t="shared" si="9"/>
        <v>4.9553765590584248E-2</v>
      </c>
      <c r="J71" s="24">
        <f t="shared" si="9"/>
        <v>4.9553765590584248E-2</v>
      </c>
      <c r="K71" s="24">
        <f t="shared" si="9"/>
        <v>4.9553765590584248E-2</v>
      </c>
      <c r="L71" s="24">
        <f t="shared" si="9"/>
        <v>4.9553765590584248E-2</v>
      </c>
      <c r="M71" s="24">
        <f t="shared" si="9"/>
        <v>4.9553765590584248E-2</v>
      </c>
      <c r="N71" s="24">
        <f t="shared" si="9"/>
        <v>4.9553765590584248E-2</v>
      </c>
      <c r="O71" s="24">
        <f t="shared" si="9"/>
        <v>4.9553765590584248E-2</v>
      </c>
      <c r="P71" s="24">
        <f t="shared" si="9"/>
        <v>4.9553765590584248E-2</v>
      </c>
      <c r="Q71" s="24">
        <f t="shared" si="9"/>
        <v>4.9553765590584248E-2</v>
      </c>
      <c r="R71" s="24">
        <f t="shared" si="9"/>
        <v>8.8424019247988983E-2</v>
      </c>
      <c r="S71" s="24">
        <f t="shared" si="9"/>
        <v>8.8424019247988983E-2</v>
      </c>
      <c r="T71" s="24">
        <f t="shared" si="9"/>
        <v>8.8424019247988983E-2</v>
      </c>
      <c r="U71" s="24">
        <f t="shared" si="9"/>
        <v>8.8424019247988983E-2</v>
      </c>
      <c r="V71" s="24">
        <f t="shared" si="9"/>
        <v>8.8424019247988983E-2</v>
      </c>
      <c r="W71" s="24">
        <f t="shared" si="9"/>
        <v>8.8424019247988983E-2</v>
      </c>
      <c r="X71" s="24">
        <f t="shared" si="9"/>
        <v>8.8424019247988983E-2</v>
      </c>
      <c r="Y71" s="24">
        <f t="shared" si="9"/>
        <v>8.8424019247988983E-2</v>
      </c>
      <c r="Z71" s="24">
        <f t="shared" si="9"/>
        <v>8.8424019247988983E-2</v>
      </c>
      <c r="AA71" s="24">
        <f t="shared" si="9"/>
        <v>8.8424019247988983E-2</v>
      </c>
      <c r="AB71" s="24">
        <f t="shared" si="9"/>
        <v>8.8424019247988983E-2</v>
      </c>
      <c r="AC71" s="24">
        <f t="shared" si="9"/>
        <v>8.8424019247988983E-2</v>
      </c>
      <c r="AD71" s="24">
        <f t="shared" si="9"/>
        <v>8.8424019247988983E-2</v>
      </c>
      <c r="AE71" s="24">
        <f t="shared" si="9"/>
        <v>8.8424019247988983E-2</v>
      </c>
      <c r="AF71" s="24">
        <f t="shared" si="9"/>
        <v>8.8424019247988983E-2</v>
      </c>
      <c r="AG71" s="24">
        <f t="shared" si="9"/>
        <v>8.8424019247988983E-2</v>
      </c>
      <c r="AH71" s="24">
        <f t="shared" si="9"/>
        <v>8.8424019247988983E-2</v>
      </c>
      <c r="AI71" s="24">
        <f t="shared" si="9"/>
        <v>8.8424019247988983E-2</v>
      </c>
      <c r="AJ71" s="24">
        <f t="shared" si="9"/>
        <v>65.977123655967404</v>
      </c>
      <c r="AK71" s="24">
        <f t="shared" si="9"/>
        <v>0.31555428698650784</v>
      </c>
      <c r="AL71" s="24">
        <f t="shared" si="9"/>
        <v>3.2431845630378935</v>
      </c>
      <c r="AM71" s="24">
        <f t="shared" si="9"/>
        <v>40.821491644615278</v>
      </c>
      <c r="AN71" s="24">
        <f t="shared" si="9"/>
        <v>0.65851326418235967</v>
      </c>
      <c r="AO71" s="24">
        <f t="shared" si="9"/>
        <v>0.65619404455890873</v>
      </c>
      <c r="AP71" s="24">
        <f t="shared" si="9"/>
        <v>0.6610298725776893</v>
      </c>
      <c r="AQ71" s="24">
        <f t="shared" si="9"/>
        <v>0.31696410445238082</v>
      </c>
      <c r="AR71" s="24">
        <f t="shared" si="9"/>
        <v>0.66016251700137363</v>
      </c>
      <c r="AS71" s="24">
        <f t="shared" si="9"/>
        <v>71.493437951023182</v>
      </c>
      <c r="AT71" s="24">
        <f t="shared" si="9"/>
        <v>0.66098907489525194</v>
      </c>
      <c r="AU71" s="24">
        <f t="shared" si="9"/>
        <v>66.359465998446339</v>
      </c>
      <c r="AV71" s="24">
        <f t="shared" si="9"/>
        <v>68.274651673879575</v>
      </c>
      <c r="AW71" s="24">
        <f t="shared" si="9"/>
        <v>6.4311114652560777</v>
      </c>
      <c r="AX71" s="24">
        <f t="shared" si="9"/>
        <v>0.64995835511194566</v>
      </c>
      <c r="AY71" s="24">
        <f t="shared" si="9"/>
        <v>32.222816184025042</v>
      </c>
      <c r="AZ71" s="24">
        <f t="shared" si="9"/>
        <v>0.65927783640107918</v>
      </c>
      <c r="BA71" s="24">
        <f t="shared" si="9"/>
        <v>32.335076857248765</v>
      </c>
      <c r="BB71" s="24">
        <f t="shared" si="9"/>
        <v>0.32676923395939417</v>
      </c>
      <c r="BC71" s="24">
        <f t="shared" si="9"/>
        <v>1.6108590430600163</v>
      </c>
      <c r="BD71" s="24">
        <f t="shared" si="9"/>
        <v>0.33226179428297165</v>
      </c>
      <c r="BE71" s="24">
        <f t="shared" si="9"/>
        <v>0.32161026541136278</v>
      </c>
      <c r="BF71" s="24">
        <f t="shared" si="9"/>
        <v>0.64712612385443213</v>
      </c>
      <c r="BG71" s="24">
        <f t="shared" si="9"/>
        <v>32.433010428935106</v>
      </c>
      <c r="BH71" s="24">
        <f t="shared" si="9"/>
        <v>0.32932766944132619</v>
      </c>
      <c r="BI71" s="24">
        <f t="shared" si="9"/>
        <v>1.6325745014746667</v>
      </c>
      <c r="BJ71" s="24">
        <f t="shared" si="9"/>
        <v>0.32499480856880275</v>
      </c>
      <c r="BK71" s="24">
        <f t="shared" si="9"/>
        <v>0.66341847506179397</v>
      </c>
    </row>
    <row r="72" spans="1:63" ht="20.100000000000001" customHeight="1" x14ac:dyDescent="0.35">
      <c r="A72" s="44" t="s">
        <v>160</v>
      </c>
      <c r="B72" s="45" t="s">
        <v>157</v>
      </c>
      <c r="C72" s="44" t="s">
        <v>111</v>
      </c>
      <c r="D72" s="24">
        <f t="shared" ref="D72:BK72" si="10">D76/100</f>
        <v>0.42686077409226791</v>
      </c>
      <c r="E72" s="24">
        <f t="shared" si="10"/>
        <v>0.41708407158006067</v>
      </c>
      <c r="F72" s="24">
        <f t="shared" si="10"/>
        <v>4.0826487481245177</v>
      </c>
      <c r="G72" s="24">
        <f t="shared" si="10"/>
        <v>4.2156823787286655</v>
      </c>
      <c r="H72" s="24">
        <f t="shared" si="10"/>
        <v>9.9107531181168496E-2</v>
      </c>
      <c r="I72" s="24">
        <f t="shared" si="10"/>
        <v>9.9107531181168496E-2</v>
      </c>
      <c r="J72" s="24">
        <f t="shared" si="10"/>
        <v>9.9107531181168496E-2</v>
      </c>
      <c r="K72" s="24">
        <f t="shared" si="10"/>
        <v>9.9107531181168496E-2</v>
      </c>
      <c r="L72" s="24">
        <f t="shared" si="10"/>
        <v>9.9107531181168496E-2</v>
      </c>
      <c r="M72" s="24">
        <f t="shared" si="10"/>
        <v>9.9107531181168496E-2</v>
      </c>
      <c r="N72" s="24">
        <f t="shared" si="10"/>
        <v>9.9107531181168496E-2</v>
      </c>
      <c r="O72" s="24">
        <f t="shared" si="10"/>
        <v>9.9107531181168496E-2</v>
      </c>
      <c r="P72" s="24">
        <f t="shared" si="10"/>
        <v>9.9107531181168496E-2</v>
      </c>
      <c r="Q72" s="24">
        <f t="shared" si="10"/>
        <v>9.9107531181168496E-2</v>
      </c>
      <c r="R72" s="24">
        <f t="shared" si="10"/>
        <v>0.17684803849597797</v>
      </c>
      <c r="S72" s="24">
        <f t="shared" si="10"/>
        <v>0.17684803849597797</v>
      </c>
      <c r="T72" s="24">
        <f t="shared" si="10"/>
        <v>0.17684803849597797</v>
      </c>
      <c r="U72" s="24">
        <f t="shared" si="10"/>
        <v>0.17684803849597797</v>
      </c>
      <c r="V72" s="24">
        <f t="shared" si="10"/>
        <v>0.17684803849597797</v>
      </c>
      <c r="W72" s="24">
        <f t="shared" si="10"/>
        <v>0.17684803849597797</v>
      </c>
      <c r="X72" s="24">
        <f t="shared" si="10"/>
        <v>0.17684803849597797</v>
      </c>
      <c r="Y72" s="24">
        <f t="shared" si="10"/>
        <v>0.17684803849597797</v>
      </c>
      <c r="Z72" s="24">
        <f t="shared" si="10"/>
        <v>0.17684803849597797</v>
      </c>
      <c r="AA72" s="24">
        <f t="shared" si="10"/>
        <v>0.17684803849597797</v>
      </c>
      <c r="AB72" s="24">
        <f t="shared" si="10"/>
        <v>0.17684803849597797</v>
      </c>
      <c r="AC72" s="24">
        <f t="shared" si="10"/>
        <v>0.17684803849597797</v>
      </c>
      <c r="AD72" s="24">
        <f t="shared" si="10"/>
        <v>0.17684803849597797</v>
      </c>
      <c r="AE72" s="24">
        <f t="shared" si="10"/>
        <v>0.17684803849597797</v>
      </c>
      <c r="AF72" s="24">
        <f t="shared" si="10"/>
        <v>0.17684803849597797</v>
      </c>
      <c r="AG72" s="24">
        <f t="shared" si="10"/>
        <v>0.17684803849597797</v>
      </c>
      <c r="AH72" s="24">
        <f t="shared" si="10"/>
        <v>0.17684803849597797</v>
      </c>
      <c r="AI72" s="24">
        <f t="shared" si="10"/>
        <v>0.17684803849597797</v>
      </c>
      <c r="AJ72" s="24">
        <f t="shared" si="10"/>
        <v>131.95424731193481</v>
      </c>
      <c r="AK72" s="24">
        <f t="shared" si="10"/>
        <v>0.63110857397301567</v>
      </c>
      <c r="AL72" s="24">
        <f t="shared" si="10"/>
        <v>6.486369126075787</v>
      </c>
      <c r="AM72" s="24">
        <f t="shared" si="10"/>
        <v>81.642983289230557</v>
      </c>
      <c r="AN72" s="24">
        <f t="shared" si="10"/>
        <v>1.3170265283647193</v>
      </c>
      <c r="AO72" s="24">
        <f t="shared" si="10"/>
        <v>1.3123880891178175</v>
      </c>
      <c r="AP72" s="24">
        <f t="shared" si="10"/>
        <v>1.3220597451553786</v>
      </c>
      <c r="AQ72" s="24">
        <f t="shared" si="10"/>
        <v>0.63392820890476165</v>
      </c>
      <c r="AR72" s="24">
        <f t="shared" si="10"/>
        <v>1.3203250340027473</v>
      </c>
      <c r="AS72" s="24">
        <f t="shared" si="10"/>
        <v>142.98687590204636</v>
      </c>
      <c r="AT72" s="24">
        <f t="shared" si="10"/>
        <v>1.3219781497905039</v>
      </c>
      <c r="AU72" s="24">
        <f t="shared" si="10"/>
        <v>132.71893199689268</v>
      </c>
      <c r="AV72" s="24">
        <f t="shared" si="10"/>
        <v>136.54930334775915</v>
      </c>
      <c r="AW72" s="24">
        <f t="shared" si="10"/>
        <v>12.862222930512155</v>
      </c>
      <c r="AX72" s="24">
        <f t="shared" si="10"/>
        <v>1.2999167102238913</v>
      </c>
      <c r="AY72" s="24">
        <f t="shared" si="10"/>
        <v>64.445632368050084</v>
      </c>
      <c r="AZ72" s="24">
        <f t="shared" si="10"/>
        <v>1.3185556728021584</v>
      </c>
      <c r="BA72" s="24">
        <f t="shared" si="10"/>
        <v>64.67015371449753</v>
      </c>
      <c r="BB72" s="24">
        <f t="shared" si="10"/>
        <v>0.65353846791878833</v>
      </c>
      <c r="BC72" s="24">
        <f t="shared" si="10"/>
        <v>3.2217180861200325</v>
      </c>
      <c r="BD72" s="24">
        <f t="shared" si="10"/>
        <v>0.66452358856594329</v>
      </c>
      <c r="BE72" s="24">
        <f t="shared" si="10"/>
        <v>0.64322053082272557</v>
      </c>
      <c r="BF72" s="24">
        <f t="shared" si="10"/>
        <v>1.2942522477088643</v>
      </c>
      <c r="BG72" s="24">
        <f t="shared" si="10"/>
        <v>64.866020857870211</v>
      </c>
      <c r="BH72" s="24">
        <f t="shared" si="10"/>
        <v>0.65865533888265237</v>
      </c>
      <c r="BI72" s="24">
        <f t="shared" si="10"/>
        <v>3.2651490029493333</v>
      </c>
      <c r="BJ72" s="24">
        <f t="shared" si="10"/>
        <v>0.6499896171376055</v>
      </c>
      <c r="BK72" s="24">
        <f t="shared" si="10"/>
        <v>1.3268369501235879</v>
      </c>
    </row>
    <row r="73" spans="1:63" ht="20.100000000000001" customHeight="1" x14ac:dyDescent="0.35">
      <c r="A73" s="44" t="s">
        <v>161</v>
      </c>
      <c r="B73" s="46">
        <v>6.9444444444444434E-2</v>
      </c>
      <c r="C73" s="44" t="s">
        <v>111</v>
      </c>
      <c r="D73" s="24">
        <f t="shared" ref="D73:BK73" si="11">D76/40</f>
        <v>1.0671519352306698</v>
      </c>
      <c r="E73" s="24">
        <f t="shared" si="11"/>
        <v>1.0427101789501516</v>
      </c>
      <c r="F73" s="24">
        <f t="shared" si="11"/>
        <v>10.206621870311293</v>
      </c>
      <c r="G73" s="24">
        <f t="shared" si="11"/>
        <v>10.539205946821664</v>
      </c>
      <c r="H73" s="24">
        <f t="shared" si="11"/>
        <v>0.24776882795292124</v>
      </c>
      <c r="I73" s="24">
        <f t="shared" si="11"/>
        <v>0.24776882795292124</v>
      </c>
      <c r="J73" s="24">
        <f t="shared" si="11"/>
        <v>0.24776882795292124</v>
      </c>
      <c r="K73" s="24">
        <f t="shared" si="11"/>
        <v>0.24776882795292124</v>
      </c>
      <c r="L73" s="24">
        <f t="shared" si="11"/>
        <v>0.24776882795292124</v>
      </c>
      <c r="M73" s="24">
        <f t="shared" si="11"/>
        <v>0.24776882795292124</v>
      </c>
      <c r="N73" s="24">
        <f t="shared" si="11"/>
        <v>0.24776882795292124</v>
      </c>
      <c r="O73" s="24">
        <f t="shared" si="11"/>
        <v>0.24776882795292124</v>
      </c>
      <c r="P73" s="24">
        <f t="shared" si="11"/>
        <v>0.24776882795292124</v>
      </c>
      <c r="Q73" s="24">
        <f t="shared" si="11"/>
        <v>0.24776882795292124</v>
      </c>
      <c r="R73" s="24">
        <f t="shared" si="11"/>
        <v>0.44212009623994486</v>
      </c>
      <c r="S73" s="24">
        <f t="shared" si="11"/>
        <v>0.44212009623994486</v>
      </c>
      <c r="T73" s="24">
        <f t="shared" si="11"/>
        <v>0.44212009623994486</v>
      </c>
      <c r="U73" s="24">
        <f t="shared" si="11"/>
        <v>0.44212009623994486</v>
      </c>
      <c r="V73" s="24">
        <f t="shared" si="11"/>
        <v>0.44212009623994486</v>
      </c>
      <c r="W73" s="24">
        <f t="shared" si="11"/>
        <v>0.44212009623994486</v>
      </c>
      <c r="X73" s="24">
        <f t="shared" si="11"/>
        <v>0.44212009623994486</v>
      </c>
      <c r="Y73" s="24">
        <f t="shared" si="11"/>
        <v>0.44212009623994486</v>
      </c>
      <c r="Z73" s="24">
        <f t="shared" si="11"/>
        <v>0.44212009623994486</v>
      </c>
      <c r="AA73" s="24">
        <f t="shared" si="11"/>
        <v>0.44212009623994486</v>
      </c>
      <c r="AB73" s="24">
        <f t="shared" si="11"/>
        <v>0.44212009623994486</v>
      </c>
      <c r="AC73" s="24">
        <f t="shared" si="11"/>
        <v>0.44212009623994486</v>
      </c>
      <c r="AD73" s="24">
        <f t="shared" si="11"/>
        <v>0.44212009623994486</v>
      </c>
      <c r="AE73" s="24">
        <f t="shared" si="11"/>
        <v>0.44212009623994486</v>
      </c>
      <c r="AF73" s="24">
        <f t="shared" si="11"/>
        <v>0.44212009623994486</v>
      </c>
      <c r="AG73" s="24">
        <f t="shared" si="11"/>
        <v>0.44212009623994486</v>
      </c>
      <c r="AH73" s="24">
        <f t="shared" si="11"/>
        <v>0.44212009623994486</v>
      </c>
      <c r="AI73" s="24">
        <f t="shared" si="11"/>
        <v>0.44212009623994486</v>
      </c>
      <c r="AJ73" s="24">
        <f t="shared" si="11"/>
        <v>329.88561827983705</v>
      </c>
      <c r="AK73" s="24">
        <f t="shared" si="11"/>
        <v>1.5777714349325394</v>
      </c>
      <c r="AL73" s="24">
        <f t="shared" si="11"/>
        <v>16.215922815189465</v>
      </c>
      <c r="AM73" s="24">
        <f t="shared" si="11"/>
        <v>204.10745822307638</v>
      </c>
      <c r="AN73" s="24">
        <f t="shared" si="11"/>
        <v>3.2925663209117983</v>
      </c>
      <c r="AO73" s="24">
        <f t="shared" si="11"/>
        <v>3.2809702227945436</v>
      </c>
      <c r="AP73" s="24">
        <f t="shared" si="11"/>
        <v>3.3051493628884465</v>
      </c>
      <c r="AQ73" s="24">
        <f t="shared" si="11"/>
        <v>1.5848205222619041</v>
      </c>
      <c r="AR73" s="24">
        <f t="shared" si="11"/>
        <v>3.3008125850068679</v>
      </c>
      <c r="AS73" s="24">
        <f t="shared" si="11"/>
        <v>357.4671897551159</v>
      </c>
      <c r="AT73" s="24">
        <f t="shared" si="11"/>
        <v>3.3049453744762594</v>
      </c>
      <c r="AU73" s="24">
        <f t="shared" si="11"/>
        <v>331.79732999223171</v>
      </c>
      <c r="AV73" s="24">
        <f t="shared" si="11"/>
        <v>341.37325836939789</v>
      </c>
      <c r="AW73" s="24">
        <f t="shared" si="11"/>
        <v>32.155557326280388</v>
      </c>
      <c r="AX73" s="24">
        <f t="shared" si="11"/>
        <v>3.2497917755597285</v>
      </c>
      <c r="AY73" s="24">
        <f t="shared" si="11"/>
        <v>161.11408092012522</v>
      </c>
      <c r="AZ73" s="24">
        <f t="shared" si="11"/>
        <v>3.2963891820053961</v>
      </c>
      <c r="BA73" s="24">
        <f t="shared" si="11"/>
        <v>161.67538428624383</v>
      </c>
      <c r="BB73" s="24">
        <f t="shared" si="11"/>
        <v>1.6338461697969708</v>
      </c>
      <c r="BC73" s="24">
        <f t="shared" si="11"/>
        <v>8.0542952153000815</v>
      </c>
      <c r="BD73" s="24">
        <f t="shared" si="11"/>
        <v>1.6613089714148583</v>
      </c>
      <c r="BE73" s="24">
        <f t="shared" si="11"/>
        <v>1.608051327056814</v>
      </c>
      <c r="BF73" s="24">
        <f t="shared" si="11"/>
        <v>3.2356306192721602</v>
      </c>
      <c r="BG73" s="24">
        <f t="shared" si="11"/>
        <v>162.16505214467554</v>
      </c>
      <c r="BH73" s="24">
        <f t="shared" si="11"/>
        <v>1.6466383472066308</v>
      </c>
      <c r="BI73" s="24">
        <f t="shared" si="11"/>
        <v>8.1628725073733328</v>
      </c>
      <c r="BJ73" s="24">
        <f t="shared" si="11"/>
        <v>1.6249740428440138</v>
      </c>
      <c r="BK73" s="24">
        <f t="shared" si="11"/>
        <v>3.3170923753089694</v>
      </c>
    </row>
    <row r="74" spans="1:63" ht="20.100000000000001" customHeight="1" x14ac:dyDescent="0.35">
      <c r="A74" s="44" t="s">
        <v>162</v>
      </c>
      <c r="B74" s="46">
        <v>5.5555555555555552E-2</v>
      </c>
      <c r="C74" s="44" t="s">
        <v>111</v>
      </c>
      <c r="D74" s="24">
        <f t="shared" ref="D74:BK74" si="12">D76/20</f>
        <v>2.1343038704613395</v>
      </c>
      <c r="E74" s="24">
        <f t="shared" si="12"/>
        <v>2.0854203579003032</v>
      </c>
      <c r="F74" s="24">
        <f t="shared" si="12"/>
        <v>20.413243740622587</v>
      </c>
      <c r="G74" s="24">
        <f t="shared" si="12"/>
        <v>21.078411893643327</v>
      </c>
      <c r="H74" s="24">
        <f t="shared" si="12"/>
        <v>0.49553765590584248</v>
      </c>
      <c r="I74" s="24">
        <f t="shared" si="12"/>
        <v>0.49553765590584248</v>
      </c>
      <c r="J74" s="24">
        <f t="shared" si="12"/>
        <v>0.49553765590584248</v>
      </c>
      <c r="K74" s="24">
        <f t="shared" si="12"/>
        <v>0.49553765590584248</v>
      </c>
      <c r="L74" s="24">
        <f t="shared" si="12"/>
        <v>0.49553765590584248</v>
      </c>
      <c r="M74" s="24">
        <f t="shared" si="12"/>
        <v>0.49553765590584248</v>
      </c>
      <c r="N74" s="24">
        <f t="shared" si="12"/>
        <v>0.49553765590584248</v>
      </c>
      <c r="O74" s="24">
        <f t="shared" si="12"/>
        <v>0.49553765590584248</v>
      </c>
      <c r="P74" s="24">
        <f t="shared" si="12"/>
        <v>0.49553765590584248</v>
      </c>
      <c r="Q74" s="24">
        <f t="shared" si="12"/>
        <v>0.49553765590584248</v>
      </c>
      <c r="R74" s="24">
        <f t="shared" si="12"/>
        <v>0.88424019247988972</v>
      </c>
      <c r="S74" s="24">
        <f t="shared" si="12"/>
        <v>0.88424019247988972</v>
      </c>
      <c r="T74" s="24">
        <f t="shared" si="12"/>
        <v>0.88424019247988972</v>
      </c>
      <c r="U74" s="24">
        <f t="shared" si="12"/>
        <v>0.88424019247988972</v>
      </c>
      <c r="V74" s="24">
        <f t="shared" si="12"/>
        <v>0.88424019247988972</v>
      </c>
      <c r="W74" s="24">
        <f t="shared" si="12"/>
        <v>0.88424019247988972</v>
      </c>
      <c r="X74" s="24">
        <f t="shared" si="12"/>
        <v>0.88424019247988972</v>
      </c>
      <c r="Y74" s="24">
        <f t="shared" si="12"/>
        <v>0.88424019247988972</v>
      </c>
      <c r="Z74" s="24">
        <f t="shared" si="12"/>
        <v>0.88424019247988972</v>
      </c>
      <c r="AA74" s="24">
        <f t="shared" si="12"/>
        <v>0.88424019247988972</v>
      </c>
      <c r="AB74" s="24">
        <f t="shared" si="12"/>
        <v>0.88424019247988972</v>
      </c>
      <c r="AC74" s="24">
        <f t="shared" si="12"/>
        <v>0.88424019247988972</v>
      </c>
      <c r="AD74" s="24">
        <f t="shared" si="12"/>
        <v>0.88424019247988972</v>
      </c>
      <c r="AE74" s="24">
        <f t="shared" si="12"/>
        <v>0.88424019247988972</v>
      </c>
      <c r="AF74" s="24">
        <f t="shared" si="12"/>
        <v>0.88424019247988972</v>
      </c>
      <c r="AG74" s="24">
        <f t="shared" si="12"/>
        <v>0.88424019247988972</v>
      </c>
      <c r="AH74" s="24">
        <f t="shared" si="12"/>
        <v>0.88424019247988972</v>
      </c>
      <c r="AI74" s="24">
        <f t="shared" si="12"/>
        <v>0.88424019247988972</v>
      </c>
      <c r="AJ74" s="24">
        <f t="shared" si="12"/>
        <v>659.77123655967409</v>
      </c>
      <c r="AK74" s="24">
        <f t="shared" si="12"/>
        <v>3.1555428698650787</v>
      </c>
      <c r="AL74" s="24">
        <f t="shared" si="12"/>
        <v>32.43184563037893</v>
      </c>
      <c r="AM74" s="24">
        <f t="shared" si="12"/>
        <v>408.21491644615276</v>
      </c>
      <c r="AN74" s="24">
        <f t="shared" si="12"/>
        <v>6.5851326418235967</v>
      </c>
      <c r="AO74" s="24">
        <f t="shared" si="12"/>
        <v>6.5619404455890873</v>
      </c>
      <c r="AP74" s="24">
        <f t="shared" si="12"/>
        <v>6.610298725776893</v>
      </c>
      <c r="AQ74" s="24">
        <f t="shared" si="12"/>
        <v>3.1696410445238081</v>
      </c>
      <c r="AR74" s="24">
        <f t="shared" si="12"/>
        <v>6.6016251700137358</v>
      </c>
      <c r="AS74" s="24">
        <f t="shared" si="12"/>
        <v>714.93437951023179</v>
      </c>
      <c r="AT74" s="24">
        <f t="shared" si="12"/>
        <v>6.6098907489525187</v>
      </c>
      <c r="AU74" s="24">
        <f t="shared" si="12"/>
        <v>663.59465998446342</v>
      </c>
      <c r="AV74" s="24">
        <f t="shared" si="12"/>
        <v>682.74651673879578</v>
      </c>
      <c r="AW74" s="24">
        <f t="shared" si="12"/>
        <v>64.311114652560775</v>
      </c>
      <c r="AX74" s="24">
        <f t="shared" si="12"/>
        <v>6.4995835511194571</v>
      </c>
      <c r="AY74" s="24">
        <f t="shared" si="12"/>
        <v>322.22816184025044</v>
      </c>
      <c r="AZ74" s="24">
        <f t="shared" si="12"/>
        <v>6.5927783640107922</v>
      </c>
      <c r="BA74" s="24">
        <f t="shared" si="12"/>
        <v>323.35076857248765</v>
      </c>
      <c r="BB74" s="24">
        <f t="shared" si="12"/>
        <v>3.2676923395939417</v>
      </c>
      <c r="BC74" s="24">
        <f t="shared" si="12"/>
        <v>16.108590430600163</v>
      </c>
      <c r="BD74" s="24">
        <f t="shared" si="12"/>
        <v>3.3226179428297167</v>
      </c>
      <c r="BE74" s="24">
        <f t="shared" si="12"/>
        <v>3.2161026541136279</v>
      </c>
      <c r="BF74" s="24">
        <f t="shared" si="12"/>
        <v>6.4712612385443204</v>
      </c>
      <c r="BG74" s="24">
        <f t="shared" si="12"/>
        <v>324.33010428935108</v>
      </c>
      <c r="BH74" s="24">
        <f t="shared" si="12"/>
        <v>3.2932766944132617</v>
      </c>
      <c r="BI74" s="24">
        <f t="shared" si="12"/>
        <v>16.325745014746666</v>
      </c>
      <c r="BJ74" s="24">
        <f t="shared" si="12"/>
        <v>3.2499480856880276</v>
      </c>
      <c r="BK74" s="24">
        <f t="shared" si="12"/>
        <v>6.6341847506179388</v>
      </c>
    </row>
    <row r="75" spans="1:63" ht="20.100000000000001" customHeight="1" x14ac:dyDescent="0.35">
      <c r="A75" s="44" t="s">
        <v>163</v>
      </c>
      <c r="B75" s="46">
        <v>4.8611111111111112E-2</v>
      </c>
      <c r="C75" s="44" t="s">
        <v>111</v>
      </c>
      <c r="D75" s="24">
        <f t="shared" ref="D75:BK75" si="13">D76/10</f>
        <v>4.268607740922679</v>
      </c>
      <c r="E75" s="24">
        <f t="shared" si="13"/>
        <v>4.1708407158006064</v>
      </c>
      <c r="F75" s="24">
        <f t="shared" si="13"/>
        <v>40.826487481245174</v>
      </c>
      <c r="G75" s="24">
        <f t="shared" si="13"/>
        <v>42.156823787286655</v>
      </c>
      <c r="H75" s="24">
        <f t="shared" si="13"/>
        <v>0.99107531181168496</v>
      </c>
      <c r="I75" s="24">
        <f t="shared" si="13"/>
        <v>0.99107531181168496</v>
      </c>
      <c r="J75" s="24">
        <f t="shared" si="13"/>
        <v>0.99107531181168496</v>
      </c>
      <c r="K75" s="24">
        <f t="shared" si="13"/>
        <v>0.99107531181168496</v>
      </c>
      <c r="L75" s="24">
        <f t="shared" si="13"/>
        <v>0.99107531181168496</v>
      </c>
      <c r="M75" s="24">
        <f t="shared" si="13"/>
        <v>0.99107531181168496</v>
      </c>
      <c r="N75" s="24">
        <f t="shared" si="13"/>
        <v>0.99107531181168496</v>
      </c>
      <c r="O75" s="24">
        <f t="shared" si="13"/>
        <v>0.99107531181168496</v>
      </c>
      <c r="P75" s="24">
        <f t="shared" si="13"/>
        <v>0.99107531181168496</v>
      </c>
      <c r="Q75" s="24">
        <f t="shared" si="13"/>
        <v>0.99107531181168496</v>
      </c>
      <c r="R75" s="24">
        <f t="shared" si="13"/>
        <v>1.7684803849597794</v>
      </c>
      <c r="S75" s="24">
        <f t="shared" si="13"/>
        <v>1.7684803849597794</v>
      </c>
      <c r="T75" s="24">
        <f t="shared" si="13"/>
        <v>1.7684803849597794</v>
      </c>
      <c r="U75" s="24">
        <f t="shared" si="13"/>
        <v>1.7684803849597794</v>
      </c>
      <c r="V75" s="24">
        <f t="shared" si="13"/>
        <v>1.7684803849597794</v>
      </c>
      <c r="W75" s="24">
        <f t="shared" si="13"/>
        <v>1.7684803849597794</v>
      </c>
      <c r="X75" s="24">
        <f t="shared" si="13"/>
        <v>1.7684803849597794</v>
      </c>
      <c r="Y75" s="24">
        <f t="shared" si="13"/>
        <v>1.7684803849597794</v>
      </c>
      <c r="Z75" s="24">
        <f t="shared" si="13"/>
        <v>1.7684803849597794</v>
      </c>
      <c r="AA75" s="24">
        <f t="shared" si="13"/>
        <v>1.7684803849597794</v>
      </c>
      <c r="AB75" s="24">
        <f t="shared" si="13"/>
        <v>1.7684803849597794</v>
      </c>
      <c r="AC75" s="24">
        <f t="shared" si="13"/>
        <v>1.7684803849597794</v>
      </c>
      <c r="AD75" s="24">
        <f t="shared" si="13"/>
        <v>1.7684803849597794</v>
      </c>
      <c r="AE75" s="24">
        <f t="shared" si="13"/>
        <v>1.7684803849597794</v>
      </c>
      <c r="AF75" s="24">
        <f t="shared" si="13"/>
        <v>1.7684803849597794</v>
      </c>
      <c r="AG75" s="24">
        <f t="shared" si="13"/>
        <v>1.7684803849597794</v>
      </c>
      <c r="AH75" s="24">
        <f t="shared" si="13"/>
        <v>1.7684803849597794</v>
      </c>
      <c r="AI75" s="24">
        <f t="shared" si="13"/>
        <v>1.7684803849597794</v>
      </c>
      <c r="AJ75" s="24">
        <f t="shared" si="13"/>
        <v>1319.5424731193482</v>
      </c>
      <c r="AK75" s="24">
        <f t="shared" si="13"/>
        <v>6.3110857397301574</v>
      </c>
      <c r="AL75" s="24">
        <f t="shared" si="13"/>
        <v>64.863691260757861</v>
      </c>
      <c r="AM75" s="24">
        <f t="shared" si="13"/>
        <v>816.42983289230551</v>
      </c>
      <c r="AN75" s="24">
        <f t="shared" si="13"/>
        <v>13.170265283647193</v>
      </c>
      <c r="AO75" s="24">
        <f t="shared" si="13"/>
        <v>13.123880891178175</v>
      </c>
      <c r="AP75" s="24">
        <f t="shared" si="13"/>
        <v>13.220597451553786</v>
      </c>
      <c r="AQ75" s="24">
        <f t="shared" si="13"/>
        <v>6.3392820890476163</v>
      </c>
      <c r="AR75" s="24">
        <f t="shared" si="13"/>
        <v>13.203250340027472</v>
      </c>
      <c r="AS75" s="24">
        <f t="shared" si="13"/>
        <v>1429.8687590204636</v>
      </c>
      <c r="AT75" s="24">
        <f t="shared" si="13"/>
        <v>13.219781497905037</v>
      </c>
      <c r="AU75" s="24">
        <f t="shared" si="13"/>
        <v>1327.1893199689268</v>
      </c>
      <c r="AV75" s="24">
        <f t="shared" si="13"/>
        <v>1365.4930334775916</v>
      </c>
      <c r="AW75" s="24">
        <f t="shared" si="13"/>
        <v>128.62222930512155</v>
      </c>
      <c r="AX75" s="24">
        <f t="shared" si="13"/>
        <v>12.999167102238914</v>
      </c>
      <c r="AY75" s="24">
        <f t="shared" si="13"/>
        <v>644.45632368050087</v>
      </c>
      <c r="AZ75" s="24">
        <f t="shared" si="13"/>
        <v>13.185556728021584</v>
      </c>
      <c r="BA75" s="24">
        <f t="shared" si="13"/>
        <v>646.7015371449753</v>
      </c>
      <c r="BB75" s="24">
        <f t="shared" si="13"/>
        <v>6.5353846791878833</v>
      </c>
      <c r="BC75" s="24">
        <f t="shared" si="13"/>
        <v>32.217180861200326</v>
      </c>
      <c r="BD75" s="24">
        <f t="shared" si="13"/>
        <v>6.6452358856594334</v>
      </c>
      <c r="BE75" s="24">
        <f t="shared" si="13"/>
        <v>6.4322053082272559</v>
      </c>
      <c r="BF75" s="24">
        <f t="shared" si="13"/>
        <v>12.942522477088641</v>
      </c>
      <c r="BG75" s="24">
        <f t="shared" si="13"/>
        <v>648.66020857870217</v>
      </c>
      <c r="BH75" s="24">
        <f t="shared" si="13"/>
        <v>6.5865533888265233</v>
      </c>
      <c r="BI75" s="24">
        <f t="shared" si="13"/>
        <v>32.651490029493331</v>
      </c>
      <c r="BJ75" s="24">
        <f t="shared" si="13"/>
        <v>6.4998961713760552</v>
      </c>
      <c r="BK75" s="24">
        <f t="shared" si="13"/>
        <v>13.268369501235878</v>
      </c>
    </row>
    <row r="76" spans="1:63" ht="20.100000000000001" customHeight="1" x14ac:dyDescent="0.3">
      <c r="A76" s="44" t="s">
        <v>164</v>
      </c>
      <c r="B76" s="47" t="s">
        <v>153</v>
      </c>
      <c r="C76" s="44" t="s">
        <v>111</v>
      </c>
      <c r="D76" s="48">
        <v>42.68607740922679</v>
      </c>
      <c r="E76" s="48">
        <v>41.708407158006068</v>
      </c>
      <c r="F76" s="49">
        <v>408.26487481245175</v>
      </c>
      <c r="G76" s="49">
        <v>421.56823787286658</v>
      </c>
      <c r="H76" s="49">
        <v>9.9107531181168493</v>
      </c>
      <c r="I76" s="49">
        <v>9.9107531181168493</v>
      </c>
      <c r="J76" s="49">
        <v>9.9107531181168493</v>
      </c>
      <c r="K76" s="49">
        <v>9.9107531181168493</v>
      </c>
      <c r="L76" s="49">
        <v>9.9107531181168493</v>
      </c>
      <c r="M76" s="49">
        <v>9.9107531181168493</v>
      </c>
      <c r="N76" s="49">
        <v>9.9107531181168493</v>
      </c>
      <c r="O76" s="49">
        <v>9.9107531181168493</v>
      </c>
      <c r="P76" s="49">
        <v>9.9107531181168493</v>
      </c>
      <c r="Q76" s="49">
        <v>9.9107531181168493</v>
      </c>
      <c r="R76" s="49">
        <v>17.684803849597795</v>
      </c>
      <c r="S76" s="49">
        <v>17.684803849597795</v>
      </c>
      <c r="T76" s="49">
        <v>17.684803849597795</v>
      </c>
      <c r="U76" s="49">
        <v>17.684803849597795</v>
      </c>
      <c r="V76" s="49">
        <v>17.684803849597795</v>
      </c>
      <c r="W76" s="49">
        <v>17.684803849597795</v>
      </c>
      <c r="X76" s="49">
        <v>17.684803849597795</v>
      </c>
      <c r="Y76" s="49">
        <v>17.684803849597795</v>
      </c>
      <c r="Z76" s="49">
        <v>17.684803849597795</v>
      </c>
      <c r="AA76" s="49">
        <v>17.684803849597795</v>
      </c>
      <c r="AB76" s="49">
        <v>17.684803849597795</v>
      </c>
      <c r="AC76" s="49">
        <v>17.684803849597795</v>
      </c>
      <c r="AD76" s="49">
        <v>17.684803849597795</v>
      </c>
      <c r="AE76" s="49">
        <v>17.684803849597795</v>
      </c>
      <c r="AF76" s="49">
        <v>17.684803849597795</v>
      </c>
      <c r="AG76" s="49">
        <v>17.684803849597795</v>
      </c>
      <c r="AH76" s="49">
        <v>17.684803849597795</v>
      </c>
      <c r="AI76" s="49">
        <v>17.684803849597795</v>
      </c>
      <c r="AJ76" s="49">
        <v>13195.424731193481</v>
      </c>
      <c r="AK76" s="49">
        <v>63.110857397301572</v>
      </c>
      <c r="AL76" s="49">
        <v>648.63691260757867</v>
      </c>
      <c r="AM76" s="49">
        <v>8164.2983289230551</v>
      </c>
      <c r="AN76" s="49">
        <v>131.70265283647194</v>
      </c>
      <c r="AO76" s="49">
        <v>131.23880891178175</v>
      </c>
      <c r="AP76" s="49">
        <v>132.20597451553786</v>
      </c>
      <c r="AQ76" s="49">
        <v>63.392820890476166</v>
      </c>
      <c r="AR76" s="49">
        <v>132.03250340027472</v>
      </c>
      <c r="AS76" s="49">
        <v>14298.687590204636</v>
      </c>
      <c r="AT76" s="49">
        <v>132.19781497905038</v>
      </c>
      <c r="AU76" s="49">
        <v>13271.893199689268</v>
      </c>
      <c r="AV76" s="49">
        <v>13654.930334775916</v>
      </c>
      <c r="AW76" s="49">
        <v>1286.2222930512155</v>
      </c>
      <c r="AX76" s="49">
        <v>129.99167102238914</v>
      </c>
      <c r="AY76" s="49">
        <v>6444.5632368050083</v>
      </c>
      <c r="AZ76" s="49">
        <v>131.85556728021584</v>
      </c>
      <c r="BA76" s="49">
        <v>6467.0153714497528</v>
      </c>
      <c r="BB76" s="49">
        <v>65.353846791878837</v>
      </c>
      <c r="BC76" s="49">
        <v>322.17180861200325</v>
      </c>
      <c r="BD76" s="49">
        <v>66.45235885659433</v>
      </c>
      <c r="BE76" s="49">
        <v>64.322053082272561</v>
      </c>
      <c r="BF76" s="49">
        <v>129.42522477088642</v>
      </c>
      <c r="BG76" s="49">
        <v>6486.6020857870217</v>
      </c>
      <c r="BH76" s="49">
        <v>65.865533888265233</v>
      </c>
      <c r="BI76" s="49">
        <v>326.51490029493334</v>
      </c>
      <c r="BJ76" s="49">
        <v>64.998961713760551</v>
      </c>
      <c r="BK76" s="49">
        <v>132.68369501235878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Conc. View</vt:lpstr>
      <vt:lpstr>Input</vt:lpstr>
      <vt:lpstr>Std Concentrations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ThermoFisher</dc:creator>
  <cp:lastModifiedBy>Marisa Masles</cp:lastModifiedBy>
  <dcterms:created xsi:type="dcterms:W3CDTF">2014-02-26T15:42:48Z</dcterms:created>
  <dcterms:modified xsi:type="dcterms:W3CDTF">2014-03-05T15:39:04Z</dcterms:modified>
</cp:coreProperties>
</file>