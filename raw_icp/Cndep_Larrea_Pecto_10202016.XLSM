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240" yWindow="120" windowWidth="24240" windowHeight="12210"/>
  </bookViews>
  <sheets>
    <sheet name="Concentration" sheetId="6" r:id="rId1"/>
    <sheet name="Input" sheetId="3" r:id="rId2"/>
    <sheet name="Standards" sheetId="7" r:id="rId3"/>
  </sheets>
  <calcPr calcId="145621"/>
</workbook>
</file>

<file path=xl/calcChain.xml><?xml version="1.0" encoding="utf-8"?>
<calcChain xmlns="http://schemas.openxmlformats.org/spreadsheetml/2006/main">
  <c r="AX71" i="6" l="1"/>
  <c r="AX69" i="6"/>
  <c r="AX68" i="6"/>
  <c r="AX67" i="6"/>
  <c r="AX66" i="6"/>
  <c r="AX65" i="6"/>
  <c r="AX64" i="6"/>
  <c r="AX63" i="6"/>
  <c r="AX62" i="6"/>
  <c r="AX61" i="6"/>
  <c r="AX60" i="6"/>
  <c r="AX59" i="6"/>
  <c r="AX58" i="6"/>
  <c r="AX57" i="6"/>
  <c r="AX56" i="6"/>
  <c r="AX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H71" i="6"/>
  <c r="AH69" i="6"/>
  <c r="AH68" i="6"/>
  <c r="AH67" i="6"/>
  <c r="AH66" i="6"/>
  <c r="AH65" i="6"/>
  <c r="AH64" i="6"/>
  <c r="AH63" i="6"/>
  <c r="AH62" i="6"/>
  <c r="AH61" i="6"/>
  <c r="AH60" i="6"/>
  <c r="AH59" i="6"/>
  <c r="AH58" i="6"/>
  <c r="AH57" i="6"/>
  <c r="AH56" i="6"/>
  <c r="AH55" i="6"/>
  <c r="V55" i="6"/>
  <c r="W55" i="6"/>
  <c r="X55" i="6"/>
  <c r="Y55" i="6"/>
  <c r="Z55" i="6"/>
  <c r="AA55" i="6"/>
  <c r="AB55" i="6"/>
  <c r="AC55" i="6"/>
  <c r="AD55" i="6"/>
  <c r="AE55" i="6"/>
  <c r="V56" i="6"/>
  <c r="W56" i="6"/>
  <c r="X56" i="6"/>
  <c r="Y56" i="6"/>
  <c r="Z56" i="6"/>
  <c r="AA56" i="6"/>
  <c r="AB56" i="6"/>
  <c r="AC56" i="6"/>
  <c r="AD56" i="6"/>
  <c r="AE56" i="6"/>
  <c r="V57" i="6"/>
  <c r="W57" i="6"/>
  <c r="X57" i="6"/>
  <c r="Y57" i="6"/>
  <c r="Z57" i="6"/>
  <c r="AA57" i="6"/>
  <c r="AB57" i="6"/>
  <c r="AC57" i="6"/>
  <c r="AD57" i="6"/>
  <c r="AE57" i="6"/>
  <c r="V58" i="6"/>
  <c r="W58" i="6"/>
  <c r="X58" i="6"/>
  <c r="Y58" i="6"/>
  <c r="Z58" i="6"/>
  <c r="AA58" i="6"/>
  <c r="AB58" i="6"/>
  <c r="AC58" i="6"/>
  <c r="AD58" i="6"/>
  <c r="AE58" i="6"/>
  <c r="V59" i="6"/>
  <c r="W59" i="6"/>
  <c r="X59" i="6"/>
  <c r="Y59" i="6"/>
  <c r="Z59" i="6"/>
  <c r="AA59" i="6"/>
  <c r="AB59" i="6"/>
  <c r="AC59" i="6"/>
  <c r="AD59" i="6"/>
  <c r="AE59" i="6"/>
  <c r="V60" i="6"/>
  <c r="W60" i="6"/>
  <c r="X60" i="6"/>
  <c r="Y60" i="6"/>
  <c r="Z60" i="6"/>
  <c r="AA60" i="6"/>
  <c r="AB60" i="6"/>
  <c r="AC60" i="6"/>
  <c r="AD60" i="6"/>
  <c r="AE60" i="6"/>
  <c r="V61" i="6"/>
  <c r="W61" i="6"/>
  <c r="X61" i="6"/>
  <c r="Y61" i="6"/>
  <c r="Z61" i="6"/>
  <c r="AA61" i="6"/>
  <c r="AB61" i="6"/>
  <c r="AC61" i="6"/>
  <c r="AD61" i="6"/>
  <c r="AE61" i="6"/>
  <c r="V62" i="6"/>
  <c r="W62" i="6"/>
  <c r="X62" i="6"/>
  <c r="Y62" i="6"/>
  <c r="Z62" i="6"/>
  <c r="AA62" i="6"/>
  <c r="AB62" i="6"/>
  <c r="AC62" i="6"/>
  <c r="AD62" i="6"/>
  <c r="AE62" i="6"/>
  <c r="V63" i="6"/>
  <c r="W63" i="6"/>
  <c r="X63" i="6"/>
  <c r="Y63" i="6"/>
  <c r="Z63" i="6"/>
  <c r="AA63" i="6"/>
  <c r="AB63" i="6"/>
  <c r="AC63" i="6"/>
  <c r="AD63" i="6"/>
  <c r="AE63" i="6"/>
  <c r="V64" i="6"/>
  <c r="W64" i="6"/>
  <c r="X64" i="6"/>
  <c r="Y64" i="6"/>
  <c r="Z64" i="6"/>
  <c r="AA64" i="6"/>
  <c r="AB64" i="6"/>
  <c r="AC64" i="6"/>
  <c r="AD64" i="6"/>
  <c r="AE64" i="6"/>
  <c r="V65" i="6"/>
  <c r="W65" i="6"/>
  <c r="X65" i="6"/>
  <c r="Y65" i="6"/>
  <c r="Z65" i="6"/>
  <c r="AA65" i="6"/>
  <c r="AB65" i="6"/>
  <c r="AC65" i="6"/>
  <c r="AD65" i="6"/>
  <c r="AE65" i="6"/>
  <c r="V66" i="6"/>
  <c r="W66" i="6"/>
  <c r="X66" i="6"/>
  <c r="Y66" i="6"/>
  <c r="Z66" i="6"/>
  <c r="AA66" i="6"/>
  <c r="AB66" i="6"/>
  <c r="AC66" i="6"/>
  <c r="AD66" i="6"/>
  <c r="AE66" i="6"/>
  <c r="V67" i="6"/>
  <c r="W67" i="6"/>
  <c r="X67" i="6"/>
  <c r="Y67" i="6"/>
  <c r="Z67" i="6"/>
  <c r="AA67" i="6"/>
  <c r="AB67" i="6"/>
  <c r="AC67" i="6"/>
  <c r="AD67" i="6"/>
  <c r="AE67" i="6"/>
  <c r="V68" i="6"/>
  <c r="W68" i="6"/>
  <c r="X68" i="6"/>
  <c r="Y68" i="6"/>
  <c r="Z68" i="6"/>
  <c r="AA68" i="6"/>
  <c r="AB68" i="6"/>
  <c r="AC68" i="6"/>
  <c r="AD68" i="6"/>
  <c r="AE68" i="6"/>
  <c r="V69" i="6"/>
  <c r="W69" i="6"/>
  <c r="X69" i="6"/>
  <c r="Y69" i="6"/>
  <c r="Z69" i="6"/>
  <c r="AA69" i="6"/>
  <c r="AB69" i="6"/>
  <c r="AC69" i="6"/>
  <c r="AD69" i="6"/>
  <c r="AE69" i="6"/>
  <c r="V71" i="6"/>
  <c r="W71" i="6"/>
  <c r="X71" i="6"/>
  <c r="Y71" i="6"/>
  <c r="Z71" i="6"/>
  <c r="AA71" i="6"/>
  <c r="AB71" i="6"/>
  <c r="AC71" i="6"/>
  <c r="AD71" i="6"/>
  <c r="AE71" i="6"/>
  <c r="U71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X52" i="6"/>
  <c r="AX51" i="6"/>
  <c r="AX50" i="6"/>
  <c r="AX49" i="6"/>
  <c r="AX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H52" i="6"/>
  <c r="AH51" i="6"/>
  <c r="AH50" i="6"/>
  <c r="AH49" i="6"/>
  <c r="AH48" i="6"/>
  <c r="V48" i="6"/>
  <c r="W48" i="6"/>
  <c r="X48" i="6"/>
  <c r="Y48" i="6"/>
  <c r="Z48" i="6"/>
  <c r="AA48" i="6"/>
  <c r="AB48" i="6"/>
  <c r="AC48" i="6"/>
  <c r="AD48" i="6"/>
  <c r="AE48" i="6"/>
  <c r="V49" i="6"/>
  <c r="W49" i="6"/>
  <c r="X49" i="6"/>
  <c r="Y49" i="6"/>
  <c r="Z49" i="6"/>
  <c r="AA49" i="6"/>
  <c r="AB49" i="6"/>
  <c r="AC49" i="6"/>
  <c r="AD49" i="6"/>
  <c r="AE49" i="6"/>
  <c r="V50" i="6"/>
  <c r="W50" i="6"/>
  <c r="X50" i="6"/>
  <c r="Y50" i="6"/>
  <c r="Z50" i="6"/>
  <c r="AA50" i="6"/>
  <c r="AB50" i="6"/>
  <c r="AC50" i="6"/>
  <c r="AD50" i="6"/>
  <c r="AE50" i="6"/>
  <c r="V51" i="6"/>
  <c r="W51" i="6"/>
  <c r="X51" i="6"/>
  <c r="Y51" i="6"/>
  <c r="Z51" i="6"/>
  <c r="AA51" i="6"/>
  <c r="AB51" i="6"/>
  <c r="AC51" i="6"/>
  <c r="AD51" i="6"/>
  <c r="AE51" i="6"/>
  <c r="V52" i="6"/>
  <c r="W52" i="6"/>
  <c r="X52" i="6"/>
  <c r="Y52" i="6"/>
  <c r="Z52" i="6"/>
  <c r="AA52" i="6"/>
  <c r="AB52" i="6"/>
  <c r="AC52" i="6"/>
  <c r="AD52" i="6"/>
  <c r="AE52" i="6"/>
  <c r="U52" i="6"/>
  <c r="U51" i="6"/>
  <c r="U50" i="6"/>
  <c r="U49" i="6"/>
  <c r="U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X45" i="6"/>
  <c r="AX44" i="6"/>
  <c r="AX43" i="6"/>
  <c r="AX42" i="6"/>
  <c r="AX41" i="6"/>
  <c r="AX40" i="6"/>
  <c r="AX39" i="6"/>
  <c r="AX38" i="6"/>
  <c r="AX37" i="6"/>
  <c r="AX36" i="6"/>
  <c r="AX35" i="6"/>
  <c r="AX34" i="6"/>
  <c r="AX33" i="6"/>
  <c r="AX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H45" i="6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V32" i="6"/>
  <c r="W32" i="6"/>
  <c r="X32" i="6"/>
  <c r="Y32" i="6"/>
  <c r="Z32" i="6"/>
  <c r="AA32" i="6"/>
  <c r="AB32" i="6"/>
  <c r="AC32" i="6"/>
  <c r="AD32" i="6"/>
  <c r="AE32" i="6"/>
  <c r="V33" i="6"/>
  <c r="W33" i="6"/>
  <c r="X33" i="6"/>
  <c r="Y33" i="6"/>
  <c r="Z33" i="6"/>
  <c r="AA33" i="6"/>
  <c r="AB33" i="6"/>
  <c r="AC33" i="6"/>
  <c r="AD33" i="6"/>
  <c r="AE33" i="6"/>
  <c r="V34" i="6"/>
  <c r="W34" i="6"/>
  <c r="X34" i="6"/>
  <c r="Y34" i="6"/>
  <c r="Z34" i="6"/>
  <c r="AA34" i="6"/>
  <c r="AB34" i="6"/>
  <c r="AC34" i="6"/>
  <c r="AD34" i="6"/>
  <c r="AE34" i="6"/>
  <c r="V35" i="6"/>
  <c r="W35" i="6"/>
  <c r="X35" i="6"/>
  <c r="Y35" i="6"/>
  <c r="Z35" i="6"/>
  <c r="AA35" i="6"/>
  <c r="AB35" i="6"/>
  <c r="AC35" i="6"/>
  <c r="AD35" i="6"/>
  <c r="AE35" i="6"/>
  <c r="V36" i="6"/>
  <c r="W36" i="6"/>
  <c r="X36" i="6"/>
  <c r="Y36" i="6"/>
  <c r="Z36" i="6"/>
  <c r="AA36" i="6"/>
  <c r="AB36" i="6"/>
  <c r="AC36" i="6"/>
  <c r="AD36" i="6"/>
  <c r="AE36" i="6"/>
  <c r="V37" i="6"/>
  <c r="W37" i="6"/>
  <c r="X37" i="6"/>
  <c r="Y37" i="6"/>
  <c r="Z37" i="6"/>
  <c r="AA37" i="6"/>
  <c r="AB37" i="6"/>
  <c r="AC37" i="6"/>
  <c r="AD37" i="6"/>
  <c r="AE37" i="6"/>
  <c r="V38" i="6"/>
  <c r="W38" i="6"/>
  <c r="X38" i="6"/>
  <c r="Y38" i="6"/>
  <c r="Z38" i="6"/>
  <c r="AA38" i="6"/>
  <c r="AB38" i="6"/>
  <c r="AC38" i="6"/>
  <c r="AD38" i="6"/>
  <c r="AE38" i="6"/>
  <c r="V39" i="6"/>
  <c r="W39" i="6"/>
  <c r="X39" i="6"/>
  <c r="Y39" i="6"/>
  <c r="Z39" i="6"/>
  <c r="AA39" i="6"/>
  <c r="AB39" i="6"/>
  <c r="AC39" i="6"/>
  <c r="AD39" i="6"/>
  <c r="AE39" i="6"/>
  <c r="V40" i="6"/>
  <c r="W40" i="6"/>
  <c r="X40" i="6"/>
  <c r="Y40" i="6"/>
  <c r="Z40" i="6"/>
  <c r="AA40" i="6"/>
  <c r="AB40" i="6"/>
  <c r="AC40" i="6"/>
  <c r="AD40" i="6"/>
  <c r="AE40" i="6"/>
  <c r="V41" i="6"/>
  <c r="W41" i="6"/>
  <c r="X41" i="6"/>
  <c r="Y41" i="6"/>
  <c r="Z41" i="6"/>
  <c r="AA41" i="6"/>
  <c r="AB41" i="6"/>
  <c r="AC41" i="6"/>
  <c r="AD41" i="6"/>
  <c r="AE41" i="6"/>
  <c r="V42" i="6"/>
  <c r="W42" i="6"/>
  <c r="X42" i="6"/>
  <c r="Y42" i="6"/>
  <c r="Z42" i="6"/>
  <c r="AA42" i="6"/>
  <c r="AB42" i="6"/>
  <c r="AC42" i="6"/>
  <c r="AD42" i="6"/>
  <c r="AE42" i="6"/>
  <c r="V43" i="6"/>
  <c r="W43" i="6"/>
  <c r="X43" i="6"/>
  <c r="Y43" i="6"/>
  <c r="Z43" i="6"/>
  <c r="AA43" i="6"/>
  <c r="AB43" i="6"/>
  <c r="AC43" i="6"/>
  <c r="AD43" i="6"/>
  <c r="AE43" i="6"/>
  <c r="V44" i="6"/>
  <c r="W44" i="6"/>
  <c r="X44" i="6"/>
  <c r="Y44" i="6"/>
  <c r="Z44" i="6"/>
  <c r="AA44" i="6"/>
  <c r="AB44" i="6"/>
  <c r="AC44" i="6"/>
  <c r="AD44" i="6"/>
  <c r="AE44" i="6"/>
  <c r="V45" i="6"/>
  <c r="W45" i="6"/>
  <c r="X45" i="6"/>
  <c r="Y45" i="6"/>
  <c r="Z45" i="6"/>
  <c r="AA45" i="6"/>
  <c r="AB45" i="6"/>
  <c r="AC45" i="6"/>
  <c r="AD45" i="6"/>
  <c r="AE45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AX16" i="6"/>
  <c r="AX17" i="6"/>
  <c r="AX18" i="6"/>
  <c r="AX19" i="6"/>
  <c r="AX20" i="6"/>
  <c r="AX21" i="6"/>
  <c r="AX22" i="6"/>
  <c r="AX23" i="6"/>
  <c r="AX24" i="6"/>
  <c r="AX25" i="6"/>
  <c r="AX26" i="6"/>
  <c r="AX27" i="6"/>
  <c r="AX28" i="6"/>
  <c r="AX29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15" i="6"/>
  <c r="V15" i="6"/>
  <c r="W15" i="6"/>
  <c r="X15" i="6"/>
  <c r="Y15" i="6"/>
  <c r="Z15" i="6"/>
  <c r="AA15" i="6"/>
  <c r="AB15" i="6"/>
  <c r="AC15" i="6"/>
  <c r="AD15" i="6"/>
  <c r="AE15" i="6"/>
  <c r="V16" i="6"/>
  <c r="W16" i="6"/>
  <c r="X16" i="6"/>
  <c r="Y16" i="6"/>
  <c r="Z16" i="6"/>
  <c r="AA16" i="6"/>
  <c r="AB16" i="6"/>
  <c r="AC16" i="6"/>
  <c r="AD16" i="6"/>
  <c r="AE16" i="6"/>
  <c r="V17" i="6"/>
  <c r="W17" i="6"/>
  <c r="X17" i="6"/>
  <c r="Y17" i="6"/>
  <c r="Z17" i="6"/>
  <c r="AA17" i="6"/>
  <c r="AB17" i="6"/>
  <c r="AC17" i="6"/>
  <c r="AD17" i="6"/>
  <c r="AE17" i="6"/>
  <c r="V18" i="6"/>
  <c r="W18" i="6"/>
  <c r="X18" i="6"/>
  <c r="Y18" i="6"/>
  <c r="Z18" i="6"/>
  <c r="AA18" i="6"/>
  <c r="AB18" i="6"/>
  <c r="AC18" i="6"/>
  <c r="AD18" i="6"/>
  <c r="AE18" i="6"/>
  <c r="V19" i="6"/>
  <c r="W19" i="6"/>
  <c r="X19" i="6"/>
  <c r="Y19" i="6"/>
  <c r="Z19" i="6"/>
  <c r="AA19" i="6"/>
  <c r="AB19" i="6"/>
  <c r="AC19" i="6"/>
  <c r="AD19" i="6"/>
  <c r="AE19" i="6"/>
  <c r="V20" i="6"/>
  <c r="W20" i="6"/>
  <c r="X20" i="6"/>
  <c r="Y20" i="6"/>
  <c r="Z20" i="6"/>
  <c r="AA20" i="6"/>
  <c r="AB20" i="6"/>
  <c r="AC20" i="6"/>
  <c r="AD20" i="6"/>
  <c r="AE20" i="6"/>
  <c r="V21" i="6"/>
  <c r="W21" i="6"/>
  <c r="X21" i="6"/>
  <c r="Y21" i="6"/>
  <c r="Z21" i="6"/>
  <c r="AA21" i="6"/>
  <c r="AB21" i="6"/>
  <c r="AC21" i="6"/>
  <c r="AD21" i="6"/>
  <c r="AE21" i="6"/>
  <c r="V22" i="6"/>
  <c r="W22" i="6"/>
  <c r="X22" i="6"/>
  <c r="Y22" i="6"/>
  <c r="Z22" i="6"/>
  <c r="AA22" i="6"/>
  <c r="AB22" i="6"/>
  <c r="AC22" i="6"/>
  <c r="AD22" i="6"/>
  <c r="AE22" i="6"/>
  <c r="V23" i="6"/>
  <c r="W23" i="6"/>
  <c r="X23" i="6"/>
  <c r="Y23" i="6"/>
  <c r="Z23" i="6"/>
  <c r="AA23" i="6"/>
  <c r="AB23" i="6"/>
  <c r="AC23" i="6"/>
  <c r="AD23" i="6"/>
  <c r="AE23" i="6"/>
  <c r="V24" i="6"/>
  <c r="W24" i="6"/>
  <c r="X24" i="6"/>
  <c r="Y24" i="6"/>
  <c r="Z24" i="6"/>
  <c r="AA24" i="6"/>
  <c r="AB24" i="6"/>
  <c r="AC24" i="6"/>
  <c r="AD24" i="6"/>
  <c r="AE24" i="6"/>
  <c r="V25" i="6"/>
  <c r="W25" i="6"/>
  <c r="X25" i="6"/>
  <c r="Y25" i="6"/>
  <c r="Z25" i="6"/>
  <c r="AA25" i="6"/>
  <c r="AB25" i="6"/>
  <c r="AC25" i="6"/>
  <c r="AD25" i="6"/>
  <c r="AE25" i="6"/>
  <c r="V26" i="6"/>
  <c r="W26" i="6"/>
  <c r="X26" i="6"/>
  <c r="Y26" i="6"/>
  <c r="Z26" i="6"/>
  <c r="AA26" i="6"/>
  <c r="AB26" i="6"/>
  <c r="AC26" i="6"/>
  <c r="AD26" i="6"/>
  <c r="AE26" i="6"/>
  <c r="V27" i="6"/>
  <c r="W27" i="6"/>
  <c r="X27" i="6"/>
  <c r="Y27" i="6"/>
  <c r="Z27" i="6"/>
  <c r="AA27" i="6"/>
  <c r="AB27" i="6"/>
  <c r="AC27" i="6"/>
  <c r="AD27" i="6"/>
  <c r="AE27" i="6"/>
  <c r="V28" i="6"/>
  <c r="W28" i="6"/>
  <c r="X28" i="6"/>
  <c r="Y28" i="6"/>
  <c r="Z28" i="6"/>
  <c r="AA28" i="6"/>
  <c r="AB28" i="6"/>
  <c r="AC28" i="6"/>
  <c r="AD28" i="6"/>
  <c r="AE28" i="6"/>
  <c r="V29" i="6"/>
  <c r="W29" i="6"/>
  <c r="X29" i="6"/>
  <c r="Y29" i="6"/>
  <c r="Z29" i="6"/>
  <c r="AA29" i="6"/>
  <c r="AB29" i="6"/>
  <c r="AC29" i="6"/>
  <c r="AD29" i="6"/>
  <c r="AE29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B71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AX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2" i="6"/>
  <c r="B51" i="6"/>
  <c r="B50" i="6"/>
  <c r="B49" i="6"/>
  <c r="B48" i="6"/>
  <c r="B43" i="6"/>
  <c r="B44" i="6"/>
  <c r="B45" i="6"/>
  <c r="B42" i="6"/>
  <c r="B40" i="6"/>
  <c r="B41" i="6"/>
  <c r="B39" i="6"/>
  <c r="B38" i="6"/>
  <c r="B37" i="6"/>
  <c r="B36" i="6"/>
  <c r="B35" i="6"/>
  <c r="B34" i="6"/>
  <c r="B33" i="6"/>
  <c r="B32" i="6"/>
  <c r="B15" i="6"/>
</calcChain>
</file>

<file path=xl/sharedStrings.xml><?xml version="1.0" encoding="utf-8"?>
<sst xmlns="http://schemas.openxmlformats.org/spreadsheetml/2006/main" count="761" uniqueCount="164">
  <si>
    <t>11B</t>
  </si>
  <si>
    <t>23Na</t>
  </si>
  <si>
    <t>24Mg</t>
  </si>
  <si>
    <t>27Al</t>
  </si>
  <si>
    <t>31P</t>
  </si>
  <si>
    <t>39K</t>
  </si>
  <si>
    <t>44Ca</t>
  </si>
  <si>
    <t>48Ti</t>
  </si>
  <si>
    <t>51V</t>
  </si>
  <si>
    <t>52Cr</t>
  </si>
  <si>
    <t>55Mn</t>
  </si>
  <si>
    <t>56Fe</t>
  </si>
  <si>
    <t>59Co</t>
  </si>
  <si>
    <t>60Ni</t>
  </si>
  <si>
    <t>65Cu</t>
  </si>
  <si>
    <t>68Zn</t>
  </si>
  <si>
    <t>69Ga</t>
  </si>
  <si>
    <t>72Ge-CCT</t>
  </si>
  <si>
    <t>72Ge</t>
  </si>
  <si>
    <t>75As</t>
  </si>
  <si>
    <t>82Se</t>
  </si>
  <si>
    <t>85Rb</t>
  </si>
  <si>
    <t>88Sr</t>
  </si>
  <si>
    <t>93Nb</t>
  </si>
  <si>
    <t>95Mo</t>
  </si>
  <si>
    <t>101Ru</t>
  </si>
  <si>
    <t>103Rh</t>
  </si>
  <si>
    <t>104Pd</t>
  </si>
  <si>
    <t>107Ag</t>
  </si>
  <si>
    <t>111Cd</t>
  </si>
  <si>
    <t>115In-NH3</t>
  </si>
  <si>
    <t>115In</t>
  </si>
  <si>
    <t>118Sn</t>
  </si>
  <si>
    <t>123Sb</t>
  </si>
  <si>
    <t>125Te</t>
  </si>
  <si>
    <t>133Cs</t>
  </si>
  <si>
    <t>138Ba</t>
  </si>
  <si>
    <t>178Hf</t>
  </si>
  <si>
    <t>182W</t>
  </si>
  <si>
    <t>185Re</t>
  </si>
  <si>
    <t>187Re</t>
  </si>
  <si>
    <t>193Ir</t>
  </si>
  <si>
    <t>195Pt</t>
  </si>
  <si>
    <t>197Au</t>
  </si>
  <si>
    <t>205Tl</t>
  </si>
  <si>
    <t>208Pb</t>
  </si>
  <si>
    <t>209Bi-NH3</t>
  </si>
  <si>
    <t>209Bi</t>
  </si>
  <si>
    <t>238U</t>
  </si>
  <si>
    <t>Blank</t>
  </si>
  <si>
    <t>blank</t>
  </si>
  <si>
    <t>LDP-5-C1 (lARREA SPRING2016)</t>
  </si>
  <si>
    <t>UMP-9-C1</t>
  </si>
  <si>
    <t>SRR-13-C1</t>
  </si>
  <si>
    <t>MCN-18-C1</t>
  </si>
  <si>
    <t>MCS-24-C1</t>
  </si>
  <si>
    <t>SME-29-C1</t>
  </si>
  <si>
    <t>PWP-33-C1</t>
  </si>
  <si>
    <t>MVP-38-C1</t>
  </si>
  <si>
    <t>SMW-44-C1</t>
  </si>
  <si>
    <t>DBG-50-C1</t>
  </si>
  <si>
    <t>SNE-51-C1</t>
  </si>
  <si>
    <t>SNW-60-C1</t>
  </si>
  <si>
    <t>EMW-64-C1</t>
  </si>
  <si>
    <t>EME-66-C1</t>
  </si>
  <si>
    <t>WTM-71-C1</t>
  </si>
  <si>
    <t>LDP-5-C1 (PECTO SPRING 2016)</t>
  </si>
  <si>
    <t>1:40QC</t>
  </si>
  <si>
    <t>LDP-5-C1 (PECTO SPRING 2015)</t>
  </si>
  <si>
    <t>LDP-5-C1 (Larrea Fall 2016)</t>
  </si>
  <si>
    <t>Digested Blank</t>
  </si>
  <si>
    <t>Peach Leaves QC</t>
  </si>
  <si>
    <t>1:40 QC</t>
  </si>
  <si>
    <t>Rinse</t>
  </si>
  <si>
    <t>B</t>
  </si>
  <si>
    <t>Na</t>
  </si>
  <si>
    <t>Mg</t>
  </si>
  <si>
    <t>Al</t>
  </si>
  <si>
    <t>P</t>
  </si>
  <si>
    <t>K</t>
  </si>
  <si>
    <t>Ca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</si>
  <si>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</si>
  <si>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</si>
  <si>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</si>
  <si>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</si>
  <si>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</si>
  <si>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</si>
  <si>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</si>
  <si>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</si>
  <si>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</si>
  <si>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</si>
  <si>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ppb</t>
  </si>
  <si>
    <t>As</t>
  </si>
  <si>
    <t>Se</t>
  </si>
  <si>
    <t>Rb</t>
  </si>
  <si>
    <t>Sr</t>
  </si>
  <si>
    <t>Nb</t>
  </si>
  <si>
    <t>Mo</t>
  </si>
  <si>
    <t>Ru</t>
  </si>
  <si>
    <t>Rh</t>
  </si>
  <si>
    <t>Pd</t>
  </si>
  <si>
    <t>Ag</t>
  </si>
  <si>
    <t>Cd</t>
  </si>
  <si>
    <t>Sn</t>
  </si>
  <si>
    <t>Sb</t>
  </si>
  <si>
    <t>Te</t>
  </si>
  <si>
    <t>Cs</t>
  </si>
  <si>
    <t>Ba</t>
  </si>
  <si>
    <t>Ce</t>
  </si>
  <si>
    <t>Hf</t>
  </si>
  <si>
    <t>W</t>
  </si>
  <si>
    <t>Re</t>
  </si>
  <si>
    <t>Ir</t>
  </si>
  <si>
    <t>Pt</t>
  </si>
  <si>
    <t>Au</t>
  </si>
  <si>
    <t>Tl</t>
  </si>
  <si>
    <t>Pb</t>
  </si>
  <si>
    <t>U</t>
  </si>
  <si>
    <t>1:40</t>
  </si>
  <si>
    <t>1:1</t>
  </si>
  <si>
    <t>Orig Conc.</t>
  </si>
  <si>
    <t>1:1000</t>
  </si>
  <si>
    <t>1:200</t>
  </si>
  <si>
    <t>1:100</t>
  </si>
  <si>
    <t>Std. 1</t>
  </si>
  <si>
    <t>Std. 2</t>
  </si>
  <si>
    <t>Std. 3</t>
  </si>
  <si>
    <t>Std. 4</t>
  </si>
  <si>
    <t>Std. 5</t>
  </si>
  <si>
    <t>Std. 6</t>
  </si>
  <si>
    <t>Std. 7</t>
  </si>
  <si>
    <t>QC</t>
  </si>
  <si>
    <t>Si</t>
  </si>
  <si>
    <t>S</t>
  </si>
  <si>
    <t>Dy</t>
  </si>
  <si>
    <t>Er</t>
  </si>
  <si>
    <t>Eu</t>
  </si>
  <si>
    <t>Gd</t>
  </si>
  <si>
    <t>Ho</t>
  </si>
  <si>
    <t>La</t>
  </si>
  <si>
    <t>Lu</t>
  </si>
  <si>
    <t>Nd</t>
  </si>
  <si>
    <t>Pr</t>
  </si>
  <si>
    <t>Sc</t>
  </si>
  <si>
    <t>Sm</t>
  </si>
  <si>
    <t>Tb</t>
  </si>
  <si>
    <t>Th</t>
  </si>
  <si>
    <t>Tm</t>
  </si>
  <si>
    <t>Y</t>
  </si>
  <si>
    <t>Yb</t>
  </si>
  <si>
    <t>Zr</t>
  </si>
  <si>
    <t>Larrea Spring 2016</t>
  </si>
  <si>
    <t xml:space="preserve">LDP-5-C1 </t>
  </si>
  <si>
    <t>Pectocarya Spring 2016</t>
  </si>
  <si>
    <t>Pectocarya Spring 2015</t>
  </si>
  <si>
    <t>Larrea Fall 2016</t>
  </si>
  <si>
    <t>LDP-5-C1</t>
  </si>
  <si>
    <t>Peach Leaf QC</t>
  </si>
  <si>
    <t>Peach Leaf Certified Value</t>
  </si>
  <si>
    <t>ug/g</t>
  </si>
  <si>
    <t>Wt. Percent</t>
  </si>
  <si>
    <t xml:space="preserve"> </t>
  </si>
  <si>
    <t>mg/kg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</si>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</sst>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color rgb="FF000000"/>
      <name val="Calibri"/>
      <family val="2"/>
    </font>
    <font>
      <sz val="16"/>
      <name val="Calibri"/>
      <family val="2"/>
    </font>
    <font>
      <sz val="16"/>
      <color rgb="FF000000"/>
      <name val="Calibri"/>
      <family val="2"/>
    </font>
    <font>
      <sz val="16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B7DEE8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E26B0A"/>
        <bgColor rgb="FF000000"/>
      </patternFill>
    </fill>
    <fill>
      <patternFill patternType="solid">
        <fgColor rgb="FF948A54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ABF8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20" fontId="2" fillId="0" borderId="0" xfId="0" applyNumberFormat="1" applyFont="1" applyAlignment="1">
      <alignment horizontal="center"/>
    </xf>
    <xf numFmtId="0" fontId="3" fillId="0" borderId="0" xfId="0" applyFont="1" applyFill="1" applyBorder="1"/>
    <xf numFmtId="0" fontId="4" fillId="0" borderId="1" xfId="0" applyFont="1" applyFill="1" applyBorder="1" applyAlignment="1">
      <alignment horizontal="center"/>
    </xf>
    <xf numFmtId="49" fontId="4" fillId="0" borderId="2" xfId="0" applyNumberFormat="1" applyFont="1" applyFill="1" applyBorder="1" applyAlignment="1">
      <alignment horizontal="center"/>
    </xf>
    <xf numFmtId="20" fontId="4" fillId="0" borderId="2" xfId="0" applyNumberFormat="1" applyFont="1" applyFill="1" applyBorder="1" applyAlignment="1">
      <alignment horizontal="center"/>
    </xf>
    <xf numFmtId="49" fontId="4" fillId="0" borderId="2" xfId="0" applyNumberFormat="1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64" fontId="6" fillId="0" borderId="1" xfId="0" applyNumberFormat="1" applyFont="1" applyFill="1" applyBorder="1" applyAlignment="1">
      <alignment horizontal="center"/>
    </xf>
    <xf numFmtId="164" fontId="6" fillId="0" borderId="5" xfId="0" applyNumberFormat="1" applyFont="1" applyFill="1" applyBorder="1" applyAlignment="1">
      <alignment horizontal="center"/>
    </xf>
    <xf numFmtId="164" fontId="6" fillId="0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164" fontId="6" fillId="0" borderId="3" xfId="0" applyNumberFormat="1" applyFont="1" applyFill="1" applyBorder="1" applyAlignment="1">
      <alignment horizontal="center"/>
    </xf>
    <xf numFmtId="164" fontId="6" fillId="0" borderId="9" xfId="0" applyNumberFormat="1" applyFont="1" applyFill="1" applyBorder="1" applyAlignment="1">
      <alignment horizontal="center"/>
    </xf>
    <xf numFmtId="164" fontId="6" fillId="0" borderId="3" xfId="0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 vertical="center"/>
    </xf>
    <xf numFmtId="164" fontId="6" fillId="0" borderId="1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5" fillId="6" borderId="8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164" fontId="6" fillId="0" borderId="7" xfId="0" applyNumberFormat="1" applyFont="1" applyFill="1" applyBorder="1" applyAlignment="1">
      <alignment horizontal="center"/>
    </xf>
    <xf numFmtId="0" fontId="5" fillId="8" borderId="10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/>
    </xf>
    <xf numFmtId="164" fontId="6" fillId="0" borderId="10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5" fillId="7" borderId="10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 wrapText="1"/>
    </xf>
    <xf numFmtId="164" fontId="6" fillId="0" borderId="8" xfId="0" applyNumberFormat="1" applyFont="1" applyFill="1" applyBorder="1" applyAlignment="1">
      <alignment horizontal="center"/>
    </xf>
    <xf numFmtId="164" fontId="6" fillId="0" borderId="3" xfId="0" applyNumberFormat="1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8" xfId="0" applyFont="1" applyFill="1" applyBorder="1" applyAlignment="1">
      <alignment horizontal="center" vertical="center"/>
    </xf>
    <xf numFmtId="164" fontId="3" fillId="8" borderId="0" xfId="0" applyNumberFormat="1" applyFont="1" applyFill="1" applyBorder="1"/>
    <xf numFmtId="0" fontId="5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164" fontId="3" fillId="0" borderId="0" xfId="0" applyNumberFormat="1" applyFont="1" applyFill="1" applyBorder="1"/>
    <xf numFmtId="0" fontId="5" fillId="2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 wrapText="1"/>
    </xf>
    <xf numFmtId="0" fontId="5" fillId="9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49" fontId="4" fillId="0" borderId="0" xfId="0" applyNumberFormat="1" applyFont="1" applyFill="1" applyBorder="1" applyAlignment="1">
      <alignment horizontal="center"/>
    </xf>
    <xf numFmtId="20" fontId="4" fillId="0" borderId="0" xfId="0" applyNumberFormat="1" applyFont="1" applyFill="1" applyBorder="1" applyAlignment="1">
      <alignment horizontal="center"/>
    </xf>
    <xf numFmtId="49" fontId="4" fillId="0" borderId="0" xfId="0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1" fillId="11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78"/>
  <sheetViews>
    <sheetView tabSelected="1" workbookViewId="0">
      <pane ySplit="1" topLeftCell="A2" activePane="bottomLeft" state="frozen"/>
      <selection pane="bottomLeft"/>
    </sheetView>
  </sheetViews>
  <sheetFormatPr defaultRowHeight="18.75" x14ac:dyDescent="0.3"/>
  <cols>
    <col min="1" max="1" width="28.85546875" style="2" bestFit="1" customWidth="1"/>
    <col min="2" max="7" width="9.28515625" style="2" bestFit="1" customWidth="1"/>
    <col min="8" max="8" width="9.85546875" style="2" bestFit="1" customWidth="1"/>
    <col min="9" max="43" width="9.28515625" style="2" bestFit="1" customWidth="1"/>
    <col min="44" max="44" width="9.28515625" style="2" customWidth="1"/>
    <col min="45" max="50" width="9.28515625" style="2" bestFit="1" customWidth="1"/>
    <col min="51" max="16384" width="9.140625" style="2"/>
  </cols>
  <sheetData>
    <row r="1" spans="1:50" s="1" customFormat="1" x14ac:dyDescent="0.3">
      <c r="A1" s="1" t="s">
        <v>120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71" t="s">
        <v>17</v>
      </c>
      <c r="T1" s="7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71" t="s">
        <v>30</v>
      </c>
      <c r="AG1" s="7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71" t="s">
        <v>46</v>
      </c>
      <c r="AW1" s="71" t="s">
        <v>47</v>
      </c>
      <c r="AX1" s="1" t="s">
        <v>48</v>
      </c>
    </row>
    <row r="2" spans="1:50" s="1" customFormat="1" x14ac:dyDescent="0.3">
      <c r="B2" s="1" t="s">
        <v>91</v>
      </c>
      <c r="C2" s="1" t="s">
        <v>91</v>
      </c>
      <c r="D2" s="1" t="s">
        <v>91</v>
      </c>
      <c r="E2" s="1" t="s">
        <v>91</v>
      </c>
      <c r="F2" s="1" t="s">
        <v>91</v>
      </c>
      <c r="G2" s="1" t="s">
        <v>91</v>
      </c>
      <c r="H2" s="1" t="s">
        <v>91</v>
      </c>
      <c r="I2" s="1" t="s">
        <v>91</v>
      </c>
      <c r="J2" s="1" t="s">
        <v>91</v>
      </c>
      <c r="K2" s="1" t="s">
        <v>91</v>
      </c>
      <c r="L2" s="1" t="s">
        <v>91</v>
      </c>
      <c r="M2" s="1" t="s">
        <v>91</v>
      </c>
      <c r="N2" s="1" t="s">
        <v>91</v>
      </c>
      <c r="O2" s="1" t="s">
        <v>91</v>
      </c>
      <c r="P2" s="1" t="s">
        <v>91</v>
      </c>
      <c r="Q2" s="1" t="s">
        <v>91</v>
      </c>
      <c r="R2" s="1" t="s">
        <v>91</v>
      </c>
      <c r="S2" s="71" t="s">
        <v>163</v>
      </c>
      <c r="T2" s="71" t="s">
        <v>163</v>
      </c>
      <c r="U2" s="1" t="s">
        <v>91</v>
      </c>
      <c r="V2" s="1" t="s">
        <v>91</v>
      </c>
      <c r="W2" s="1" t="s">
        <v>91</v>
      </c>
      <c r="X2" s="1" t="s">
        <v>91</v>
      </c>
      <c r="Y2" s="1" t="s">
        <v>91</v>
      </c>
      <c r="Z2" s="1" t="s">
        <v>91</v>
      </c>
      <c r="AA2" s="1" t="s">
        <v>91</v>
      </c>
      <c r="AB2" s="1" t="s">
        <v>91</v>
      </c>
      <c r="AC2" s="1" t="s">
        <v>91</v>
      </c>
      <c r="AD2" s="1" t="s">
        <v>91</v>
      </c>
      <c r="AE2" s="1" t="s">
        <v>91</v>
      </c>
      <c r="AF2" s="71" t="s">
        <v>163</v>
      </c>
      <c r="AG2" s="71" t="s">
        <v>163</v>
      </c>
      <c r="AH2" s="1" t="s">
        <v>91</v>
      </c>
      <c r="AI2" s="1" t="s">
        <v>91</v>
      </c>
      <c r="AJ2" s="1" t="s">
        <v>91</v>
      </c>
      <c r="AK2" s="1" t="s">
        <v>91</v>
      </c>
      <c r="AL2" s="1" t="s">
        <v>91</v>
      </c>
      <c r="AM2" s="1" t="s">
        <v>91</v>
      </c>
      <c r="AN2" s="1" t="s">
        <v>91</v>
      </c>
      <c r="AO2" s="1" t="s">
        <v>91</v>
      </c>
      <c r="AP2" s="1" t="s">
        <v>91</v>
      </c>
      <c r="AQ2" s="1" t="s">
        <v>91</v>
      </c>
      <c r="AR2" s="1" t="s">
        <v>91</v>
      </c>
      <c r="AS2" s="1" t="s">
        <v>91</v>
      </c>
      <c r="AT2" s="1" t="s">
        <v>91</v>
      </c>
      <c r="AU2" s="1" t="s">
        <v>91</v>
      </c>
      <c r="AV2" s="71" t="s">
        <v>163</v>
      </c>
      <c r="AW2" s="71" t="s">
        <v>163</v>
      </c>
      <c r="AX2" s="1" t="s">
        <v>91</v>
      </c>
    </row>
    <row r="3" spans="1:50" x14ac:dyDescent="0.3">
      <c r="A3" s="2" t="s">
        <v>49</v>
      </c>
      <c r="B3" s="2">
        <v>-0.6</v>
      </c>
      <c r="C3" s="2">
        <v>-35.380000000000003</v>
      </c>
      <c r="D3" s="2">
        <v>3.7999999999999999E-2</v>
      </c>
      <c r="E3" s="2">
        <v>5.5E-2</v>
      </c>
      <c r="F3" s="2">
        <v>-12.24</v>
      </c>
      <c r="G3" s="2">
        <v>-8.6120000000000001</v>
      </c>
      <c r="H3" s="2">
        <v>-31.96</v>
      </c>
      <c r="I3" s="2">
        <v>5.0000000000000001E-3</v>
      </c>
      <c r="J3" s="2">
        <v>0</v>
      </c>
      <c r="K3" s="2">
        <v>-0.14499999999999999</v>
      </c>
      <c r="L3" s="2">
        <v>0</v>
      </c>
      <c r="M3" s="2">
        <v>0.105</v>
      </c>
      <c r="N3" s="2">
        <v>0</v>
      </c>
      <c r="O3" s="2">
        <v>-0.85799999999999998</v>
      </c>
      <c r="P3" s="2">
        <v>-7.6999999999999999E-2</v>
      </c>
      <c r="Q3" s="2">
        <v>-0.96399999999999997</v>
      </c>
      <c r="R3" s="2">
        <v>-2.1000000000000001E-2</v>
      </c>
      <c r="S3" s="72">
        <v>1</v>
      </c>
      <c r="T3" s="72">
        <v>1</v>
      </c>
      <c r="U3" s="2">
        <v>0.02</v>
      </c>
      <c r="V3" s="2">
        <v>8.0000000000000002E-3</v>
      </c>
      <c r="W3" s="2">
        <v>0</v>
      </c>
      <c r="X3" s="2">
        <v>-1E-3</v>
      </c>
      <c r="Y3" s="2">
        <v>0</v>
      </c>
      <c r="Z3" s="2">
        <v>-2E-3</v>
      </c>
      <c r="AA3" s="2">
        <v>0</v>
      </c>
      <c r="AB3" s="2">
        <v>0</v>
      </c>
      <c r="AC3" s="2">
        <v>0</v>
      </c>
      <c r="AD3" s="2">
        <v>1.4930000000000001</v>
      </c>
      <c r="AE3" s="2">
        <v>1E-3</v>
      </c>
      <c r="AF3" s="72">
        <v>1</v>
      </c>
      <c r="AG3" s="72">
        <v>1</v>
      </c>
      <c r="AH3" s="2">
        <v>-5.7000000000000002E-2</v>
      </c>
      <c r="AI3" s="2">
        <v>-1E-3</v>
      </c>
      <c r="AJ3" s="2">
        <v>0</v>
      </c>
      <c r="AK3" s="2">
        <v>0</v>
      </c>
      <c r="AL3" s="2">
        <v>-0.97399999999999998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0.26700000000000002</v>
      </c>
      <c r="AT3" s="2">
        <v>1E-3</v>
      </c>
      <c r="AU3" s="2">
        <v>0</v>
      </c>
      <c r="AV3" s="72">
        <v>1</v>
      </c>
      <c r="AW3" s="72">
        <v>1</v>
      </c>
      <c r="AX3" s="2">
        <v>0</v>
      </c>
    </row>
    <row r="4" spans="1:50" x14ac:dyDescent="0.3">
      <c r="A4" s="2" t="s">
        <v>49</v>
      </c>
      <c r="B4" s="2">
        <v>-0.64800000000000002</v>
      </c>
      <c r="C4" s="2">
        <v>-35.9</v>
      </c>
      <c r="D4" s="2">
        <v>0</v>
      </c>
      <c r="E4" s="2">
        <v>0</v>
      </c>
      <c r="F4" s="2">
        <v>-13.77</v>
      </c>
      <c r="G4" s="2">
        <v>-8.6609999999999996</v>
      </c>
      <c r="H4" s="2">
        <v>-31.26</v>
      </c>
      <c r="I4" s="2">
        <v>0</v>
      </c>
      <c r="J4" s="2">
        <v>0</v>
      </c>
      <c r="K4" s="2">
        <v>-0.14000000000000001</v>
      </c>
      <c r="L4" s="2">
        <v>0</v>
      </c>
      <c r="M4" s="2">
        <v>0</v>
      </c>
      <c r="N4" s="2">
        <v>0</v>
      </c>
      <c r="O4" s="2">
        <v>-0.86199999999999999</v>
      </c>
      <c r="P4" s="2">
        <v>-9.8000000000000004E-2</v>
      </c>
      <c r="Q4" s="2">
        <v>-0.94299999999999995</v>
      </c>
      <c r="R4" s="2">
        <v>-2.1000000000000001E-2</v>
      </c>
      <c r="S4" s="72">
        <v>1</v>
      </c>
      <c r="T4" s="72">
        <v>1</v>
      </c>
      <c r="U4" s="2">
        <v>1.2E-2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1.504</v>
      </c>
      <c r="AE4" s="2">
        <v>0</v>
      </c>
      <c r="AF4" s="72">
        <v>1</v>
      </c>
      <c r="AG4" s="72">
        <v>1</v>
      </c>
      <c r="AH4" s="2">
        <v>-5.8000000000000003E-2</v>
      </c>
      <c r="AI4" s="2">
        <v>0</v>
      </c>
      <c r="AJ4" s="2">
        <v>0</v>
      </c>
      <c r="AK4" s="2">
        <v>0</v>
      </c>
      <c r="AL4" s="2">
        <v>-0.96899999999999997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0.26500000000000001</v>
      </c>
      <c r="AT4" s="2">
        <v>0</v>
      </c>
      <c r="AU4" s="2">
        <v>0</v>
      </c>
      <c r="AV4" s="72">
        <v>1</v>
      </c>
      <c r="AW4" s="72">
        <v>1</v>
      </c>
      <c r="AX4" s="2">
        <v>0</v>
      </c>
    </row>
    <row r="5" spans="1:50" x14ac:dyDescent="0.3">
      <c r="A5" s="3" t="s">
        <v>121</v>
      </c>
      <c r="B5" s="2">
        <v>0.17799999999999999</v>
      </c>
      <c r="C5" s="2">
        <v>-3.5539999999999998</v>
      </c>
      <c r="D5" s="2">
        <v>14.9</v>
      </c>
      <c r="E5" s="2">
        <v>126.1</v>
      </c>
      <c r="F5" s="2">
        <v>10.27</v>
      </c>
      <c r="G5" s="2">
        <v>6.7759999999999998</v>
      </c>
      <c r="H5" s="2">
        <v>-8.8000000000000007</v>
      </c>
      <c r="I5" s="2">
        <v>7.8150000000000004</v>
      </c>
      <c r="J5" s="2">
        <v>0.40699999999999997</v>
      </c>
      <c r="K5" s="2">
        <v>0.223</v>
      </c>
      <c r="L5" s="2">
        <v>1.2869999999999999</v>
      </c>
      <c r="M5" s="2">
        <v>18.22</v>
      </c>
      <c r="N5" s="2">
        <v>0.14199999999999999</v>
      </c>
      <c r="O5" s="2">
        <v>-0.30199999999999999</v>
      </c>
      <c r="P5" s="2">
        <v>0.14899999999999999</v>
      </c>
      <c r="Q5" s="2">
        <v>-0.19600000000000001</v>
      </c>
      <c r="R5" s="2">
        <v>8.2000000000000003E-2</v>
      </c>
      <c r="S5" s="72">
        <v>0.97194000000000003</v>
      </c>
      <c r="T5" s="72">
        <v>1.0022800000000001</v>
      </c>
      <c r="U5" s="2">
        <v>6.3E-2</v>
      </c>
      <c r="V5" s="2">
        <v>0.22500000000000001</v>
      </c>
      <c r="W5" s="2">
        <v>0.308</v>
      </c>
      <c r="X5" s="2">
        <v>0.16400000000000001</v>
      </c>
      <c r="Y5" s="2">
        <v>5.0999999999999997E-2</v>
      </c>
      <c r="Z5" s="2">
        <v>0.14399999999999999</v>
      </c>
      <c r="AA5" s="2">
        <v>0.01</v>
      </c>
      <c r="AB5" s="2">
        <v>1.0999999999999999E-2</v>
      </c>
      <c r="AC5" s="2">
        <v>7.0000000000000001E-3</v>
      </c>
      <c r="AD5" s="2">
        <v>1.581</v>
      </c>
      <c r="AE5" s="2">
        <v>0.13200000000000001</v>
      </c>
      <c r="AF5" s="72">
        <v>0.98121999999999998</v>
      </c>
      <c r="AG5" s="72">
        <v>1.02214</v>
      </c>
      <c r="AH5" s="2">
        <v>2.1999999999999999E-2</v>
      </c>
      <c r="AI5" s="2">
        <v>7.3999999999999996E-2</v>
      </c>
      <c r="AJ5" s="2">
        <v>1.2999999999999999E-2</v>
      </c>
      <c r="AK5" s="2">
        <v>6.8000000000000005E-2</v>
      </c>
      <c r="AL5" s="2">
        <v>0.68600000000000005</v>
      </c>
      <c r="AM5" s="2">
        <v>8.8999999999999996E-2</v>
      </c>
      <c r="AN5" s="2">
        <v>6.3E-2</v>
      </c>
      <c r="AO5" s="2">
        <v>6.6000000000000003E-2</v>
      </c>
      <c r="AP5" s="2">
        <v>6.4000000000000001E-2</v>
      </c>
      <c r="AQ5" s="2">
        <v>8.9999999999999993E-3</v>
      </c>
      <c r="AR5" s="2">
        <v>0.01</v>
      </c>
      <c r="AS5" s="2">
        <v>0.26500000000000001</v>
      </c>
      <c r="AT5" s="2">
        <v>0.47399999999999998</v>
      </c>
      <c r="AU5" s="2">
        <v>0.107</v>
      </c>
      <c r="AV5" s="72">
        <v>0.98172999999999999</v>
      </c>
      <c r="AW5" s="72">
        <v>1.0098400000000001</v>
      </c>
      <c r="AX5" s="2">
        <v>7.8E-2</v>
      </c>
    </row>
    <row r="6" spans="1:50" x14ac:dyDescent="0.3">
      <c r="A6" s="3" t="s">
        <v>122</v>
      </c>
      <c r="B6" s="2">
        <v>0.29799999999999999</v>
      </c>
      <c r="C6" s="2">
        <v>29.94</v>
      </c>
      <c r="D6" s="2">
        <v>72.72</v>
      </c>
      <c r="E6" s="2">
        <v>194.8</v>
      </c>
      <c r="F6" s="2">
        <v>37.590000000000003</v>
      </c>
      <c r="G6" s="2">
        <v>49.24</v>
      </c>
      <c r="H6" s="2">
        <v>35.229999999999997</v>
      </c>
      <c r="I6" s="2">
        <v>34.57</v>
      </c>
      <c r="J6" s="2">
        <v>1.7569999999999999</v>
      </c>
      <c r="K6" s="2">
        <v>0.74</v>
      </c>
      <c r="L6" s="2">
        <v>6.62</v>
      </c>
      <c r="M6" s="2">
        <v>85.4</v>
      </c>
      <c r="N6" s="2">
        <v>0.73499999999999999</v>
      </c>
      <c r="O6" s="2">
        <v>0.41099999999999998</v>
      </c>
      <c r="P6" s="2">
        <v>0.76100000000000001</v>
      </c>
      <c r="Q6" s="2">
        <v>0.65200000000000002</v>
      </c>
      <c r="R6" s="2">
        <v>0.31</v>
      </c>
      <c r="S6" s="72">
        <v>0.98665999999999998</v>
      </c>
      <c r="T6" s="72">
        <v>1.0094399999999999</v>
      </c>
      <c r="U6" s="2">
        <v>0.28799999999999998</v>
      </c>
      <c r="V6" s="2">
        <v>0.64200000000000002</v>
      </c>
      <c r="W6" s="2">
        <v>1.611</v>
      </c>
      <c r="X6" s="2">
        <v>0.69799999999999995</v>
      </c>
      <c r="Y6" s="2">
        <v>0.27100000000000002</v>
      </c>
      <c r="Z6" s="2">
        <v>0.71899999999999997</v>
      </c>
      <c r="AA6" s="2">
        <v>5.0999999999999997E-2</v>
      </c>
      <c r="AB6" s="2">
        <v>5.5E-2</v>
      </c>
      <c r="AC6" s="2">
        <v>3.6999999999999998E-2</v>
      </c>
      <c r="AD6" s="2">
        <v>2.3839999999999999</v>
      </c>
      <c r="AE6" s="2">
        <v>0.70199999999999996</v>
      </c>
      <c r="AF6" s="72">
        <v>0.99963000000000002</v>
      </c>
      <c r="AG6" s="72">
        <v>1.02562</v>
      </c>
      <c r="AH6" s="2">
        <v>5.5E-2</v>
      </c>
      <c r="AI6" s="2">
        <v>0.122</v>
      </c>
      <c r="AJ6" s="2">
        <v>5.8999999999999997E-2</v>
      </c>
      <c r="AK6" s="2">
        <v>0.34399999999999997</v>
      </c>
      <c r="AL6" s="2">
        <v>3.4980000000000002</v>
      </c>
      <c r="AM6" s="2">
        <v>0.65</v>
      </c>
      <c r="AN6" s="2">
        <v>0.32100000000000001</v>
      </c>
      <c r="AO6" s="2">
        <v>0.34100000000000003</v>
      </c>
      <c r="AP6" s="2">
        <v>0.34200000000000003</v>
      </c>
      <c r="AQ6" s="2">
        <v>0.05</v>
      </c>
      <c r="AR6" s="2">
        <v>5.0999999999999997E-2</v>
      </c>
      <c r="AS6" s="2">
        <v>0.26600000000000001</v>
      </c>
      <c r="AT6" s="2">
        <v>2.4969999999999999</v>
      </c>
      <c r="AU6" s="2">
        <v>0.39800000000000002</v>
      </c>
      <c r="AV6" s="72">
        <v>0.99346999999999996</v>
      </c>
      <c r="AW6" s="72">
        <v>1.0154799999999999</v>
      </c>
      <c r="AX6" s="2">
        <v>0.40500000000000003</v>
      </c>
    </row>
    <row r="7" spans="1:50" x14ac:dyDescent="0.3">
      <c r="A7" s="3" t="s">
        <v>123</v>
      </c>
      <c r="B7" s="2">
        <v>0.35299999999999998</v>
      </c>
      <c r="C7" s="2">
        <v>63.04</v>
      </c>
      <c r="D7" s="2">
        <v>141.80000000000001</v>
      </c>
      <c r="E7" s="2">
        <v>245.2</v>
      </c>
      <c r="F7" s="2">
        <v>68.87</v>
      </c>
      <c r="G7" s="2">
        <v>137.9</v>
      </c>
      <c r="H7" s="2">
        <v>82.74</v>
      </c>
      <c r="I7" s="2">
        <v>65.95</v>
      </c>
      <c r="J7" s="2">
        <v>3.4060000000000001</v>
      </c>
      <c r="K7" s="2">
        <v>1.472</v>
      </c>
      <c r="L7" s="2">
        <v>12.87</v>
      </c>
      <c r="M7" s="2">
        <v>164.4</v>
      </c>
      <c r="N7" s="2">
        <v>1.4279999999999999</v>
      </c>
      <c r="O7" s="2">
        <v>1.127</v>
      </c>
      <c r="P7" s="2">
        <v>1.4370000000000001</v>
      </c>
      <c r="Q7" s="2">
        <v>1.4279999999999999</v>
      </c>
      <c r="R7" s="2">
        <v>0.57899999999999996</v>
      </c>
      <c r="S7" s="72">
        <v>0.98902999999999996</v>
      </c>
      <c r="T7" s="72">
        <v>1.00254</v>
      </c>
      <c r="U7" s="2">
        <v>0.72199999999999998</v>
      </c>
      <c r="V7" s="2">
        <v>0.83499999999999996</v>
      </c>
      <c r="W7" s="2">
        <v>3.161</v>
      </c>
      <c r="X7" s="2">
        <v>1.3160000000000001</v>
      </c>
      <c r="Y7" s="2">
        <v>0.52600000000000002</v>
      </c>
      <c r="Z7" s="2">
        <v>1.363</v>
      </c>
      <c r="AA7" s="2">
        <v>0.105</v>
      </c>
      <c r="AB7" s="2">
        <v>0.106</v>
      </c>
      <c r="AC7" s="2">
        <v>7.4999999999999997E-2</v>
      </c>
      <c r="AD7" s="2">
        <v>2.0110000000000001</v>
      </c>
      <c r="AE7" s="2">
        <v>1.381</v>
      </c>
      <c r="AF7" s="72">
        <v>0.999</v>
      </c>
      <c r="AG7" s="72">
        <v>1.02427</v>
      </c>
      <c r="AH7" s="2">
        <v>0.109</v>
      </c>
      <c r="AI7" s="2">
        <v>0.17</v>
      </c>
      <c r="AJ7" s="2">
        <v>0.104</v>
      </c>
      <c r="AK7" s="2">
        <v>0.66400000000000003</v>
      </c>
      <c r="AL7" s="2">
        <v>6.4210000000000003</v>
      </c>
      <c r="AM7" s="2">
        <v>1.304</v>
      </c>
      <c r="AN7" s="2">
        <v>0.625</v>
      </c>
      <c r="AO7" s="2">
        <v>0.67300000000000004</v>
      </c>
      <c r="AP7" s="2">
        <v>0.67300000000000004</v>
      </c>
      <c r="AQ7" s="2">
        <v>9.9000000000000005E-2</v>
      </c>
      <c r="AR7" s="2">
        <v>0.10100000000000001</v>
      </c>
      <c r="AS7" s="2">
        <v>0.27</v>
      </c>
      <c r="AT7" s="2">
        <v>4.8520000000000003</v>
      </c>
      <c r="AU7" s="2">
        <v>0.72</v>
      </c>
      <c r="AV7" s="72">
        <v>0.99168999999999996</v>
      </c>
      <c r="AW7" s="72">
        <v>1.0146999999999999</v>
      </c>
      <c r="AX7" s="2">
        <v>0.78700000000000003</v>
      </c>
    </row>
    <row r="8" spans="1:50" x14ac:dyDescent="0.3">
      <c r="A8" s="4">
        <v>6.9444444444444434E-2</v>
      </c>
      <c r="B8" s="2">
        <v>0.63600000000000001</v>
      </c>
      <c r="C8" s="2">
        <v>163.6</v>
      </c>
      <c r="D8" s="2">
        <v>362.7</v>
      </c>
      <c r="E8" s="2">
        <v>321.10000000000002</v>
      </c>
      <c r="F8" s="2">
        <v>164.8</v>
      </c>
      <c r="G8" s="2">
        <v>326.2</v>
      </c>
      <c r="H8" s="2">
        <v>204.4</v>
      </c>
      <c r="I8" s="2">
        <v>161.9</v>
      </c>
      <c r="J8" s="2">
        <v>8.4149999999999991</v>
      </c>
      <c r="K8" s="2">
        <v>3.44</v>
      </c>
      <c r="L8" s="2">
        <v>32.28</v>
      </c>
      <c r="M8" s="2">
        <v>411</v>
      </c>
      <c r="N8" s="2">
        <v>3.577</v>
      </c>
      <c r="O8" s="2">
        <v>3.2320000000000002</v>
      </c>
      <c r="P8" s="2">
        <v>3.5920000000000001</v>
      </c>
      <c r="Q8" s="2">
        <v>3.2090000000000001</v>
      </c>
      <c r="R8" s="2">
        <v>1.391</v>
      </c>
      <c r="S8" s="72">
        <v>0.99138000000000004</v>
      </c>
      <c r="T8" s="72">
        <v>0.99463000000000001</v>
      </c>
      <c r="U8" s="2">
        <v>1.6060000000000001</v>
      </c>
      <c r="V8" s="2">
        <v>2.0169999999999999</v>
      </c>
      <c r="W8" s="2">
        <v>8.0169999999999995</v>
      </c>
      <c r="X8" s="2">
        <v>3.238</v>
      </c>
      <c r="Y8" s="2">
        <v>1.3149999999999999</v>
      </c>
      <c r="Z8" s="2">
        <v>3.4540000000000002</v>
      </c>
      <c r="AA8" s="2">
        <v>0.26</v>
      </c>
      <c r="AB8" s="2">
        <v>0.26600000000000001</v>
      </c>
      <c r="AC8" s="2">
        <v>0.191</v>
      </c>
      <c r="AD8" s="2">
        <v>10.42</v>
      </c>
      <c r="AE8" s="2">
        <v>3.4910000000000001</v>
      </c>
      <c r="AF8" s="72">
        <v>1.00583</v>
      </c>
      <c r="AG8" s="72">
        <v>1.0177700000000001</v>
      </c>
      <c r="AH8" s="2">
        <v>0.26200000000000001</v>
      </c>
      <c r="AI8" s="2">
        <v>0.33700000000000002</v>
      </c>
      <c r="AJ8" s="2">
        <v>0.26500000000000001</v>
      </c>
      <c r="AK8" s="2">
        <v>1.6719999999999999</v>
      </c>
      <c r="AL8" s="2">
        <v>15.44</v>
      </c>
      <c r="AM8" s="2">
        <v>3.3519999999999999</v>
      </c>
      <c r="AN8" s="2">
        <v>1.601</v>
      </c>
      <c r="AO8" s="2">
        <v>1.6950000000000001</v>
      </c>
      <c r="AP8" s="2">
        <v>1.6919999999999999</v>
      </c>
      <c r="AQ8" s="2">
        <v>0.252</v>
      </c>
      <c r="AR8" s="2">
        <v>0.251</v>
      </c>
      <c r="AS8" s="2">
        <v>0.27800000000000002</v>
      </c>
      <c r="AT8" s="2">
        <v>12.26</v>
      </c>
      <c r="AU8" s="2">
        <v>1.7569999999999999</v>
      </c>
      <c r="AV8" s="72">
        <v>0.99861</v>
      </c>
      <c r="AW8" s="72">
        <v>1.01172</v>
      </c>
      <c r="AX8" s="2">
        <v>2.0049999999999999</v>
      </c>
    </row>
    <row r="9" spans="1:50" x14ac:dyDescent="0.3">
      <c r="A9" s="4">
        <v>5.5555555555555552E-2</v>
      </c>
      <c r="B9" s="2">
        <v>1.157</v>
      </c>
      <c r="C9" s="2">
        <v>340</v>
      </c>
      <c r="D9" s="2">
        <v>723.9</v>
      </c>
      <c r="E9" s="2">
        <v>533.29999999999995</v>
      </c>
      <c r="F9" s="2">
        <v>323.60000000000002</v>
      </c>
      <c r="G9" s="2">
        <v>656.9</v>
      </c>
      <c r="H9" s="2">
        <v>428.6</v>
      </c>
      <c r="I9" s="2">
        <v>343.7</v>
      </c>
      <c r="J9" s="2">
        <v>16.73</v>
      </c>
      <c r="K9" s="2">
        <v>6.7519999999999998</v>
      </c>
      <c r="L9" s="2">
        <v>63.99</v>
      </c>
      <c r="M9" s="2">
        <v>820</v>
      </c>
      <c r="N9" s="2">
        <v>7.1109999999999998</v>
      </c>
      <c r="O9" s="2">
        <v>6.8710000000000004</v>
      </c>
      <c r="P9" s="2">
        <v>7.2450000000000001</v>
      </c>
      <c r="Q9" s="2">
        <v>7.202</v>
      </c>
      <c r="R9" s="2">
        <v>2.734</v>
      </c>
      <c r="S9" s="72">
        <v>0.97550999999999999</v>
      </c>
      <c r="T9" s="72">
        <v>0.98068</v>
      </c>
      <c r="U9" s="2">
        <v>3.2410000000000001</v>
      </c>
      <c r="V9" s="2">
        <v>2.8639999999999999</v>
      </c>
      <c r="W9" s="2">
        <v>16.010000000000002</v>
      </c>
      <c r="X9" s="2">
        <v>6.4320000000000004</v>
      </c>
      <c r="Y9" s="2">
        <v>2.645</v>
      </c>
      <c r="Z9" s="2">
        <v>6.806</v>
      </c>
      <c r="AA9" s="2">
        <v>0.52800000000000002</v>
      </c>
      <c r="AB9" s="2">
        <v>0.53400000000000003</v>
      </c>
      <c r="AC9" s="2">
        <v>0.376</v>
      </c>
      <c r="AD9" s="2">
        <v>22.9</v>
      </c>
      <c r="AE9" s="2">
        <v>6.92</v>
      </c>
      <c r="AF9" s="72">
        <v>0.99492999999999998</v>
      </c>
      <c r="AG9" s="72">
        <v>1.0088699999999999</v>
      </c>
      <c r="AH9" s="2">
        <v>0.52300000000000002</v>
      </c>
      <c r="AI9" s="2">
        <v>0.59899999999999998</v>
      </c>
      <c r="AJ9" s="2">
        <v>0.52200000000000002</v>
      </c>
      <c r="AK9" s="2">
        <v>3.3319999999999999</v>
      </c>
      <c r="AL9" s="2">
        <v>30.91</v>
      </c>
      <c r="AM9" s="2">
        <v>6.7229999999999999</v>
      </c>
      <c r="AN9" s="2">
        <v>3.2229999999999999</v>
      </c>
      <c r="AO9" s="2">
        <v>3.3919999999999999</v>
      </c>
      <c r="AP9" s="2">
        <v>3.3889999999999998</v>
      </c>
      <c r="AQ9" s="2">
        <v>0.505</v>
      </c>
      <c r="AR9" s="2">
        <v>0.48199999999999998</v>
      </c>
      <c r="AS9" s="2">
        <v>0.33</v>
      </c>
      <c r="AT9" s="2">
        <v>24.32</v>
      </c>
      <c r="AU9" s="2">
        <v>3.4460000000000002</v>
      </c>
      <c r="AV9" s="72">
        <v>0.98107999999999995</v>
      </c>
      <c r="AW9" s="72">
        <v>1.0066600000000001</v>
      </c>
      <c r="AX9" s="2">
        <v>3.9980000000000002</v>
      </c>
    </row>
    <row r="10" spans="1:50" x14ac:dyDescent="0.3">
      <c r="A10" s="4">
        <v>4.8611111111111112E-2</v>
      </c>
      <c r="B10" s="2">
        <v>2.16</v>
      </c>
      <c r="C10" s="2">
        <v>700.1</v>
      </c>
      <c r="D10" s="2">
        <v>1425</v>
      </c>
      <c r="E10" s="2">
        <v>1396</v>
      </c>
      <c r="F10" s="2">
        <v>646.9</v>
      </c>
      <c r="G10" s="2">
        <v>1407</v>
      </c>
      <c r="H10" s="2">
        <v>852.2</v>
      </c>
      <c r="I10" s="2">
        <v>682.2</v>
      </c>
      <c r="J10" s="2">
        <v>32.94</v>
      </c>
      <c r="K10" s="2">
        <v>13.55</v>
      </c>
      <c r="L10" s="2">
        <v>133.4</v>
      </c>
      <c r="M10" s="2">
        <v>1587</v>
      </c>
      <c r="N10" s="2">
        <v>14.03</v>
      </c>
      <c r="O10" s="2">
        <v>15.34</v>
      </c>
      <c r="P10" s="2">
        <v>14.03</v>
      </c>
      <c r="Q10" s="2">
        <v>14.55</v>
      </c>
      <c r="R10" s="2">
        <v>5.4420000000000002</v>
      </c>
      <c r="S10" s="72">
        <v>0.97826000000000002</v>
      </c>
      <c r="T10" s="72">
        <v>0.96326000000000001</v>
      </c>
      <c r="U10" s="2">
        <v>6.5380000000000003</v>
      </c>
      <c r="V10" s="2">
        <v>6.9450000000000003</v>
      </c>
      <c r="W10" s="2">
        <v>31.35</v>
      </c>
      <c r="X10" s="2">
        <v>12.74</v>
      </c>
      <c r="Y10" s="2">
        <v>5.2359999999999998</v>
      </c>
      <c r="Z10" s="2">
        <v>13.49</v>
      </c>
      <c r="AA10" s="2">
        <v>1.018</v>
      </c>
      <c r="AB10" s="2">
        <v>1.054</v>
      </c>
      <c r="AC10" s="2">
        <v>0.88200000000000001</v>
      </c>
      <c r="AD10" s="2">
        <v>51.18</v>
      </c>
      <c r="AE10" s="2">
        <v>13.68</v>
      </c>
      <c r="AF10" s="72">
        <v>0.98731000000000002</v>
      </c>
      <c r="AG10" s="72">
        <v>0.99680000000000002</v>
      </c>
      <c r="AH10" s="2">
        <v>1.006</v>
      </c>
      <c r="AI10" s="2">
        <v>1.079</v>
      </c>
      <c r="AJ10" s="2">
        <v>1.1080000000000001</v>
      </c>
      <c r="AK10" s="2">
        <v>6.5380000000000003</v>
      </c>
      <c r="AL10" s="2">
        <v>63.28</v>
      </c>
      <c r="AM10" s="2">
        <v>13.28</v>
      </c>
      <c r="AN10" s="2">
        <v>6.3739999999999997</v>
      </c>
      <c r="AO10" s="2">
        <v>6.6779999999999999</v>
      </c>
      <c r="AP10" s="2">
        <v>6.7069999999999999</v>
      </c>
      <c r="AQ10" s="2">
        <v>0.99399999999999999</v>
      </c>
      <c r="AR10" s="2">
        <v>0.94899999999999995</v>
      </c>
      <c r="AS10" s="2">
        <v>0.67500000000000004</v>
      </c>
      <c r="AT10" s="2">
        <v>47.39</v>
      </c>
      <c r="AU10" s="2">
        <v>6.7359999999999998</v>
      </c>
      <c r="AV10" s="72">
        <v>0.98112999999999995</v>
      </c>
      <c r="AW10" s="72">
        <v>0.99860000000000004</v>
      </c>
      <c r="AX10" s="2">
        <v>7.8490000000000002</v>
      </c>
    </row>
    <row r="11" spans="1:50" x14ac:dyDescent="0.3">
      <c r="A11" s="3" t="s">
        <v>119</v>
      </c>
      <c r="B11" s="2">
        <v>19.79</v>
      </c>
      <c r="C11" s="2">
        <v>6551</v>
      </c>
      <c r="D11" s="2">
        <v>13640</v>
      </c>
      <c r="E11" s="2">
        <v>8119</v>
      </c>
      <c r="F11" s="2">
        <v>6434</v>
      </c>
      <c r="G11" s="2">
        <v>12550</v>
      </c>
      <c r="H11" s="2">
        <v>8155</v>
      </c>
      <c r="I11" s="2">
        <v>6595</v>
      </c>
      <c r="J11" s="2">
        <v>326.3</v>
      </c>
      <c r="K11" s="2">
        <v>125.1</v>
      </c>
      <c r="L11" s="2">
        <v>1285</v>
      </c>
      <c r="M11" s="2">
        <v>14530</v>
      </c>
      <c r="N11" s="2">
        <v>131</v>
      </c>
      <c r="O11" s="2">
        <v>133.9</v>
      </c>
      <c r="P11" s="2">
        <v>129.6</v>
      </c>
      <c r="Q11" s="2">
        <v>134.80000000000001</v>
      </c>
      <c r="R11" s="2">
        <v>49.91</v>
      </c>
      <c r="S11" s="72">
        <v>0.93598999999999999</v>
      </c>
      <c r="T11" s="72">
        <v>0.87319999999999998</v>
      </c>
      <c r="U11" s="2">
        <v>62.96</v>
      </c>
      <c r="V11" s="2">
        <v>64.239999999999995</v>
      </c>
      <c r="W11" s="2">
        <v>322.10000000000002</v>
      </c>
      <c r="X11" s="2">
        <v>129.4</v>
      </c>
      <c r="Y11" s="2">
        <v>51.33</v>
      </c>
      <c r="Z11" s="2">
        <v>132.19999999999999</v>
      </c>
      <c r="AA11" s="2">
        <v>10.029999999999999</v>
      </c>
      <c r="AB11" s="2">
        <v>10.029999999999999</v>
      </c>
      <c r="AC11" s="2">
        <v>10.06</v>
      </c>
      <c r="AD11" s="2">
        <v>71.2</v>
      </c>
      <c r="AE11" s="2">
        <v>131.6</v>
      </c>
      <c r="AF11" s="72">
        <v>0.94391000000000003</v>
      </c>
      <c r="AG11" s="72">
        <v>0.90647999999999995</v>
      </c>
      <c r="AH11" s="2">
        <v>10.029999999999999</v>
      </c>
      <c r="AI11" s="2">
        <v>10</v>
      </c>
      <c r="AJ11" s="2">
        <v>10.02</v>
      </c>
      <c r="AK11" s="2">
        <v>63.33</v>
      </c>
      <c r="AL11" s="2">
        <v>627.79999999999995</v>
      </c>
      <c r="AM11" s="2">
        <v>144.69999999999999</v>
      </c>
      <c r="AN11" s="2">
        <v>66.150000000000006</v>
      </c>
      <c r="AO11" s="2">
        <v>67.599999999999994</v>
      </c>
      <c r="AP11" s="2">
        <v>67.599999999999994</v>
      </c>
      <c r="AQ11" s="2">
        <v>10.039999999999999</v>
      </c>
      <c r="AR11" s="2">
        <v>10.039999999999999</v>
      </c>
      <c r="AS11" s="2">
        <v>10.08</v>
      </c>
      <c r="AT11" s="2">
        <v>513.79999999999995</v>
      </c>
      <c r="AU11" s="2">
        <v>66.459999999999994</v>
      </c>
      <c r="AV11" s="72">
        <v>0.91259999999999997</v>
      </c>
      <c r="AW11" s="72">
        <v>0.91913</v>
      </c>
      <c r="AX11" s="2">
        <v>86.6</v>
      </c>
    </row>
    <row r="12" spans="1:50" x14ac:dyDescent="0.3">
      <c r="A12" s="2" t="s">
        <v>50</v>
      </c>
      <c r="B12" s="2">
        <v>-0.70099999999999996</v>
      </c>
      <c r="C12" s="2">
        <v>-35.21</v>
      </c>
      <c r="D12" s="2">
        <v>1.4430000000000001</v>
      </c>
      <c r="E12" s="2">
        <v>0.93200000000000005</v>
      </c>
      <c r="F12" s="2">
        <v>-16.36</v>
      </c>
      <c r="G12" s="2">
        <v>-13.8</v>
      </c>
      <c r="H12" s="2">
        <v>-32.28</v>
      </c>
      <c r="I12" s="2">
        <v>0.67700000000000005</v>
      </c>
      <c r="J12" s="2">
        <v>3.1E-2</v>
      </c>
      <c r="K12" s="2">
        <v>-0.155</v>
      </c>
      <c r="L12" s="2">
        <v>0.13800000000000001</v>
      </c>
      <c r="M12" s="2">
        <v>1.454</v>
      </c>
      <c r="N12" s="2">
        <v>1.4999999999999999E-2</v>
      </c>
      <c r="O12" s="2">
        <v>-0.85099999999999998</v>
      </c>
      <c r="P12" s="2">
        <v>-0.112</v>
      </c>
      <c r="Q12" s="2">
        <v>-0.96699999999999997</v>
      </c>
      <c r="R12" s="2">
        <v>-1.7000000000000001E-2</v>
      </c>
      <c r="S12" s="72">
        <v>0.91071999999999997</v>
      </c>
      <c r="T12" s="72">
        <v>0.89092000000000005</v>
      </c>
      <c r="U12" s="2">
        <v>0.05</v>
      </c>
      <c r="V12" s="2">
        <v>-5.0000000000000001E-3</v>
      </c>
      <c r="W12" s="2">
        <v>3.7999999999999999E-2</v>
      </c>
      <c r="X12" s="2">
        <v>1.6E-2</v>
      </c>
      <c r="Y12" s="2">
        <v>5.0000000000000001E-3</v>
      </c>
      <c r="Z12" s="2">
        <v>0.126</v>
      </c>
      <c r="AA12" s="2">
        <v>1E-3</v>
      </c>
      <c r="AB12" s="2">
        <v>1E-3</v>
      </c>
      <c r="AC12" s="2">
        <v>2E-3</v>
      </c>
      <c r="AD12" s="2">
        <v>1.532</v>
      </c>
      <c r="AE12" s="2">
        <v>1.6E-2</v>
      </c>
      <c r="AF12" s="72">
        <v>0.92240999999999995</v>
      </c>
      <c r="AG12" s="72">
        <v>0.94413000000000002</v>
      </c>
      <c r="AH12" s="2">
        <v>-5.6000000000000001E-2</v>
      </c>
      <c r="AI12" s="2">
        <v>-2E-3</v>
      </c>
      <c r="AJ12" s="2">
        <v>0</v>
      </c>
      <c r="AK12" s="2">
        <v>8.0000000000000002E-3</v>
      </c>
      <c r="AL12" s="2">
        <v>-0.89100000000000001</v>
      </c>
      <c r="AM12" s="2">
        <v>8.0000000000000002E-3</v>
      </c>
      <c r="AN12" s="2">
        <v>2.7E-2</v>
      </c>
      <c r="AO12" s="2">
        <v>8.9999999999999993E-3</v>
      </c>
      <c r="AP12" s="2">
        <v>8.0000000000000002E-3</v>
      </c>
      <c r="AQ12" s="2">
        <v>1E-3</v>
      </c>
      <c r="AR12" s="2">
        <v>2E-3</v>
      </c>
      <c r="AS12" s="2">
        <v>0.27800000000000002</v>
      </c>
      <c r="AT12" s="2">
        <v>5.8999999999999997E-2</v>
      </c>
      <c r="AU12" s="2">
        <v>6.0000000000000001E-3</v>
      </c>
      <c r="AV12" s="72">
        <v>0.97491000000000005</v>
      </c>
      <c r="AW12" s="72">
        <v>0.98728000000000005</v>
      </c>
      <c r="AX12" s="2">
        <v>8.9999999999999993E-3</v>
      </c>
    </row>
    <row r="14" spans="1:50" x14ac:dyDescent="0.3">
      <c r="A14" s="2" t="s">
        <v>151</v>
      </c>
      <c r="B14" s="1" t="s">
        <v>162</v>
      </c>
      <c r="C14" s="1" t="s">
        <v>162</v>
      </c>
      <c r="D14" s="1" t="s">
        <v>162</v>
      </c>
      <c r="E14" s="1" t="s">
        <v>162</v>
      </c>
      <c r="F14" s="1" t="s">
        <v>162</v>
      </c>
      <c r="G14" s="1" t="s">
        <v>162</v>
      </c>
      <c r="H14" s="1" t="s">
        <v>162</v>
      </c>
      <c r="I14" s="1" t="s">
        <v>162</v>
      </c>
      <c r="J14" s="1" t="s">
        <v>162</v>
      </c>
      <c r="K14" s="1" t="s">
        <v>162</v>
      </c>
      <c r="L14" s="1" t="s">
        <v>162</v>
      </c>
      <c r="M14" s="1" t="s">
        <v>162</v>
      </c>
      <c r="N14" s="1" t="s">
        <v>162</v>
      </c>
      <c r="O14" s="1" t="s">
        <v>162</v>
      </c>
      <c r="P14" s="1" t="s">
        <v>162</v>
      </c>
      <c r="Q14" s="1" t="s">
        <v>162</v>
      </c>
      <c r="R14" s="1" t="s">
        <v>162</v>
      </c>
      <c r="S14" s="71" t="s">
        <v>163</v>
      </c>
      <c r="T14" s="71" t="s">
        <v>163</v>
      </c>
      <c r="U14" s="1" t="s">
        <v>162</v>
      </c>
      <c r="V14" s="1" t="s">
        <v>162</v>
      </c>
      <c r="W14" s="1" t="s">
        <v>162</v>
      </c>
      <c r="X14" s="1" t="s">
        <v>162</v>
      </c>
      <c r="Y14" s="1" t="s">
        <v>162</v>
      </c>
      <c r="Z14" s="1" t="s">
        <v>162</v>
      </c>
      <c r="AA14" s="1" t="s">
        <v>162</v>
      </c>
      <c r="AB14" s="1" t="s">
        <v>162</v>
      </c>
      <c r="AC14" s="1" t="s">
        <v>162</v>
      </c>
      <c r="AD14" s="1" t="s">
        <v>162</v>
      </c>
      <c r="AE14" s="1" t="s">
        <v>162</v>
      </c>
      <c r="AF14" s="71" t="s">
        <v>163</v>
      </c>
      <c r="AG14" s="71" t="s">
        <v>163</v>
      </c>
      <c r="AH14" s="1" t="s">
        <v>162</v>
      </c>
      <c r="AI14" s="1" t="s">
        <v>162</v>
      </c>
      <c r="AJ14" s="1" t="s">
        <v>162</v>
      </c>
      <c r="AK14" s="1" t="s">
        <v>162</v>
      </c>
      <c r="AL14" s="1" t="s">
        <v>162</v>
      </c>
      <c r="AM14" s="1" t="s">
        <v>162</v>
      </c>
      <c r="AN14" s="1" t="s">
        <v>162</v>
      </c>
      <c r="AO14" s="1" t="s">
        <v>162</v>
      </c>
      <c r="AP14" s="1" t="s">
        <v>162</v>
      </c>
      <c r="AQ14" s="1" t="s">
        <v>162</v>
      </c>
      <c r="AR14" s="1" t="s">
        <v>162</v>
      </c>
      <c r="AS14" s="1" t="s">
        <v>162</v>
      </c>
      <c r="AT14" s="1" t="s">
        <v>162</v>
      </c>
      <c r="AU14" s="1" t="s">
        <v>162</v>
      </c>
      <c r="AV14" s="71" t="s">
        <v>163</v>
      </c>
      <c r="AW14" s="71" t="s">
        <v>163</v>
      </c>
      <c r="AX14" s="1" t="s">
        <v>162</v>
      </c>
    </row>
    <row r="15" spans="1:50" x14ac:dyDescent="0.3">
      <c r="A15" s="2" t="s">
        <v>152</v>
      </c>
      <c r="B15" s="2">
        <f>(Input!B13*(0.1/0.2573)*1000)/1000</f>
        <v>5.6509910610182672</v>
      </c>
      <c r="C15" s="2">
        <f>(Input!C13*(0.1/0.2573)*1000)/1000</f>
        <v>133.03536727555385</v>
      </c>
      <c r="D15" s="2">
        <f>(Input!D13*(0.1/0.2573)*1000)/1000</f>
        <v>2538.6708122813839</v>
      </c>
      <c r="E15" s="2">
        <f>(Input!E13*(0.1/0.2573)*1000)/1000</f>
        <v>171.3563933151963</v>
      </c>
      <c r="F15" s="2">
        <f>(Input!F13*(0.1/0.2573)*1000)/1000</f>
        <v>578.70190439176065</v>
      </c>
      <c r="G15" s="2">
        <f>(Input!G13*(0.1/0.2573)*1000)/1000</f>
        <v>13699.961134862031</v>
      </c>
      <c r="H15" s="2">
        <f>(Input!H13*(0.1/0.2573)*1000)/1000</f>
        <v>24718.227749708516</v>
      </c>
      <c r="I15" s="2">
        <f>(Input!I13*(0.1/0.2573)*1000)/1000</f>
        <v>115.97357170617957</v>
      </c>
      <c r="J15" s="2">
        <f>(Input!J13*(0.1/0.2573)*1000)/1000</f>
        <v>1.1822774970851149</v>
      </c>
      <c r="K15" s="2">
        <f>(Input!K13*(0.1/0.2573)*1000)/1000</f>
        <v>0.84220753983676655</v>
      </c>
      <c r="L15" s="2">
        <f>(Input!L13*(0.1/0.2573)*1000)/1000</f>
        <v>49.55305091333075</v>
      </c>
      <c r="M15" s="2">
        <f>(Input!M13*(0.1/0.2573)*1000)/1000</f>
        <v>356.04352895452786</v>
      </c>
      <c r="N15" s="2">
        <f>(Input!N13*(0.1/0.2573)*1000)/1000</f>
        <v>0.20715118538670818</v>
      </c>
      <c r="O15" s="2">
        <f>(Input!O13*(0.1/0.2573)*1000)/1000</f>
        <v>0.74115818111154308</v>
      </c>
      <c r="P15" s="2">
        <f>(Input!P13*(0.1/0.2573)*1000)/1000</f>
        <v>13.715507190050527</v>
      </c>
      <c r="Q15" s="2">
        <f>(Input!Q13*(0.1/0.2573)*1000)/1000</f>
        <v>24.589972794403426</v>
      </c>
      <c r="R15" s="2">
        <f>(Input!R13*(0.1/0.2573)*1000)/1000</f>
        <v>0.54644383987563161</v>
      </c>
      <c r="S15" s="72">
        <v>0.89607000000000003</v>
      </c>
      <c r="T15" s="72">
        <v>0.92940999999999996</v>
      </c>
      <c r="U15" s="2">
        <f>(Input!U13*(0.1/0.2573)*1000)/1000</f>
        <v>0.12670034978624176</v>
      </c>
      <c r="V15" s="2">
        <f>(Input!V13*(0.1/0.2573)*1000)/1000</f>
        <v>1.5666537116206765</v>
      </c>
      <c r="W15" s="2">
        <f>(Input!W13*(0.1/0.2573)*1000)/1000</f>
        <v>7.030703458997281</v>
      </c>
      <c r="X15" s="2">
        <f>(Input!X13*(0.1/0.2573)*1000)/1000</f>
        <v>80.800621842207562</v>
      </c>
      <c r="Y15" s="2">
        <f>(Input!Y13*(0.1/0.2573)*1000)/1000</f>
        <v>3.6533229692965415E-2</v>
      </c>
      <c r="Z15" s="2">
        <f>(Input!Z13*(0.1/0.2573)*1000)/1000</f>
        <v>0.67625340069957263</v>
      </c>
      <c r="AA15" s="2">
        <f>(Input!AA13*(0.1/0.2573)*1000)/1000</f>
        <v>3.8865137971239808E-4</v>
      </c>
      <c r="AB15" s="2">
        <f>(Input!AB13*(0.1/0.2573)*1000)/1000</f>
        <v>3.1092110376991847E-3</v>
      </c>
      <c r="AC15" s="2">
        <f>(Input!AC13*(0.1/0.2573)*1000)/1000</f>
        <v>4.3140303148076181E-2</v>
      </c>
      <c r="AD15" s="2">
        <f>(Input!AD13*(0.1/0.2573)*1000)/1000</f>
        <v>1.9661873299650219</v>
      </c>
      <c r="AE15" s="2">
        <f>(Input!AE13*(0.1/0.2573)*1000)/1000</f>
        <v>7.6175670423630021E-2</v>
      </c>
      <c r="AF15" s="72">
        <v>0.95623000000000002</v>
      </c>
      <c r="AG15" s="72">
        <v>1.0237000000000001</v>
      </c>
      <c r="AH15" s="2">
        <f>(Input!AH13*(0.1/0.2573)*1000)/1000</f>
        <v>0.18344345122425187</v>
      </c>
      <c r="AI15" s="2">
        <f>(Input!AI13*(0.1/0.2573)*1000)/1000</f>
        <v>8.938981733385155E-3</v>
      </c>
      <c r="AJ15" s="2">
        <f>(Input!AJ13*(0.1/0.2573)*1000)/1000</f>
        <v>1.5546055188495923E-3</v>
      </c>
      <c r="AK15" s="2">
        <f>(Input!AK13*(0.1/0.2573)*1000)/1000</f>
        <v>0.16284492809949477</v>
      </c>
      <c r="AL15" s="2">
        <f>(Input!AL13*(0.1/0.2573)*1000)/1000</f>
        <v>16.700349786241745</v>
      </c>
      <c r="AM15" s="2">
        <f>(Input!AM13*(0.1/0.2573)*1000)/1000</f>
        <v>1.3991449669646329E-2</v>
      </c>
      <c r="AN15" s="2">
        <f>(Input!AN13*(0.1/0.2573)*1000)/1000</f>
        <v>6.9179945588806843E-2</v>
      </c>
      <c r="AO15" s="2">
        <f>(Input!AO13*(0.1/0.2573)*1000)/1000</f>
        <v>0.24057520404197438</v>
      </c>
      <c r="AP15" s="2">
        <f>(Input!AP13*(0.1/0.2573)*1000)/1000</f>
        <v>0.24368441507967359</v>
      </c>
      <c r="AQ15" s="2">
        <f>(Input!AQ13*(0.1/0.2573)*1000)/1000</f>
        <v>3.8865137971239808E-4</v>
      </c>
      <c r="AR15" s="2">
        <f>(Input!AR13*(0.1/0.2573)*1000)/1000</f>
        <v>7.7730275942479617E-4</v>
      </c>
      <c r="AS15" s="2">
        <f>(Input!AS13*(0.1/0.2573)*1000)/1000</f>
        <v>0.12942090944422854</v>
      </c>
      <c r="AT15" s="2">
        <f>(Input!AT13*(0.1/0.2573)*1000)/1000</f>
        <v>1.2825495530509136E-2</v>
      </c>
      <c r="AU15" s="2">
        <f>(Input!AU13*(0.1/0.2573)*1000)/1000</f>
        <v>0.87796346677030712</v>
      </c>
      <c r="AV15" s="72">
        <v>0.85509999999999997</v>
      </c>
      <c r="AW15" s="72">
        <v>0.93888000000000005</v>
      </c>
      <c r="AX15" s="2">
        <f>(Input!AX13*(0.1/0.2573)*1000)/1000</f>
        <v>1.6712009327633115E-2</v>
      </c>
    </row>
    <row r="16" spans="1:50" x14ac:dyDescent="0.3">
      <c r="A16" s="2" t="s">
        <v>52</v>
      </c>
      <c r="B16" s="2">
        <f>(Input!B14*(0.1/0.2525)*1000)/1000</f>
        <v>4.3049504950495052</v>
      </c>
      <c r="C16" s="2">
        <f>(Input!C14*(0.1/0.2525)*1000)/1000</f>
        <v>69.900990099009903</v>
      </c>
      <c r="D16" s="2">
        <f>(Input!D14*(0.1/0.2525)*1000)/1000</f>
        <v>2392.871287128713</v>
      </c>
      <c r="E16" s="2">
        <f>(Input!E14*(0.1/0.2525)*1000)/1000</f>
        <v>135.76237623762378</v>
      </c>
      <c r="F16" s="2">
        <f>(Input!F14*(0.1/0.2525)*1000)/1000</f>
        <v>1213.4653465346535</v>
      </c>
      <c r="G16" s="2">
        <f>(Input!G14*(0.1/0.2525)*1000)/1000</f>
        <v>18946.534653465347</v>
      </c>
      <c r="H16" s="2">
        <f>(Input!H14*(0.1/0.2525)*1000)/1000</f>
        <v>24776.237623762376</v>
      </c>
      <c r="I16" s="2">
        <f>(Input!I14*(0.1/0.2525)*1000)/1000</f>
        <v>112.19801980198021</v>
      </c>
      <c r="J16" s="2">
        <f>(Input!J14*(0.1/0.2525)*1000)/1000</f>
        <v>1.026930693069307</v>
      </c>
      <c r="K16" s="2">
        <f>(Input!K14*(0.1/0.2525)*1000)/1000</f>
        <v>0.73148514851485147</v>
      </c>
      <c r="L16" s="2">
        <f>(Input!L14*(0.1/0.2525)*1000)/1000</f>
        <v>57.306930693069305</v>
      </c>
      <c r="M16" s="2">
        <f>(Input!M14*(0.1/0.2525)*1000)/1000</f>
        <v>290.57425742574259</v>
      </c>
      <c r="N16" s="2">
        <f>(Input!N14*(0.1/0.2525)*1000)/1000</f>
        <v>0.18772277227722772</v>
      </c>
      <c r="O16" s="2">
        <f>(Input!O14*(0.1/0.2525)*1000)/1000</f>
        <v>1.1425742574257425</v>
      </c>
      <c r="P16" s="2">
        <f>(Input!P14*(0.1/0.2525)*1000)/1000</f>
        <v>5.2792079207920795</v>
      </c>
      <c r="Q16" s="2">
        <f>(Input!Q14*(0.1/0.2525)*1000)/1000</f>
        <v>10.431683168316834</v>
      </c>
      <c r="R16" s="2">
        <f>(Input!R14*(0.1/0.2525)*1000)/1000</f>
        <v>0.4784158415841584</v>
      </c>
      <c r="S16" s="72">
        <v>0.88832</v>
      </c>
      <c r="T16" s="72">
        <v>0.91288999999999998</v>
      </c>
      <c r="U16" s="2">
        <f>(Input!U14*(0.1/0.2525)*1000)/1000</f>
        <v>9.0693069306930704E-2</v>
      </c>
      <c r="V16" s="2">
        <f>(Input!V14*(0.1/0.2525)*1000)/1000</f>
        <v>3.8376237623762375</v>
      </c>
      <c r="W16" s="2">
        <f>(Input!W14*(0.1/0.2525)*1000)/1000</f>
        <v>5.1841584158415843</v>
      </c>
      <c r="X16" s="2">
        <f>(Input!X14*(0.1/0.2525)*1000)/1000</f>
        <v>69.306930693069305</v>
      </c>
      <c r="Y16" s="2">
        <f>(Input!Y14*(0.1/0.2525)*1000)/1000</f>
        <v>2.2970297029702973E-2</v>
      </c>
      <c r="Z16" s="2">
        <f>(Input!Z14*(0.1/0.2525)*1000)/1000</f>
        <v>0.45663366336633665</v>
      </c>
      <c r="AA16" s="2">
        <f>(Input!AA14*(0.1/0.2525)*1000)/1000</f>
        <v>3.9603960396039607E-4</v>
      </c>
      <c r="AB16" s="2">
        <f>(Input!AB14*(0.1/0.2525)*1000)/1000</f>
        <v>2.7722772277227726E-3</v>
      </c>
      <c r="AC16" s="2">
        <f>(Input!AC14*(0.1/0.2525)*1000)/1000</f>
        <v>3.6435643564356433E-2</v>
      </c>
      <c r="AD16" s="2">
        <f>(Input!AD14*(0.1/0.2525)*1000)/1000</f>
        <v>1.6316831683168318</v>
      </c>
      <c r="AE16" s="2">
        <f>(Input!AE14*(0.1/0.2525)*1000)/1000</f>
        <v>2.6534653465346537E-2</v>
      </c>
      <c r="AF16" s="72">
        <v>0.94611999999999996</v>
      </c>
      <c r="AG16" s="72">
        <v>1.00989</v>
      </c>
      <c r="AH16" s="2">
        <f>(Input!AH14*(0.1/0.2573)*1000)/1000</f>
        <v>2.8760202098717453E-2</v>
      </c>
      <c r="AI16" s="2">
        <f>(Input!AI14*(0.1/0.2573)*1000)/1000</f>
        <v>1.1270890011659544E-2</v>
      </c>
      <c r="AJ16" s="2">
        <f>(Input!AJ14*(0.1/0.2573)*1000)/1000</f>
        <v>3.8865137971239808E-4</v>
      </c>
      <c r="AK16" s="2">
        <f>(Input!AK14*(0.1/0.2573)*1000)/1000</f>
        <v>9.98834045860863E-2</v>
      </c>
      <c r="AL16" s="2">
        <f>(Input!AL14*(0.1/0.2573)*1000)/1000</f>
        <v>14.652157015157407</v>
      </c>
      <c r="AM16" s="2">
        <f>(Input!AM14*(0.1/0.2573)*1000)/1000</f>
        <v>5.0524679362611742E-3</v>
      </c>
      <c r="AN16" s="2">
        <f>(Input!AN14*(0.1/0.2573)*1000)/1000</f>
        <v>4.702681694520016E-2</v>
      </c>
      <c r="AO16" s="2">
        <f>(Input!AO14*(0.1/0.2573)*1000)/1000</f>
        <v>0.1585697629226584</v>
      </c>
      <c r="AP16" s="2">
        <f>(Input!AP14*(0.1/0.2573)*1000)/1000</f>
        <v>0.16167897396035757</v>
      </c>
      <c r="AQ16" s="2">
        <f>(Input!AQ14*(0.1/0.2573)*1000)/1000</f>
        <v>0</v>
      </c>
      <c r="AR16" s="2">
        <f>(Input!AR14*(0.1/0.2573)*1000)/1000</f>
        <v>3.8865137971239808E-4</v>
      </c>
      <c r="AS16" s="2">
        <f>(Input!AS14*(0.1/0.2573)*1000)/1000</f>
        <v>0.12825495530509137</v>
      </c>
      <c r="AT16" s="2">
        <f>(Input!AT14*(0.1/0.2573)*1000)/1000</f>
        <v>5.0524679362611742E-3</v>
      </c>
      <c r="AU16" s="2">
        <f>(Input!AU14*(0.1/0.2573)*1000)/1000</f>
        <v>0.69801787796346693</v>
      </c>
      <c r="AV16" s="72">
        <v>0.84972000000000003</v>
      </c>
      <c r="AW16" s="72">
        <v>0.93591999999999997</v>
      </c>
      <c r="AX16" s="2">
        <f>(Input!AX14*(0.1/0.2573)*1000)/1000</f>
        <v>1.204819277108434E-2</v>
      </c>
    </row>
    <row r="17" spans="1:50" x14ac:dyDescent="0.3">
      <c r="A17" s="2" t="s">
        <v>53</v>
      </c>
      <c r="B17" s="2">
        <f>(Input!B15*(0.1/0.2522)*1000)/1000</f>
        <v>3.2240285487708173</v>
      </c>
      <c r="C17" s="2">
        <f>(Input!C15*(0.1/0.2522)*1000)/1000</f>
        <v>113.95717684377479</v>
      </c>
      <c r="D17" s="2">
        <f>(Input!D15*(0.1/0.2522)*1000)/1000</f>
        <v>2536.0824742268042</v>
      </c>
      <c r="E17" s="2">
        <f>(Input!E15*(0.1/0.2522)*1000)/1000</f>
        <v>142.78350515463919</v>
      </c>
      <c r="F17" s="2">
        <f>(Input!F15*(0.1/0.2522)*1000)/1000</f>
        <v>1184.7739888977003</v>
      </c>
      <c r="G17" s="2">
        <f>(Input!G15*(0.1/0.2522)*1000)/1000</f>
        <v>23425.852498017448</v>
      </c>
      <c r="H17" s="2">
        <f>(Input!H15*(0.1/0.2522)*1000)/1000</f>
        <v>22061.855670103094</v>
      </c>
      <c r="I17" s="2">
        <f>(Input!I15*(0.1/0.2522)*1000)/1000</f>
        <v>99.286280729579715</v>
      </c>
      <c r="J17" s="2">
        <f>(Input!J15*(0.1/0.2522)*1000)/1000</f>
        <v>0.93298969072164961</v>
      </c>
      <c r="K17" s="2">
        <f>(Input!K15*(0.1/0.2522)*1000)/1000</f>
        <v>0.88580491673275186</v>
      </c>
      <c r="L17" s="2">
        <f>(Input!L15*(0.1/0.2522)*1000)/1000</f>
        <v>74.662965900079314</v>
      </c>
      <c r="M17" s="2">
        <f>(Input!M15*(0.1/0.2522)*1000)/1000</f>
        <v>306.02696272799369</v>
      </c>
      <c r="N17" s="2">
        <f>(Input!N15*(0.1/0.2522)*1000)/1000</f>
        <v>0.30333068992862811</v>
      </c>
      <c r="O17" s="2">
        <f>(Input!O15*(0.1/0.2522)*1000)/1000</f>
        <v>2.6042823156225219</v>
      </c>
      <c r="P17" s="2">
        <f>(Input!P15*(0.1/0.2522)*1000)/1000</f>
        <v>7.4821570182394934</v>
      </c>
      <c r="Q17" s="2">
        <f>(Input!Q15*(0.1/0.2522)*1000)/1000</f>
        <v>8.9651070578905632</v>
      </c>
      <c r="R17" s="2">
        <f>(Input!R15*(0.1/0.2522)*1000)/1000</f>
        <v>0.14988104678826331</v>
      </c>
      <c r="S17" s="72">
        <v>0.88973999999999998</v>
      </c>
      <c r="T17" s="72">
        <v>0.90639000000000003</v>
      </c>
      <c r="U17" s="2">
        <f>(Input!U15*(0.1/0.2522)*1000)/1000</f>
        <v>0.10111022997620937</v>
      </c>
      <c r="V17" s="2">
        <f>(Input!V15*(0.1/0.2522)*1000)/1000</f>
        <v>1.8132434575733547</v>
      </c>
      <c r="W17" s="2">
        <f>(Input!W15*(0.1/0.2522)*1000)/1000</f>
        <v>9.3616177636796198</v>
      </c>
      <c r="X17" s="2">
        <f>(Input!X15*(0.1/0.2522)*1000)/1000</f>
        <v>55.908009516256946</v>
      </c>
      <c r="Y17" s="2">
        <f>(Input!Y15*(0.1/0.2522)*1000)/1000</f>
        <v>2.2601110229976212E-2</v>
      </c>
      <c r="Z17" s="2">
        <f>(Input!Z15*(0.1/0.2522)*1000)/1000</f>
        <v>0.29183187946074546</v>
      </c>
      <c r="AA17" s="2">
        <f>(Input!AA15*(0.1/0.2522)*1000)/1000</f>
        <v>7.9302141157811272E-4</v>
      </c>
      <c r="AB17" s="2">
        <f>(Input!AB15*(0.1/0.2522)*1000)/1000</f>
        <v>2.379064234734338E-3</v>
      </c>
      <c r="AC17" s="2">
        <f>(Input!AC15*(0.1/0.2522)*1000)/1000</f>
        <v>3.0927835051546393E-2</v>
      </c>
      <c r="AD17" s="2">
        <f>(Input!AD15*(0.1/0.2522)*1000)/1000</f>
        <v>1.7386994448850119</v>
      </c>
      <c r="AE17" s="2">
        <f>(Input!AE15*(0.1/0.2522)*1000)/1000</f>
        <v>5.9476605868358449E-2</v>
      </c>
      <c r="AF17" s="72">
        <v>0.94484000000000001</v>
      </c>
      <c r="AG17" s="72">
        <v>1.0153399999999999</v>
      </c>
      <c r="AH17" s="2">
        <f>(Input!AH15*(0.1/0.2573)*1000)/1000</f>
        <v>8.1616789739603589E-3</v>
      </c>
      <c r="AI17" s="2">
        <f>(Input!AI15*(0.1/0.2573)*1000)/1000</f>
        <v>4.275165176836378E-3</v>
      </c>
      <c r="AJ17" s="2">
        <f>(Input!AJ15*(0.1/0.2573)*1000)/1000</f>
        <v>1.1659541391371942E-3</v>
      </c>
      <c r="AK17" s="2">
        <f>(Input!AK15*(0.1/0.2573)*1000)/1000</f>
        <v>8.4337349397590369E-2</v>
      </c>
      <c r="AL17" s="2">
        <f>(Input!AL15*(0.1/0.2573)*1000)/1000</f>
        <v>3.5102992615623791</v>
      </c>
      <c r="AM17" s="2">
        <f>(Input!AM15*(0.1/0.2573)*1000)/1000</f>
        <v>3.1092110376991847E-3</v>
      </c>
      <c r="AN17" s="2">
        <f>(Input!AN15*(0.1/0.2573)*1000)/1000</f>
        <v>4.430625728721338E-2</v>
      </c>
      <c r="AO17" s="2">
        <f>(Input!AO15*(0.1/0.2573)*1000)/1000</f>
        <v>0.1189273221919938</v>
      </c>
      <c r="AP17" s="2">
        <f>(Input!AP15*(0.1/0.2573)*1000)/1000</f>
        <v>0.12320248736883019</v>
      </c>
      <c r="AQ17" s="2">
        <f>(Input!AQ15*(0.1/0.2573)*1000)/1000</f>
        <v>0</v>
      </c>
      <c r="AR17" s="2">
        <f>(Input!AR15*(0.1/0.2573)*1000)/1000</f>
        <v>3.8865137971239808E-4</v>
      </c>
      <c r="AS17" s="2">
        <f>(Input!AS15*(0.1/0.2573)*1000)/1000</f>
        <v>0.15507190050524683</v>
      </c>
      <c r="AT17" s="2">
        <f>(Input!AT15*(0.1/0.2573)*1000)/1000</f>
        <v>3.1092110376991847E-3</v>
      </c>
      <c r="AU17" s="2">
        <f>(Input!AU15*(0.1/0.2573)*1000)/1000</f>
        <v>0.54605518849591927</v>
      </c>
      <c r="AV17" s="72">
        <v>0.84836999999999996</v>
      </c>
      <c r="AW17" s="72">
        <v>0.93457000000000001</v>
      </c>
      <c r="AX17" s="2">
        <f>(Input!AX15*(0.1/0.2573)*1000)/1000</f>
        <v>1.204819277108434E-2</v>
      </c>
    </row>
    <row r="18" spans="1:50" x14ac:dyDescent="0.3">
      <c r="A18" s="2" t="s">
        <v>54</v>
      </c>
      <c r="B18" s="2">
        <f>(Input!B16*(0.1/0.2564)*1000)/1000</f>
        <v>8.8377535101404057</v>
      </c>
      <c r="C18" s="2">
        <f>(Input!C16*(0.1/0.2564)*1000)/1000</f>
        <v>98.205928237129484</v>
      </c>
      <c r="D18" s="2">
        <f>(Input!D16*(0.1/0.2564)*1000)/1000</f>
        <v>3279.2511700468017</v>
      </c>
      <c r="E18" s="2">
        <f>(Input!E16*(0.1/0.2564)*1000)/1000</f>
        <v>104.17316692667706</v>
      </c>
      <c r="F18" s="2">
        <f>(Input!F16*(0.1/0.2564)*1000)/1000</f>
        <v>1000.780031201248</v>
      </c>
      <c r="G18" s="2">
        <f>(Input!G16*(0.1/0.2564)*1000)/1000</f>
        <v>23533.541341653665</v>
      </c>
      <c r="H18" s="2">
        <f>(Input!H16*(0.1/0.2564)*1000)/1000</f>
        <v>23237.129485179408</v>
      </c>
      <c r="I18" s="2">
        <f>(Input!I16*(0.1/0.2564)*1000)/1000</f>
        <v>100.70202808112325</v>
      </c>
      <c r="J18" s="2">
        <f>(Input!J16*(0.1/0.2564)*1000)/1000</f>
        <v>0.99180967238689555</v>
      </c>
      <c r="K18" s="2">
        <f>(Input!K16*(0.1/0.2564)*1000)/1000</f>
        <v>0.90171606864274567</v>
      </c>
      <c r="L18" s="2">
        <f>(Input!L16*(0.1/0.2564)*1000)/1000</f>
        <v>47.347893915756636</v>
      </c>
      <c r="M18" s="2">
        <f>(Input!M16*(0.1/0.2564)*1000)/1000</f>
        <v>232.41029641185648</v>
      </c>
      <c r="N18" s="2">
        <f>(Input!N16*(0.1/0.2564)*1000)/1000</f>
        <v>0.1778471138845554</v>
      </c>
      <c r="O18" s="2">
        <f>(Input!O16*(0.1/0.2564)*1000)/1000</f>
        <v>1.5362714508580344</v>
      </c>
      <c r="P18" s="2">
        <f>(Input!P16*(0.1/0.2564)*1000)/1000</f>
        <v>4.6216848673946958</v>
      </c>
      <c r="Q18" s="2">
        <f>(Input!Q16*(0.1/0.2564)*1000)/1000</f>
        <v>10.795631825273011</v>
      </c>
      <c r="R18" s="2">
        <f>(Input!R16*(0.1/0.2564)*1000)/1000</f>
        <v>0.72074882995319811</v>
      </c>
      <c r="S18" s="72">
        <v>0.89610000000000001</v>
      </c>
      <c r="T18" s="72">
        <v>0.93081000000000003</v>
      </c>
      <c r="U18" s="2">
        <f>(Input!U16*(0.1/0.2564)*1000)/1000</f>
        <v>8.1123244929797195E-2</v>
      </c>
      <c r="V18" s="2">
        <f>(Input!V16*(0.1/0.2564)*1000)/1000</f>
        <v>1.4270670826833072</v>
      </c>
      <c r="W18" s="2">
        <f>(Input!W16*(0.1/0.2564)*1000)/1000</f>
        <v>4.7464898595943836</v>
      </c>
      <c r="X18" s="2">
        <f>(Input!X16*(0.1/0.2564)*1000)/1000</f>
        <v>176.4820592823713</v>
      </c>
      <c r="Y18" s="2">
        <f>(Input!Y16*(0.1/0.2564)*1000)/1000</f>
        <v>2.0670826833073322E-2</v>
      </c>
      <c r="Z18" s="2">
        <f>(Input!Z16*(0.1/0.2564)*1000)/1000</f>
        <v>0.45397815912636502</v>
      </c>
      <c r="AA18" s="2">
        <f>(Input!AA16*(0.1/0.2564)*1000)/1000</f>
        <v>1.9500780031201249E-3</v>
      </c>
      <c r="AB18" s="2">
        <f>(Input!AB16*(0.1/0.2564)*1000)/1000</f>
        <v>7.0202808112324487E-3</v>
      </c>
      <c r="AC18" s="2">
        <f>(Input!AC16*(0.1/0.2564)*1000)/1000</f>
        <v>9.438377535101404E-2</v>
      </c>
      <c r="AD18" s="2">
        <f>(Input!AD16*(0.1/0.2564)*1000)/1000</f>
        <v>1.5413416536661466</v>
      </c>
      <c r="AE18" s="2">
        <f>(Input!AE16*(0.1/0.2564)*1000)/1000</f>
        <v>5.4212168486739473E-2</v>
      </c>
      <c r="AF18" s="72">
        <v>0.95952999999999999</v>
      </c>
      <c r="AG18" s="72">
        <v>1.04101</v>
      </c>
      <c r="AH18" s="2">
        <f>(Input!AH16*(0.1/0.2573)*1000)/1000</f>
        <v>1.3991449669646329E-2</v>
      </c>
      <c r="AI18" s="2">
        <f>(Input!AI16*(0.1/0.2573)*1000)/1000</f>
        <v>5.4411193159735732E-3</v>
      </c>
      <c r="AJ18" s="2">
        <f>(Input!AJ16*(0.1/0.2573)*1000)/1000</f>
        <v>2.3319082782743885E-3</v>
      </c>
      <c r="AK18" s="2">
        <f>(Input!AK16*(0.1/0.2573)*1000)/1000</f>
        <v>6.2961523513408488E-2</v>
      </c>
      <c r="AL18" s="2">
        <f>(Input!AL16*(0.1/0.2573)*1000)/1000</f>
        <v>24.290711232024879</v>
      </c>
      <c r="AM18" s="2">
        <f>(Input!AM16*(0.1/0.2573)*1000)/1000</f>
        <v>3.1092110376991847E-3</v>
      </c>
      <c r="AN18" s="2">
        <f>(Input!AN16*(0.1/0.2573)*1000)/1000</f>
        <v>4.8581422464049756E-2</v>
      </c>
      <c r="AO18" s="2">
        <f>(Input!AO16*(0.1/0.2573)*1000)/1000</f>
        <v>5.6743101438010111E-2</v>
      </c>
      <c r="AP18" s="2">
        <f>(Input!AP16*(0.1/0.2573)*1000)/1000</f>
        <v>5.790905557714731E-2</v>
      </c>
      <c r="AQ18" s="2">
        <f>(Input!AQ16*(0.1/0.2573)*1000)/1000</f>
        <v>0</v>
      </c>
      <c r="AR18" s="2">
        <f>(Input!AR16*(0.1/0.2573)*1000)/1000</f>
        <v>0</v>
      </c>
      <c r="AS18" s="2">
        <f>(Input!AS16*(0.1/0.2573)*1000)/1000</f>
        <v>0.14380101049358729</v>
      </c>
      <c r="AT18" s="2">
        <f>(Input!AT16*(0.1/0.2573)*1000)/1000</f>
        <v>1.9432568985619902E-3</v>
      </c>
      <c r="AU18" s="2">
        <f>(Input!AU16*(0.1/0.2573)*1000)/1000</f>
        <v>0.40847260007773034</v>
      </c>
      <c r="AV18" s="72">
        <v>0.84513000000000005</v>
      </c>
      <c r="AW18" s="72">
        <v>0.95043999999999995</v>
      </c>
      <c r="AX18" s="2">
        <f>(Input!AX16*(0.1/0.2573)*1000)/1000</f>
        <v>8.5503303536727561E-3</v>
      </c>
    </row>
    <row r="19" spans="1:50" x14ac:dyDescent="0.3">
      <c r="A19" s="2" t="s">
        <v>55</v>
      </c>
      <c r="B19" s="2">
        <f>(Input!B17*(0.1/0.2588)*1000)/1000</f>
        <v>3.8678516228748077</v>
      </c>
      <c r="C19" s="2">
        <f>(Input!C17*(0.1/0.2588)*1000)/1000</f>
        <v>238.17619783616695</v>
      </c>
      <c r="D19" s="2">
        <f>(Input!D17*(0.1/0.2588)*1000)/1000</f>
        <v>1889.1035548686248</v>
      </c>
      <c r="E19" s="2">
        <f>(Input!E17*(0.1/0.2588)*1000)/1000</f>
        <v>99.149922720247318</v>
      </c>
      <c r="F19" s="2">
        <f>(Input!F17*(0.1/0.2588)*1000)/1000</f>
        <v>1015.4559505409586</v>
      </c>
      <c r="G19" s="2">
        <f>(Input!G17*(0.1/0.2588)*1000)/1000</f>
        <v>13867.851622874809</v>
      </c>
      <c r="H19" s="2">
        <f>(Input!H17*(0.1/0.2588)*1000)/1000</f>
        <v>27697.063369397223</v>
      </c>
      <c r="I19" s="2">
        <f>(Input!I17*(0.1/0.2588)*1000)/1000</f>
        <v>120.17001545595056</v>
      </c>
      <c r="J19" s="2">
        <f>(Input!J17*(0.1/0.2588)*1000)/1000</f>
        <v>0.97720247295208673</v>
      </c>
      <c r="K19" s="2">
        <f>(Input!K17*(0.1/0.2588)*1000)/1000</f>
        <v>0.80448222565687799</v>
      </c>
      <c r="L19" s="2">
        <f>(Input!L17*(0.1/0.2588)*1000)/1000</f>
        <v>39.335394126738798</v>
      </c>
      <c r="M19" s="2">
        <f>(Input!M17*(0.1/0.2588)*1000)/1000</f>
        <v>214.6058732612056</v>
      </c>
      <c r="N19" s="2">
        <f>(Input!N17*(0.1/0.2588)*1000)/1000</f>
        <v>0.17465224111282848</v>
      </c>
      <c r="O19" s="2">
        <f>(Input!O17*(0.1/0.2588)*1000)/1000</f>
        <v>1.440494590417311</v>
      </c>
      <c r="P19" s="2">
        <f>(Input!P17*(0.1/0.2588)*1000)/1000</f>
        <v>6.993817619783619</v>
      </c>
      <c r="Q19" s="2">
        <f>(Input!Q17*(0.1/0.2588)*1000)/1000</f>
        <v>11.80061823802164</v>
      </c>
      <c r="R19" s="2">
        <f>(Input!R17*(0.1/0.2588)*1000)/1000</f>
        <v>0.69165378670788269</v>
      </c>
      <c r="S19" s="72">
        <v>0.91164999999999996</v>
      </c>
      <c r="T19" s="72">
        <v>0.92118999999999995</v>
      </c>
      <c r="U19" s="2">
        <f>(Input!U17*(0.1/0.2588)*1000)/1000</f>
        <v>5.2163833075734169E-2</v>
      </c>
      <c r="V19" s="2">
        <f>(Input!V17*(0.1/0.2588)*1000)/1000</f>
        <v>1.9207882534775893</v>
      </c>
      <c r="W19" s="2">
        <f>(Input!W17*(0.1/0.2588)*1000)/1000</f>
        <v>6.1785162287480695</v>
      </c>
      <c r="X19" s="2">
        <f>(Input!X17*(0.1/0.2588)*1000)/1000</f>
        <v>73.724884080370956</v>
      </c>
      <c r="Y19" s="2">
        <f>(Input!Y17*(0.1/0.2588)*1000)/1000</f>
        <v>1.6615146831530141E-2</v>
      </c>
      <c r="Z19" s="2">
        <f>(Input!Z17*(0.1/0.2588)*1000)/1000</f>
        <v>0.39374034003091196</v>
      </c>
      <c r="AA19" s="2">
        <f>(Input!AA17*(0.1/0.2588)*1000)/1000</f>
        <v>7.7279752704791365E-4</v>
      </c>
      <c r="AB19" s="2">
        <f>(Input!AB17*(0.1/0.2588)*1000)/1000</f>
        <v>3.0911901081916546E-3</v>
      </c>
      <c r="AC19" s="2">
        <f>(Input!AC17*(0.1/0.2588)*1000)/1000</f>
        <v>4.1344667697063374E-2</v>
      </c>
      <c r="AD19" s="2">
        <f>(Input!AD17*(0.1/0.2588)*1000)/1000</f>
        <v>1.5765069551777438</v>
      </c>
      <c r="AE19" s="2">
        <f>(Input!AE17*(0.1/0.2588)*1000)/1000</f>
        <v>5.6800618238021648E-2</v>
      </c>
      <c r="AF19" s="72">
        <v>0.96438999999999997</v>
      </c>
      <c r="AG19" s="72">
        <v>1.0407299999999999</v>
      </c>
      <c r="AH19" s="2">
        <f>(Input!AH17*(0.1/0.2573)*1000)/1000</f>
        <v>2.4096385542168679E-2</v>
      </c>
      <c r="AI19" s="2">
        <f>(Input!AI17*(0.1/0.2573)*1000)/1000</f>
        <v>8.1616789739603589E-3</v>
      </c>
      <c r="AJ19" s="2">
        <f>(Input!AJ17*(0.1/0.2573)*1000)/1000</f>
        <v>1.5546055188495923E-3</v>
      </c>
      <c r="AK19" s="2">
        <f>(Input!AK17*(0.1/0.2573)*1000)/1000</f>
        <v>7.1123202487368836E-2</v>
      </c>
      <c r="AL19" s="2">
        <f>(Input!AL17*(0.1/0.2573)*1000)/1000</f>
        <v>23.027594247959584</v>
      </c>
      <c r="AM19" s="2">
        <f>(Input!AM17*(0.1/0.2573)*1000)/1000</f>
        <v>3.8865137971239804E-3</v>
      </c>
      <c r="AN19" s="2">
        <f>(Input!AN17*(0.1/0.2573)*1000)/1000</f>
        <v>4.3140303148076181E-2</v>
      </c>
      <c r="AO19" s="2">
        <f>(Input!AO17*(0.1/0.2573)*1000)/1000</f>
        <v>9.1721725612125937E-2</v>
      </c>
      <c r="AP19" s="2">
        <f>(Input!AP17*(0.1/0.2573)*1000)/1000</f>
        <v>9.2110376991838327E-2</v>
      </c>
      <c r="AQ19" s="2">
        <f>(Input!AQ17*(0.1/0.2573)*1000)/1000</f>
        <v>0</v>
      </c>
      <c r="AR19" s="2">
        <f>(Input!AR17*(0.1/0.2573)*1000)/1000</f>
        <v>0</v>
      </c>
      <c r="AS19" s="2">
        <f>(Input!AS17*(0.1/0.2573)*1000)/1000</f>
        <v>0.25689856198989514</v>
      </c>
      <c r="AT19" s="2">
        <f>(Input!AT17*(0.1/0.2573)*1000)/1000</f>
        <v>2.3319082782743885E-3</v>
      </c>
      <c r="AU19" s="2">
        <f>(Input!AU17*(0.1/0.2573)*1000)/1000</f>
        <v>0.3929265448892344</v>
      </c>
      <c r="AV19" s="72">
        <v>0.86428000000000005</v>
      </c>
      <c r="AW19" s="72">
        <v>0.96201999999999999</v>
      </c>
      <c r="AX19" s="2">
        <f>(Input!AX17*(0.1/0.2573)*1000)/1000</f>
        <v>7.7730275942479608E-3</v>
      </c>
    </row>
    <row r="20" spans="1:50" x14ac:dyDescent="0.3">
      <c r="A20" s="2" t="s">
        <v>56</v>
      </c>
      <c r="B20" s="2">
        <f>(Input!B18*(0.1/0.258)*1000)/1000</f>
        <v>3.9534883720930232</v>
      </c>
      <c r="C20" s="2">
        <f>(Input!C18*(0.1/0.258)*1000)/1000</f>
        <v>447.67441860465118</v>
      </c>
      <c r="D20" s="2">
        <f>(Input!D18*(0.1/0.258)*1000)/1000</f>
        <v>1915.8914728682171</v>
      </c>
      <c r="E20" s="2">
        <f>(Input!E18*(0.1/0.258)*1000)/1000</f>
        <v>116.47286821705427</v>
      </c>
      <c r="F20" s="2">
        <f>(Input!F18*(0.1/0.258)*1000)/1000</f>
        <v>978.2945736434109</v>
      </c>
      <c r="G20" s="2">
        <f>(Input!G18*(0.1/0.258)*1000)/1000</f>
        <v>23833.333333333336</v>
      </c>
      <c r="H20" s="2">
        <f>(Input!H18*(0.1/0.258)*1000)/1000</f>
        <v>19875.968992248065</v>
      </c>
      <c r="I20" s="2">
        <f>(Input!I18*(0.1/0.258)*1000)/1000</f>
        <v>90.620155038759705</v>
      </c>
      <c r="J20" s="2">
        <f>(Input!J18*(0.1/0.258)*1000)/1000</f>
        <v>0.95310077519379854</v>
      </c>
      <c r="K20" s="2">
        <f>(Input!K18*(0.1/0.258)*1000)/1000</f>
        <v>0.89961240310077528</v>
      </c>
      <c r="L20" s="2">
        <f>(Input!L18*(0.1/0.258)*1000)/1000</f>
        <v>38.562015503875969</v>
      </c>
      <c r="M20" s="2">
        <f>(Input!M18*(0.1/0.258)*1000)/1000</f>
        <v>275.38759689922483</v>
      </c>
      <c r="N20" s="2">
        <f>(Input!N18*(0.1/0.258)*1000)/1000</f>
        <v>0.2251937984496124</v>
      </c>
      <c r="O20" s="2">
        <f>(Input!O18*(0.1/0.258)*1000)/1000</f>
        <v>1.2945736434108528</v>
      </c>
      <c r="P20" s="2">
        <f>(Input!P18*(0.1/0.258)*1000)/1000</f>
        <v>9.5658914728682181</v>
      </c>
      <c r="Q20" s="2">
        <f>(Input!Q18*(0.1/0.258)*1000)/1000</f>
        <v>17.391472868217054</v>
      </c>
      <c r="R20" s="2">
        <f>(Input!R18*(0.1/0.258)*1000)/1000</f>
        <v>0.37751937984496126</v>
      </c>
      <c r="S20" s="72">
        <v>0.89034999999999997</v>
      </c>
      <c r="T20" s="72">
        <v>0.90547</v>
      </c>
      <c r="U20" s="2">
        <f>(Input!U18*(0.1/0.258)*1000)/1000</f>
        <v>7.0930232558139544E-2</v>
      </c>
      <c r="V20" s="2">
        <f>(Input!V18*(0.1/0.258)*1000)/1000</f>
        <v>0.85697674418604652</v>
      </c>
      <c r="W20" s="2">
        <f>(Input!W18*(0.1/0.258)*1000)/1000</f>
        <v>6.1937984496124034</v>
      </c>
      <c r="X20" s="2">
        <f>(Input!X18*(0.1/0.258)*1000)/1000</f>
        <v>83.992248062015506</v>
      </c>
      <c r="Y20" s="2">
        <f>(Input!Y18*(0.1/0.258)*1000)/1000</f>
        <v>2.2868217054263566E-2</v>
      </c>
      <c r="Z20" s="2">
        <f>(Input!Z18*(0.1/0.258)*1000)/1000</f>
        <v>0.25271317829457368</v>
      </c>
      <c r="AA20" s="2">
        <f>(Input!AA18*(0.1/0.258)*1000)/1000</f>
        <v>3.8759689922480625E-4</v>
      </c>
      <c r="AB20" s="2">
        <f>(Input!AB18*(0.1/0.258)*1000)/1000</f>
        <v>3.10077519379845E-3</v>
      </c>
      <c r="AC20" s="2">
        <f>(Input!AC18*(0.1/0.258)*1000)/1000</f>
        <v>4.4961240310077526E-2</v>
      </c>
      <c r="AD20" s="2">
        <f>(Input!AD18*(0.1/0.258)*1000)/1000</f>
        <v>1.501937984496124</v>
      </c>
      <c r="AE20" s="2">
        <f>(Input!AE18*(0.1/0.258)*1000)/1000</f>
        <v>3.9534883720930232E-2</v>
      </c>
      <c r="AF20" s="72">
        <v>0.94733999999999996</v>
      </c>
      <c r="AG20" s="72">
        <v>1.0299799999999999</v>
      </c>
      <c r="AH20" s="2">
        <f>(Input!AH18*(0.1/0.2573)*1000)/1000</f>
        <v>0.10765643218033427</v>
      </c>
      <c r="AI20" s="2">
        <f>(Input!AI18*(0.1/0.2573)*1000)/1000</f>
        <v>3.4589972794403422E-2</v>
      </c>
      <c r="AJ20" s="2">
        <f>(Input!AJ18*(0.1/0.2573)*1000)/1000</f>
        <v>1.1659541391371942E-3</v>
      </c>
      <c r="AK20" s="2">
        <f>(Input!AK18*(0.1/0.2573)*1000)/1000</f>
        <v>5.4411193159735735E-2</v>
      </c>
      <c r="AL20" s="2">
        <f>(Input!AL18*(0.1/0.2573)*1000)/1000</f>
        <v>11.519626894675479</v>
      </c>
      <c r="AM20" s="2">
        <f>(Input!AM18*(0.1/0.2573)*1000)/1000</f>
        <v>3.8865137971239804E-3</v>
      </c>
      <c r="AN20" s="2">
        <f>(Input!AN18*(0.1/0.2573)*1000)/1000</f>
        <v>3.5367275553828223E-2</v>
      </c>
      <c r="AO20" s="2">
        <f>(Input!AO18*(0.1/0.2573)*1000)/1000</f>
        <v>5.7520404197434906E-2</v>
      </c>
      <c r="AP20" s="2">
        <f>(Input!AP18*(0.1/0.2573)*1000)/1000</f>
        <v>5.790905557714731E-2</v>
      </c>
      <c r="AQ20" s="2">
        <f>(Input!AQ18*(0.1/0.2573)*1000)/1000</f>
        <v>0</v>
      </c>
      <c r="AR20" s="2">
        <f>(Input!AR18*(0.1/0.2573)*1000)/1000</f>
        <v>0</v>
      </c>
      <c r="AS20" s="2">
        <f>(Input!AS18*(0.1/0.2573)*1000)/1000</f>
        <v>0.13019821220365335</v>
      </c>
      <c r="AT20" s="2">
        <f>(Input!AT18*(0.1/0.2573)*1000)/1000</f>
        <v>2.7205596579867866E-3</v>
      </c>
      <c r="AU20" s="2">
        <f>(Input!AU18*(0.1/0.2573)*1000)/1000</f>
        <v>0.70734551107656451</v>
      </c>
      <c r="AV20" s="72">
        <v>0.84735000000000005</v>
      </c>
      <c r="AW20" s="72">
        <v>0.95113999999999999</v>
      </c>
      <c r="AX20" s="2">
        <f>(Input!AX18*(0.1/0.2573)*1000)/1000</f>
        <v>1.1270890011659544E-2</v>
      </c>
    </row>
    <row r="21" spans="1:50" x14ac:dyDescent="0.3">
      <c r="A21" s="2" t="s">
        <v>57</v>
      </c>
      <c r="B21" s="2">
        <f>(Input!B19*(0.1/0.255)*1000)/1000</f>
        <v>5.4627450980392158</v>
      </c>
      <c r="C21" s="2">
        <f>(Input!C19*(0.1/0.255)*1000)/1000</f>
        <v>184.50980392156862</v>
      </c>
      <c r="D21" s="2">
        <f>(Input!D19*(0.1/0.255)*1000)/1000</f>
        <v>1741.5686274509803</v>
      </c>
      <c r="E21" s="2">
        <f>(Input!E19*(0.1/0.255)*1000)/1000</f>
        <v>119.80392156862744</v>
      </c>
      <c r="F21" s="2">
        <f>(Input!F19*(0.1/0.255)*1000)/1000</f>
        <v>580.39215686274508</v>
      </c>
      <c r="G21" s="2">
        <f>(Input!G19*(0.1/0.255)*1000)/1000</f>
        <v>13466.666666666666</v>
      </c>
      <c r="H21" s="2">
        <f>(Input!H19*(0.1/0.255)*1000)/1000</f>
        <v>31686.274509803919</v>
      </c>
      <c r="I21" s="2">
        <f>(Input!I19*(0.1/0.255)*1000)/1000</f>
        <v>140.23529411764707</v>
      </c>
      <c r="J21" s="2">
        <f>(Input!J19*(0.1/0.255)*1000)/1000</f>
        <v>0.94235294117647062</v>
      </c>
      <c r="K21" s="2">
        <f>(Input!K19*(0.1/0.255)*1000)/1000</f>
        <v>0.85960784313725491</v>
      </c>
      <c r="L21" s="2">
        <f>(Input!L19*(0.1/0.255)*1000)/1000</f>
        <v>76.901960784313715</v>
      </c>
      <c r="M21" s="2">
        <f>(Input!M19*(0.1/0.255)*1000)/1000</f>
        <v>259.01960784313724</v>
      </c>
      <c r="N21" s="2">
        <f>(Input!N19*(0.1/0.255)*1000)/1000</f>
        <v>0.18627450980392155</v>
      </c>
      <c r="O21" s="2">
        <f>(Input!O19*(0.1/0.255)*1000)/1000</f>
        <v>0.78901960784313718</v>
      </c>
      <c r="P21" s="2">
        <f>(Input!P19*(0.1/0.255)*1000)/1000</f>
        <v>7.3647058823529417</v>
      </c>
      <c r="Q21" s="2">
        <f>(Input!Q19*(0.1/0.255)*1000)/1000</f>
        <v>14.043137254901961</v>
      </c>
      <c r="R21" s="2">
        <f>(Input!R19*(0.1/0.255)*1000)/1000</f>
        <v>0.50313725490196071</v>
      </c>
      <c r="S21" s="72">
        <v>0.89205999999999996</v>
      </c>
      <c r="T21" s="72">
        <v>0.90666000000000002</v>
      </c>
      <c r="U21" s="2">
        <f>(Input!U19*(0.1/0.255)*1000)/1000</f>
        <v>9.0196078431372548E-2</v>
      </c>
      <c r="V21" s="2">
        <f>(Input!V19*(0.1/0.255)*1000)/1000</f>
        <v>0.95019607843137255</v>
      </c>
      <c r="W21" s="2">
        <f>(Input!W19*(0.1/0.255)*1000)/1000</f>
        <v>5.7098039215686276</v>
      </c>
      <c r="X21" s="2">
        <f>(Input!X19*(0.1/0.255)*1000)/1000</f>
        <v>103.13725490196079</v>
      </c>
      <c r="Y21" s="2">
        <f>(Input!Y19*(0.1/0.255)*1000)/1000</f>
        <v>2.2352941176470589E-2</v>
      </c>
      <c r="Z21" s="2">
        <f>(Input!Z19*(0.1/0.255)*1000)/1000</f>
        <v>0.37176470588235294</v>
      </c>
      <c r="AA21" s="2">
        <f>(Input!AA19*(0.1/0.255)*1000)/1000</f>
        <v>1.1764705882352942E-3</v>
      </c>
      <c r="AB21" s="2">
        <f>(Input!AB19*(0.1/0.255)*1000)/1000</f>
        <v>3.9215686274509803E-3</v>
      </c>
      <c r="AC21" s="2">
        <f>(Input!AC19*(0.1/0.255)*1000)/1000</f>
        <v>5.6078431372549017E-2</v>
      </c>
      <c r="AD21" s="2">
        <f>(Input!AD19*(0.1/0.255)*1000)/1000</f>
        <v>1.5799999999999998</v>
      </c>
      <c r="AE21" s="2">
        <f>(Input!AE19*(0.1/0.255)*1000)/1000</f>
        <v>4.5098039215686274E-2</v>
      </c>
      <c r="AF21" s="72">
        <v>0.95147999999999999</v>
      </c>
      <c r="AG21" s="72">
        <v>1.03426</v>
      </c>
      <c r="AH21" s="2">
        <f>(Input!AH19*(0.1/0.2573)*1000)/1000</f>
        <v>5.5188495919160516E-2</v>
      </c>
      <c r="AI21" s="2">
        <f>(Input!AI19*(0.1/0.2573)*1000)/1000</f>
        <v>2.3319082782743882E-2</v>
      </c>
      <c r="AJ21" s="2">
        <f>(Input!AJ19*(0.1/0.2573)*1000)/1000</f>
        <v>7.7730275942479617E-4</v>
      </c>
      <c r="AK21" s="2">
        <f>(Input!AK19*(0.1/0.2573)*1000)/1000</f>
        <v>0.11193159735717063</v>
      </c>
      <c r="AL21" s="2">
        <f>(Input!AL19*(0.1/0.2573)*1000)/1000</f>
        <v>15.810338126700353</v>
      </c>
      <c r="AM21" s="2">
        <f>(Input!AM19*(0.1/0.2573)*1000)/1000</f>
        <v>6.6070734551107674E-3</v>
      </c>
      <c r="AN21" s="2">
        <f>(Input!AN19*(0.1/0.2573)*1000)/1000</f>
        <v>7.151185386708124E-2</v>
      </c>
      <c r="AO21" s="2">
        <f>(Input!AO19*(0.1/0.2573)*1000)/1000</f>
        <v>3.808783521181501E-2</v>
      </c>
      <c r="AP21" s="2">
        <f>(Input!AP19*(0.1/0.2573)*1000)/1000</f>
        <v>3.9253789350952202E-2</v>
      </c>
      <c r="AQ21" s="2">
        <f>(Input!AQ19*(0.1/0.2573)*1000)/1000</f>
        <v>0</v>
      </c>
      <c r="AR21" s="2">
        <f>(Input!AR19*(0.1/0.2573)*1000)/1000</f>
        <v>0</v>
      </c>
      <c r="AS21" s="2">
        <f>(Input!AS19*(0.1/0.2573)*1000)/1000</f>
        <v>0.37621453556160128</v>
      </c>
      <c r="AT21" s="2">
        <f>(Input!AT19*(0.1/0.2573)*1000)/1000</f>
        <v>1.9432568985619902E-3</v>
      </c>
      <c r="AU21" s="2">
        <f>(Input!AU19*(0.1/0.2573)*1000)/1000</f>
        <v>0.35406140691799465</v>
      </c>
      <c r="AV21" s="72">
        <v>0.84952000000000005</v>
      </c>
      <c r="AW21" s="72">
        <v>0.9607</v>
      </c>
      <c r="AX21" s="2">
        <f>(Input!AX19*(0.1/0.2573)*1000)/1000</f>
        <v>9.327633113097554E-3</v>
      </c>
    </row>
    <row r="22" spans="1:50" x14ac:dyDescent="0.3">
      <c r="A22" s="2" t="s">
        <v>58</v>
      </c>
      <c r="B22" s="2">
        <f>(Input!B20*(0.1/0.2526)*1000)/1000</f>
        <v>4.1567695961995259</v>
      </c>
      <c r="C22" s="2">
        <f>(Input!C20*(0.1/0.2526)*1000)/1000</f>
        <v>124.14885193982585</v>
      </c>
      <c r="D22" s="2">
        <f>(Input!D20*(0.1/0.2526)*1000)/1000</f>
        <v>1806.0174188440224</v>
      </c>
      <c r="E22" s="2">
        <f>(Input!E20*(0.1/0.2526)*1000)/1000</f>
        <v>168.01266825019795</v>
      </c>
      <c r="F22" s="2">
        <f>(Input!F20*(0.1/0.2526)*1000)/1000</f>
        <v>1049.4853523357087</v>
      </c>
      <c r="G22" s="2">
        <f>(Input!G20*(0.1/0.2526)*1000)/1000</f>
        <v>15621.536025336503</v>
      </c>
      <c r="H22" s="2">
        <f>(Input!H20*(0.1/0.2526)*1000)/1000</f>
        <v>26943.784639746638</v>
      </c>
      <c r="I22" s="2">
        <f>(Input!I20*(0.1/0.2526)*1000)/1000</f>
        <v>125.73238321456851</v>
      </c>
      <c r="J22" s="2">
        <f>(Input!J20*(0.1/0.2526)*1000)/1000</f>
        <v>0.948535233570863</v>
      </c>
      <c r="K22" s="2">
        <f>(Input!K20*(0.1/0.2526)*1000)/1000</f>
        <v>0.89707046714172622</v>
      </c>
      <c r="L22" s="2">
        <f>(Input!L20*(0.1/0.2526)*1000)/1000</f>
        <v>56.927949326999219</v>
      </c>
      <c r="M22" s="2">
        <f>(Input!M20*(0.1/0.2526)*1000)/1000</f>
        <v>344.65558194774354</v>
      </c>
      <c r="N22" s="2">
        <f>(Input!N20*(0.1/0.2526)*1000)/1000</f>
        <v>0.21298495645288998</v>
      </c>
      <c r="O22" s="2">
        <f>(Input!O20*(0.1/0.2526)*1000)/1000</f>
        <v>0.96476642913697552</v>
      </c>
      <c r="P22" s="2">
        <f>(Input!P20*(0.1/0.2526)*1000)/1000</f>
        <v>6.084718923198734</v>
      </c>
      <c r="Q22" s="2">
        <f>(Input!Q20*(0.1/0.2526)*1000)/1000</f>
        <v>9.1211401425178149</v>
      </c>
      <c r="R22" s="2">
        <f>(Input!R20*(0.1/0.2526)*1000)/1000</f>
        <v>0.55067300079176573</v>
      </c>
      <c r="S22" s="72">
        <v>0.88221000000000005</v>
      </c>
      <c r="T22" s="72">
        <v>0.88085999999999998</v>
      </c>
      <c r="U22" s="2">
        <f>(Input!U20*(0.1/0.2526)*1000)/1000</f>
        <v>9.9762470308788612E-2</v>
      </c>
      <c r="V22" s="2">
        <f>(Input!V20*(0.1/0.2526)*1000)/1000</f>
        <v>1.6638954869358673</v>
      </c>
      <c r="W22" s="2">
        <f>(Input!W20*(0.1/0.2526)*1000)/1000</f>
        <v>2.7474267616785437</v>
      </c>
      <c r="X22" s="2">
        <f>(Input!X20*(0.1/0.2526)*1000)/1000</f>
        <v>112.31195566112432</v>
      </c>
      <c r="Y22" s="2">
        <f>(Input!Y20*(0.1/0.2526)*1000)/1000</f>
        <v>3.0482977038796519E-2</v>
      </c>
      <c r="Z22" s="2">
        <f>(Input!Z20*(0.1/0.2526)*1000)/1000</f>
        <v>0.18487727632620748</v>
      </c>
      <c r="AA22" s="2">
        <f>(Input!AA20*(0.1/0.2526)*1000)/1000</f>
        <v>7.9176563737133826E-4</v>
      </c>
      <c r="AB22" s="2">
        <f>(Input!AB20*(0.1/0.2526)*1000)/1000</f>
        <v>3.9588281868566909E-3</v>
      </c>
      <c r="AC22" s="2">
        <f>(Input!AC20*(0.1/0.2526)*1000)/1000</f>
        <v>5.7007125890736345E-2</v>
      </c>
      <c r="AD22" s="2">
        <f>(Input!AD20*(0.1/0.2526)*1000)/1000</f>
        <v>1.5676959619952495</v>
      </c>
      <c r="AE22" s="2">
        <f>(Input!AE20*(0.1/0.2526)*1000)/1000</f>
        <v>3.9192399049881241E-2</v>
      </c>
      <c r="AF22" s="72">
        <v>0.93825999999999998</v>
      </c>
      <c r="AG22" s="72">
        <v>1.0141100000000001</v>
      </c>
      <c r="AH22" s="2">
        <f>(Input!AH20*(0.1/0.2573)*1000)/1000</f>
        <v>3.1092110376991843E-2</v>
      </c>
      <c r="AI22" s="2">
        <f>(Input!AI20*(0.1/0.2573)*1000)/1000</f>
        <v>2.642829382044307E-2</v>
      </c>
      <c r="AJ22" s="2">
        <f>(Input!AJ20*(0.1/0.2573)*1000)/1000</f>
        <v>1.5546055188495923E-3</v>
      </c>
      <c r="AK22" s="2">
        <f>(Input!AK20*(0.1/0.2573)*1000)/1000</f>
        <v>5.3633890400310934E-2</v>
      </c>
      <c r="AL22" s="2">
        <f>(Input!AL20*(0.1/0.2573)*1000)/1000</f>
        <v>17.057909055577152</v>
      </c>
      <c r="AM22" s="2">
        <f>(Input!AM20*(0.1/0.2573)*1000)/1000</f>
        <v>5.8297706956859704E-3</v>
      </c>
      <c r="AN22" s="2">
        <f>(Input!AN20*(0.1/0.2573)*1000)/1000</f>
        <v>5.790905557714731E-2</v>
      </c>
      <c r="AO22" s="2">
        <f>(Input!AO20*(0.1/0.2573)*1000)/1000</f>
        <v>5.7131752817722509E-2</v>
      </c>
      <c r="AP22" s="2">
        <f>(Input!AP20*(0.1/0.2573)*1000)/1000</f>
        <v>5.8686358336572104E-2</v>
      </c>
      <c r="AQ22" s="2">
        <f>(Input!AQ20*(0.1/0.2573)*1000)/1000</f>
        <v>0</v>
      </c>
      <c r="AR22" s="2">
        <f>(Input!AR20*(0.1/0.2573)*1000)/1000</f>
        <v>0</v>
      </c>
      <c r="AS22" s="2">
        <f>(Input!AS20*(0.1/0.2573)*1000)/1000</f>
        <v>0.18072289156626511</v>
      </c>
      <c r="AT22" s="2">
        <f>(Input!AT20*(0.1/0.2573)*1000)/1000</f>
        <v>2.3319082782743885E-3</v>
      </c>
      <c r="AU22" s="2">
        <f>(Input!AU20*(0.1/0.2573)*1000)/1000</f>
        <v>0.38243295763699969</v>
      </c>
      <c r="AV22" s="72">
        <v>0.84408000000000005</v>
      </c>
      <c r="AW22" s="72">
        <v>0.94930000000000003</v>
      </c>
      <c r="AX22" s="2">
        <f>(Input!AX20*(0.1/0.2573)*1000)/1000</f>
        <v>1.0493587252234747E-2</v>
      </c>
    </row>
    <row r="23" spans="1:50" x14ac:dyDescent="0.3">
      <c r="A23" s="2" t="s">
        <v>59</v>
      </c>
      <c r="B23" s="2">
        <f>(Input!B21*(0.1/0.2588)*1000)/1000</f>
        <v>4.3353941267387954</v>
      </c>
      <c r="C23" s="2">
        <f>(Input!C21*(0.1/0.2588)*1000)/1000</f>
        <v>129.25038639876354</v>
      </c>
      <c r="D23" s="2">
        <f>(Input!D21*(0.1/0.2588)*1000)/1000</f>
        <v>2639.8763523956727</v>
      </c>
      <c r="E23" s="2">
        <f>(Input!E21*(0.1/0.2588)*1000)/1000</f>
        <v>134.23493044822254</v>
      </c>
      <c r="F23" s="2">
        <f>(Input!F21*(0.1/0.2588)*1000)/1000</f>
        <v>1136.7851622874809</v>
      </c>
      <c r="G23" s="2">
        <f>(Input!G21*(0.1/0.2588)*1000)/1000</f>
        <v>19107.418856259665</v>
      </c>
      <c r="H23" s="2">
        <f>(Input!H21*(0.1/0.2588)*1000)/1000</f>
        <v>21058.732612055646</v>
      </c>
      <c r="I23" s="2">
        <f>(Input!I21*(0.1/0.2588)*1000)/1000</f>
        <v>95.517774343122113</v>
      </c>
      <c r="J23" s="2">
        <f>(Input!J21*(0.1/0.2588)*1000)/1000</f>
        <v>0.98029366306027832</v>
      </c>
      <c r="K23" s="2">
        <f>(Input!K21*(0.1/0.2588)*1000)/1000</f>
        <v>1.0618238021638333</v>
      </c>
      <c r="L23" s="2">
        <f>(Input!L21*(0.1/0.2588)*1000)/1000</f>
        <v>61.051004636785173</v>
      </c>
      <c r="M23" s="2">
        <f>(Input!M21*(0.1/0.2588)*1000)/1000</f>
        <v>290.10819165378678</v>
      </c>
      <c r="N23" s="2">
        <f>(Input!N21*(0.1/0.2588)*1000)/1000</f>
        <v>0.21676970633693979</v>
      </c>
      <c r="O23" s="2">
        <f>(Input!O21*(0.1/0.2588)*1000)/1000</f>
        <v>1.3102782071097374</v>
      </c>
      <c r="P23" s="2">
        <f>(Input!P21*(0.1/0.2588)*1000)/1000</f>
        <v>8.7017001545595072</v>
      </c>
      <c r="Q23" s="2">
        <f>(Input!Q21*(0.1/0.2588)*1000)/1000</f>
        <v>10.428902627511594</v>
      </c>
      <c r="R23" s="2">
        <f>(Input!R21*(0.1/0.2588)*1000)/1000</f>
        <v>0.36901081916537876</v>
      </c>
      <c r="S23" s="72">
        <v>0.87722</v>
      </c>
      <c r="T23" s="72">
        <v>0.89622999999999997</v>
      </c>
      <c r="U23" s="2">
        <f>(Input!U21*(0.1/0.2588)*1000)/1000</f>
        <v>8.8871715610510063E-2</v>
      </c>
      <c r="V23" s="2">
        <f>(Input!V21*(0.1/0.2588)*1000)/1000</f>
        <v>1.4984544049459045</v>
      </c>
      <c r="W23" s="2">
        <f>(Input!W21*(0.1/0.2588)*1000)/1000</f>
        <v>5.9698608964451321</v>
      </c>
      <c r="X23" s="2">
        <f>(Input!X21*(0.1/0.2588)*1000)/1000</f>
        <v>84.505409582689353</v>
      </c>
      <c r="Y23" s="2">
        <f>(Input!Y21*(0.1/0.2588)*1000)/1000</f>
        <v>1.8160741885625969E-2</v>
      </c>
      <c r="Z23" s="2">
        <f>(Input!Z21*(0.1/0.2588)*1000)/1000</f>
        <v>0.44938176197836177</v>
      </c>
      <c r="AA23" s="2">
        <f>(Input!AA21*(0.1/0.2588)*1000)/1000</f>
        <v>7.7279752704791365E-4</v>
      </c>
      <c r="AB23" s="2">
        <f>(Input!AB21*(0.1/0.2588)*1000)/1000</f>
        <v>3.0911901081916546E-3</v>
      </c>
      <c r="AC23" s="2">
        <f>(Input!AC21*(0.1/0.2588)*1000)/1000</f>
        <v>4.4822256568778994E-2</v>
      </c>
      <c r="AD23" s="2">
        <f>(Input!AD21*(0.1/0.2588)*1000)/1000</f>
        <v>1.3226429675425042</v>
      </c>
      <c r="AE23" s="2">
        <f>(Input!AE21*(0.1/0.2588)*1000)/1000</f>
        <v>2.8593508500772802E-2</v>
      </c>
      <c r="AF23" s="72">
        <v>0.93674000000000002</v>
      </c>
      <c r="AG23" s="72">
        <v>1.03932</v>
      </c>
      <c r="AH23" s="2">
        <f>(Input!AH21*(0.1/0.2573)*1000)/1000</f>
        <v>1.3214146910221535E-2</v>
      </c>
      <c r="AI23" s="2">
        <f>(Input!AI21*(0.1/0.2573)*1000)/1000</f>
        <v>1.98212203653323E-2</v>
      </c>
      <c r="AJ23" s="2">
        <f>(Input!AJ21*(0.1/0.2573)*1000)/1000</f>
        <v>3.8865137971239808E-4</v>
      </c>
      <c r="AK23" s="2">
        <f>(Input!AK21*(0.1/0.2573)*1000)/1000</f>
        <v>8.5503303536727568E-2</v>
      </c>
      <c r="AL23" s="2">
        <f>(Input!AL21*(0.1/0.2573)*1000)/1000</f>
        <v>11.154294597745825</v>
      </c>
      <c r="AM23" s="2">
        <f>(Input!AM21*(0.1/0.2573)*1000)/1000</f>
        <v>3.1092110376991847E-3</v>
      </c>
      <c r="AN23" s="2">
        <f>(Input!AN21*(0.1/0.2573)*1000)/1000</f>
        <v>3.6144578313253024E-2</v>
      </c>
      <c r="AO23" s="2">
        <f>(Input!AO21*(0.1/0.2573)*1000)/1000</f>
        <v>0.12942090944422854</v>
      </c>
      <c r="AP23" s="2">
        <f>(Input!AP21*(0.1/0.2573)*1000)/1000</f>
        <v>0.13486202876020212</v>
      </c>
      <c r="AQ23" s="2">
        <f>(Input!AQ21*(0.1/0.2573)*1000)/1000</f>
        <v>0</v>
      </c>
      <c r="AR23" s="2">
        <f>(Input!AR21*(0.1/0.2573)*1000)/1000</f>
        <v>0</v>
      </c>
      <c r="AS23" s="2">
        <f>(Input!AS21*(0.1/0.2573)*1000)/1000</f>
        <v>0.1169840652934318</v>
      </c>
      <c r="AT23" s="2">
        <f>(Input!AT21*(0.1/0.2573)*1000)/1000</f>
        <v>3.1092110376991847E-3</v>
      </c>
      <c r="AU23" s="2">
        <f>(Input!AU21*(0.1/0.2573)*1000)/1000</f>
        <v>1.090555771472989</v>
      </c>
      <c r="AV23" s="72">
        <v>0.85072000000000003</v>
      </c>
      <c r="AW23" s="72">
        <v>0.96508000000000005</v>
      </c>
      <c r="AX23" s="2">
        <f>(Input!AX21*(0.1/0.2573)*1000)/1000</f>
        <v>1.0104935872522348E-2</v>
      </c>
    </row>
    <row r="24" spans="1:50" x14ac:dyDescent="0.3">
      <c r="A24" s="2" t="s">
        <v>60</v>
      </c>
      <c r="B24" s="2">
        <f>(Input!B22*(0.1/0.2599)*1000)/1000</f>
        <v>4.3593689880723359</v>
      </c>
      <c r="C24" s="2">
        <f>(Input!C22*(0.1/0.2599)*1000)/1000</f>
        <v>108.77260484801847</v>
      </c>
      <c r="D24" s="2">
        <f>(Input!D22*(0.1/0.2599)*1000)/1000</f>
        <v>1567.5259715275106</v>
      </c>
      <c r="E24" s="2">
        <f>(Input!E22*(0.1/0.2599)*1000)/1000</f>
        <v>131.51212004617162</v>
      </c>
      <c r="F24" s="2">
        <f>(Input!F22*(0.1/0.2599)*1000)/1000</f>
        <v>1076.9526741054251</v>
      </c>
      <c r="G24" s="2">
        <f>(Input!G22*(0.1/0.2599)*1000)/1000</f>
        <v>24066.948826471722</v>
      </c>
      <c r="H24" s="2">
        <f>(Input!H22*(0.1/0.2599)*1000)/1000</f>
        <v>24509.426702577915</v>
      </c>
      <c r="I24" s="2">
        <f>(Input!I22*(0.1/0.2599)*1000)/1000</f>
        <v>113.38976529434397</v>
      </c>
      <c r="J24" s="2">
        <f>(Input!J22*(0.1/0.2599)*1000)/1000</f>
        <v>0.8711042708734128</v>
      </c>
      <c r="K24" s="2">
        <f>(Input!K22*(0.1/0.2599)*1000)/1000</f>
        <v>0.85494420931127357</v>
      </c>
      <c r="L24" s="2">
        <f>(Input!L22*(0.1/0.2599)*1000)/1000</f>
        <v>38.318584070796462</v>
      </c>
      <c r="M24" s="2">
        <f>(Input!M22*(0.1/0.2599)*1000)/1000</f>
        <v>317.0450173143517</v>
      </c>
      <c r="N24" s="2">
        <f>(Input!N22*(0.1/0.2599)*1000)/1000</f>
        <v>0.19238168526356292</v>
      </c>
      <c r="O24" s="2">
        <f>(Input!O22*(0.1/0.2599)*1000)/1000</f>
        <v>0.8022316275490573</v>
      </c>
      <c r="P24" s="2">
        <f>(Input!P22*(0.1/0.2599)*1000)/1000</f>
        <v>11.165833012697192</v>
      </c>
      <c r="Q24" s="2">
        <f>(Input!Q22*(0.1/0.2599)*1000)/1000</f>
        <v>15.078876490958061</v>
      </c>
      <c r="R24" s="2">
        <f>(Input!R22*(0.1/0.2599)*1000)/1000</f>
        <v>0.32897268180069256</v>
      </c>
      <c r="S24" s="72">
        <v>0.88185000000000002</v>
      </c>
      <c r="T24" s="72">
        <v>0.88702000000000003</v>
      </c>
      <c r="U24" s="2">
        <f>(Input!U22*(0.1/0.2599)*1000)/1000</f>
        <v>0.10196229318968836</v>
      </c>
      <c r="V24" s="2">
        <f>(Input!V22*(0.1/0.2599)*1000)/1000</f>
        <v>1.4328587918430167</v>
      </c>
      <c r="W24" s="2">
        <f>(Input!W22*(0.1/0.2599)*1000)/1000</f>
        <v>14.659484417083496</v>
      </c>
      <c r="X24" s="2">
        <f>(Input!X22*(0.1/0.2599)*1000)/1000</f>
        <v>70.527125817622164</v>
      </c>
      <c r="Y24" s="2">
        <f>(Input!Y22*(0.1/0.2599)*1000)/1000</f>
        <v>2.6933435936898811E-2</v>
      </c>
      <c r="Z24" s="2">
        <f>(Input!Z22*(0.1/0.2599)*1000)/1000</f>
        <v>0.54790303963062714</v>
      </c>
      <c r="AA24" s="2">
        <f>(Input!AA22*(0.1/0.2599)*1000)/1000</f>
        <v>3.8476337052712584E-4</v>
      </c>
      <c r="AB24" s="2">
        <f>(Input!AB22*(0.1/0.2599)*1000)/1000</f>
        <v>2.6933435936898811E-3</v>
      </c>
      <c r="AC24" s="2">
        <f>(Input!AC22*(0.1/0.2599)*1000)/1000</f>
        <v>3.6937283570604079E-2</v>
      </c>
      <c r="AD24" s="2">
        <f>(Input!AD22*(0.1/0.2599)*1000)/1000</f>
        <v>1.29318968834167</v>
      </c>
      <c r="AE24" s="2">
        <f>(Input!AE22*(0.1/0.2599)*1000)/1000</f>
        <v>2.1931512120046175E-2</v>
      </c>
      <c r="AF24" s="72">
        <v>0.93486000000000002</v>
      </c>
      <c r="AG24" s="72">
        <v>1.02156</v>
      </c>
      <c r="AH24" s="2">
        <f>(Input!AH22*(0.1/0.2573)*1000)/1000</f>
        <v>4.1197046249514195E-2</v>
      </c>
      <c r="AI24" s="2">
        <f>(Input!AI22*(0.1/0.2573)*1000)/1000</f>
        <v>0.12592304702681698</v>
      </c>
      <c r="AJ24" s="2">
        <f>(Input!AJ22*(0.1/0.2573)*1000)/1000</f>
        <v>1.1659541391371942E-3</v>
      </c>
      <c r="AK24" s="2">
        <f>(Input!AK22*(0.1/0.2573)*1000)/1000</f>
        <v>0.15157403808783523</v>
      </c>
      <c r="AL24" s="2">
        <f>(Input!AL22*(0.1/0.2573)*1000)/1000</f>
        <v>9.821220365332298</v>
      </c>
      <c r="AM24" s="2">
        <f>(Input!AM22*(0.1/0.2573)*1000)/1000</f>
        <v>4.663816556548777E-3</v>
      </c>
      <c r="AN24" s="2">
        <f>(Input!AN22*(0.1/0.2573)*1000)/1000</f>
        <v>4.2363000388651387E-2</v>
      </c>
      <c r="AO24" s="2">
        <f>(Input!AO22*(0.1/0.2573)*1000)/1000</f>
        <v>3.5367275553828223E-2</v>
      </c>
      <c r="AP24" s="2">
        <f>(Input!AP22*(0.1/0.2573)*1000)/1000</f>
        <v>3.6144578313253024E-2</v>
      </c>
      <c r="AQ24" s="2">
        <f>(Input!AQ22*(0.1/0.2573)*1000)/1000</f>
        <v>0</v>
      </c>
      <c r="AR24" s="2">
        <f>(Input!AR22*(0.1/0.2573)*1000)/1000</f>
        <v>0</v>
      </c>
      <c r="AS24" s="2">
        <f>(Input!AS22*(0.1/0.2573)*1000)/1000</f>
        <v>0.10921103769918386</v>
      </c>
      <c r="AT24" s="2">
        <f>(Input!AT22*(0.1/0.2573)*1000)/1000</f>
        <v>6.9957248348231646E-3</v>
      </c>
      <c r="AU24" s="2">
        <f>(Input!AU22*(0.1/0.2573)*1000)/1000</f>
        <v>0.60435289545277893</v>
      </c>
      <c r="AV24" s="72">
        <v>0.83738000000000001</v>
      </c>
      <c r="AW24" s="72">
        <v>0.95052999999999999</v>
      </c>
      <c r="AX24" s="2">
        <f>(Input!AX22*(0.1/0.2573)*1000)/1000</f>
        <v>1.204819277108434E-2</v>
      </c>
    </row>
    <row r="25" spans="1:50" x14ac:dyDescent="0.3">
      <c r="A25" s="2" t="s">
        <v>61</v>
      </c>
      <c r="B25" s="2">
        <f>(Input!B23*(0.1/0.254)*1000)/1000</f>
        <v>6.3700787401574805</v>
      </c>
      <c r="C25" s="2">
        <f>(Input!C23*(0.1/0.254)*1000)/1000</f>
        <v>184.09448818897638</v>
      </c>
      <c r="D25" s="2">
        <f>(Input!D23*(0.1/0.254)*1000)/1000</f>
        <v>2287.7952755905512</v>
      </c>
      <c r="E25" s="2">
        <f>(Input!E23*(0.1/0.254)*1000)/1000</f>
        <v>99.330708661417333</v>
      </c>
      <c r="F25" s="2">
        <f>(Input!F23*(0.1/0.254)*1000)/1000</f>
        <v>1339.7637795275591</v>
      </c>
      <c r="G25" s="2">
        <f>(Input!G23*(0.1/0.254)*1000)/1000</f>
        <v>19062.992125984252</v>
      </c>
      <c r="H25" s="2">
        <f>(Input!H23*(0.1/0.254)*1000)/1000</f>
        <v>24952.755905511811</v>
      </c>
      <c r="I25" s="2">
        <f>(Input!I23*(0.1/0.254)*1000)/1000</f>
        <v>109.84251968503938</v>
      </c>
      <c r="J25" s="2">
        <f>(Input!J23*(0.1/0.254)*1000)/1000</f>
        <v>0.77480314960629926</v>
      </c>
      <c r="K25" s="2">
        <f>(Input!K23*(0.1/0.254)*1000)/1000</f>
        <v>0.73740157480314961</v>
      </c>
      <c r="L25" s="2">
        <f>(Input!L23*(0.1/0.254)*1000)/1000</f>
        <v>64.527559055118118</v>
      </c>
      <c r="M25" s="2">
        <f>(Input!M23*(0.1/0.254)*1000)/1000</f>
        <v>198.97637795275591</v>
      </c>
      <c r="N25" s="2">
        <f>(Input!N23*(0.1/0.254)*1000)/1000</f>
        <v>0.27125984251968505</v>
      </c>
      <c r="O25" s="2">
        <f>(Input!O23*(0.1/0.254)*1000)/1000</f>
        <v>1.1795275590551182</v>
      </c>
      <c r="P25" s="2">
        <f>(Input!P23*(0.1/0.254)*1000)/1000</f>
        <v>5.0314960629921259</v>
      </c>
      <c r="Q25" s="2">
        <f>(Input!Q23*(0.1/0.254)*1000)/1000</f>
        <v>5.4330708661417333</v>
      </c>
      <c r="R25" s="2">
        <f>(Input!R23*(0.1/0.254)*1000)/1000</f>
        <v>0.60393700787401583</v>
      </c>
      <c r="S25" s="72">
        <v>0.89566000000000001</v>
      </c>
      <c r="T25" s="72">
        <v>0.90444999999999998</v>
      </c>
      <c r="U25" s="2">
        <f>(Input!U23*(0.1/0.254)*1000)/1000</f>
        <v>5.0393700787401581E-2</v>
      </c>
      <c r="V25" s="2">
        <f>(Input!V23*(0.1/0.254)*1000)/1000</f>
        <v>2.2059055118110238</v>
      </c>
      <c r="W25" s="2">
        <f>(Input!W23*(0.1/0.254)*1000)/1000</f>
        <v>5.3346456692913389</v>
      </c>
      <c r="X25" s="2">
        <f>(Input!X23*(0.1/0.254)*1000)/1000</f>
        <v>126.81102362204726</v>
      </c>
      <c r="Y25" s="2">
        <f>(Input!Y23*(0.1/0.254)*1000)/1000</f>
        <v>1.3385826771653545E-2</v>
      </c>
      <c r="Z25" s="2">
        <f>(Input!Z23*(0.1/0.254)*1000)/1000</f>
        <v>0.70944881889763789</v>
      </c>
      <c r="AA25" s="2">
        <f>(Input!AA23*(0.1/0.254)*1000)/1000</f>
        <v>1.1811023622047244E-3</v>
      </c>
      <c r="AB25" s="2">
        <f>(Input!AB23*(0.1/0.254)*1000)/1000</f>
        <v>4.7244094488188976E-3</v>
      </c>
      <c r="AC25" s="2">
        <f>(Input!AC23*(0.1/0.254)*1000)/1000</f>
        <v>6.7716535433070865E-2</v>
      </c>
      <c r="AD25" s="2">
        <f>(Input!AD23*(0.1/0.254)*1000)/1000</f>
        <v>1.4330708661417324</v>
      </c>
      <c r="AE25" s="2">
        <f>(Input!AE23*(0.1/0.254)*1000)/1000</f>
        <v>4.0157480314960629E-2</v>
      </c>
      <c r="AF25" s="72">
        <v>0.93381000000000003</v>
      </c>
      <c r="AG25" s="72">
        <v>1.03477</v>
      </c>
      <c r="AH25" s="2">
        <f>(Input!AH23*(0.1/0.2573)*1000)/1000</f>
        <v>-5.0524679362611742E-3</v>
      </c>
      <c r="AI25" s="2">
        <f>(Input!AI23*(0.1/0.2573)*1000)/1000</f>
        <v>-5.0524679362611742E-3</v>
      </c>
      <c r="AJ25" s="2">
        <f>(Input!AJ23*(0.1/0.2573)*1000)/1000</f>
        <v>1.1659541391371942E-3</v>
      </c>
      <c r="AK25" s="2">
        <f>(Input!AK23*(0.1/0.2573)*1000)/1000</f>
        <v>6.645938593082007E-2</v>
      </c>
      <c r="AL25" s="2">
        <f>(Input!AL23*(0.1/0.2573)*1000)/1000</f>
        <v>19.424795958025655</v>
      </c>
      <c r="AM25" s="2">
        <f>(Input!AM23*(0.1/0.2573)*1000)/1000</f>
        <v>2.7205596579867866E-3</v>
      </c>
      <c r="AN25" s="2">
        <f>(Input!AN23*(0.1/0.2573)*1000)/1000</f>
        <v>8.6669257675864766E-2</v>
      </c>
      <c r="AO25" s="2">
        <f>(Input!AO23*(0.1/0.2573)*1000)/1000</f>
        <v>0.11193159735717063</v>
      </c>
      <c r="AP25" s="2">
        <f>(Input!AP23*(0.1/0.2573)*1000)/1000</f>
        <v>0.11542945977458222</v>
      </c>
      <c r="AQ25" s="2">
        <f>(Input!AQ23*(0.1/0.2573)*1000)/1000</f>
        <v>0</v>
      </c>
      <c r="AR25" s="2">
        <f>(Input!AR23*(0.1/0.2573)*1000)/1000</f>
        <v>0</v>
      </c>
      <c r="AS25" s="2">
        <f>(Input!AS23*(0.1/0.2573)*1000)/1000</f>
        <v>0.14729887291099886</v>
      </c>
      <c r="AT25" s="2">
        <f>(Input!AT23*(0.1/0.2573)*1000)/1000</f>
        <v>2.3319082782743885E-3</v>
      </c>
      <c r="AU25" s="2">
        <f>(Input!AU23*(0.1/0.2573)*1000)/1000</f>
        <v>0.25417800233190835</v>
      </c>
      <c r="AV25" s="72">
        <v>0.85272999999999999</v>
      </c>
      <c r="AW25" s="72">
        <v>0.97296000000000005</v>
      </c>
      <c r="AX25" s="2">
        <f>(Input!AX23*(0.1/0.2573)*1000)/1000</f>
        <v>6.2184220753983693E-3</v>
      </c>
    </row>
    <row r="26" spans="1:50" x14ac:dyDescent="0.3">
      <c r="A26" s="2" t="s">
        <v>62</v>
      </c>
      <c r="B26" s="2">
        <f>(Input!B24*(0.1/0.257)*1000)/1000</f>
        <v>7.571984435797666</v>
      </c>
      <c r="C26" s="2">
        <f>(Input!C24*(0.1/0.257)*1000)/1000</f>
        <v>197.00389105058366</v>
      </c>
      <c r="D26" s="2">
        <f>(Input!D24*(0.1/0.257)*1000)/1000</f>
        <v>2470.8171206225679</v>
      </c>
      <c r="E26" s="2">
        <f>(Input!E24*(0.1/0.257)*1000)/1000</f>
        <v>88.365758754863819</v>
      </c>
      <c r="F26" s="2">
        <f>(Input!F24*(0.1/0.257)*1000)/1000</f>
        <v>1074.31906614786</v>
      </c>
      <c r="G26" s="2">
        <f>(Input!G24*(0.1/0.257)*1000)/1000</f>
        <v>18198.443579766536</v>
      </c>
      <c r="H26" s="2">
        <f>(Input!H24*(0.1/0.257)*1000)/1000</f>
        <v>26743.190661478598</v>
      </c>
      <c r="I26" s="2">
        <f>(Input!I24*(0.1/0.257)*1000)/1000</f>
        <v>117.431906614786</v>
      </c>
      <c r="J26" s="2">
        <f>(Input!J24*(0.1/0.257)*1000)/1000</f>
        <v>1.0206225680933854</v>
      </c>
      <c r="K26" s="2">
        <f>(Input!K24*(0.1/0.257)*1000)/1000</f>
        <v>0.97548638132295729</v>
      </c>
      <c r="L26" s="2">
        <f>(Input!L24*(0.1/0.257)*1000)/1000</f>
        <v>70.583657587548643</v>
      </c>
      <c r="M26" s="2">
        <f>(Input!M24*(0.1/0.257)*1000)/1000</f>
        <v>212.45136186770429</v>
      </c>
      <c r="N26" s="2">
        <f>(Input!N24*(0.1/0.257)*1000)/1000</f>
        <v>0.2424124513618677</v>
      </c>
      <c r="O26" s="2">
        <f>(Input!O24*(0.1/0.257)*1000)/1000</f>
        <v>0.80933852140077822</v>
      </c>
      <c r="P26" s="2">
        <f>(Input!P24*(0.1/0.257)*1000)/1000</f>
        <v>6.5214007782101167</v>
      </c>
      <c r="Q26" s="2">
        <f>(Input!Q24*(0.1/0.257)*1000)/1000</f>
        <v>5.3929961089494158</v>
      </c>
      <c r="R26" s="2">
        <f>(Input!R24*(0.1/0.257)*1000)/1000</f>
        <v>0.45136186770428011</v>
      </c>
      <c r="S26" s="72">
        <v>0.89556999999999998</v>
      </c>
      <c r="T26" s="72">
        <v>0.92296999999999996</v>
      </c>
      <c r="U26" s="2">
        <f>(Input!U24*(0.1/0.257)*1000)/1000</f>
        <v>7.5097276264591437E-2</v>
      </c>
      <c r="V26" s="2">
        <f>(Input!V24*(0.1/0.257)*1000)/1000</f>
        <v>3.6062256809338527</v>
      </c>
      <c r="W26" s="2">
        <f>(Input!W24*(0.1/0.257)*1000)/1000</f>
        <v>7.354085603112841</v>
      </c>
      <c r="X26" s="2">
        <f>(Input!X24*(0.1/0.257)*1000)/1000</f>
        <v>145.13618677042803</v>
      </c>
      <c r="Y26" s="2">
        <f>(Input!Y24*(0.1/0.257)*1000)/1000</f>
        <v>1.7120622568093383E-2</v>
      </c>
      <c r="Z26" s="2">
        <f>(Input!Z24*(0.1/0.257)*1000)/1000</f>
        <v>0.86031128404669255</v>
      </c>
      <c r="AA26" s="2">
        <f>(Input!AA24*(0.1/0.257)*1000)/1000</f>
        <v>1.1673151750972762E-3</v>
      </c>
      <c r="AB26" s="2">
        <f>(Input!AB24*(0.1/0.257)*1000)/1000</f>
        <v>5.4474708171206232E-3</v>
      </c>
      <c r="AC26" s="2">
        <f>(Input!AC24*(0.1/0.257)*1000)/1000</f>
        <v>8.1322957198443596E-2</v>
      </c>
      <c r="AD26" s="2">
        <f>(Input!AD24*(0.1/0.257)*1000)/1000</f>
        <v>1.4221789883268483</v>
      </c>
      <c r="AE26" s="2">
        <f>(Input!AE24*(0.1/0.257)*1000)/1000</f>
        <v>2.9571984435797664E-2</v>
      </c>
      <c r="AF26" s="72">
        <v>0.95220000000000005</v>
      </c>
      <c r="AG26" s="72">
        <v>1.0706800000000001</v>
      </c>
      <c r="AH26" s="2">
        <f>(Input!AH24*(0.1/0.2573)*1000)/1000</f>
        <v>2.0209871745044697E-2</v>
      </c>
      <c r="AI26" s="2">
        <f>(Input!AI24*(0.1/0.2573)*1000)/1000</f>
        <v>-4.275165176836378E-3</v>
      </c>
      <c r="AJ26" s="2">
        <f>(Input!AJ24*(0.1/0.2573)*1000)/1000</f>
        <v>1.9432568985619902E-3</v>
      </c>
      <c r="AK26" s="2">
        <f>(Input!AK24*(0.1/0.2573)*1000)/1000</f>
        <v>8.7057909055577171E-2</v>
      </c>
      <c r="AL26" s="2">
        <f>(Input!AL24*(0.1/0.2573)*1000)/1000</f>
        <v>14.418966187329968</v>
      </c>
      <c r="AM26" s="2">
        <f>(Input!AM24*(0.1/0.2573)*1000)/1000</f>
        <v>2.7205596579867866E-3</v>
      </c>
      <c r="AN26" s="2">
        <f>(Input!AN24*(0.1/0.2573)*1000)/1000</f>
        <v>7.0734551107656446E-2</v>
      </c>
      <c r="AO26" s="2">
        <f>(Input!AO24*(0.1/0.2573)*1000)/1000</f>
        <v>0.22036533229692967</v>
      </c>
      <c r="AP26" s="2">
        <f>(Input!AP24*(0.1/0.2573)*1000)/1000</f>
        <v>0.22036533229692967</v>
      </c>
      <c r="AQ26" s="2">
        <f>(Input!AQ24*(0.1/0.2573)*1000)/1000</f>
        <v>0</v>
      </c>
      <c r="AR26" s="2">
        <f>(Input!AR24*(0.1/0.2573)*1000)/1000</f>
        <v>0</v>
      </c>
      <c r="AS26" s="2">
        <f>(Input!AS24*(0.1/0.2573)*1000)/1000</f>
        <v>0.11737271667314421</v>
      </c>
      <c r="AT26" s="2">
        <f>(Input!AT24*(0.1/0.2573)*1000)/1000</f>
        <v>3.1092110376991847E-3</v>
      </c>
      <c r="AU26" s="2">
        <f>(Input!AU24*(0.1/0.2573)*1000)/1000</f>
        <v>0.51340847260007783</v>
      </c>
      <c r="AV26" s="72">
        <v>0.85794000000000004</v>
      </c>
      <c r="AW26" s="72">
        <v>0.98824000000000001</v>
      </c>
      <c r="AX26" s="2">
        <f>(Input!AX24*(0.1/0.2573)*1000)/1000</f>
        <v>7.7730275942479608E-3</v>
      </c>
    </row>
    <row r="27" spans="1:50" x14ac:dyDescent="0.3">
      <c r="A27" s="2" t="s">
        <v>63</v>
      </c>
      <c r="B27" s="2">
        <f>(Input!B25*(0.1/0.2509)*1000)/1000</f>
        <v>5.8788361897170187</v>
      </c>
      <c r="C27" s="2">
        <f>(Input!C25*(0.1/0.2509)*1000)/1000</f>
        <v>94.141092068553192</v>
      </c>
      <c r="D27" s="2">
        <f>(Input!D25*(0.1/0.2509)*1000)/1000</f>
        <v>2005.1813471502589</v>
      </c>
      <c r="E27" s="2">
        <f>(Input!E25*(0.1/0.2509)*1000)/1000</f>
        <v>131.36707851733757</v>
      </c>
      <c r="F27" s="2">
        <f>(Input!F25*(0.1/0.2509)*1000)/1000</f>
        <v>1304.1052212036668</v>
      </c>
      <c r="G27" s="2">
        <f>(Input!G25*(0.1/0.2509)*1000)/1000</f>
        <v>25599.840573933838</v>
      </c>
      <c r="H27" s="2">
        <f>(Input!H25*(0.1/0.2509)*1000)/1000</f>
        <v>23391.789557592667</v>
      </c>
      <c r="I27" s="2">
        <f>(Input!I25*(0.1/0.2509)*1000)/1000</f>
        <v>108.96771622160222</v>
      </c>
      <c r="J27" s="2">
        <f>(Input!J25*(0.1/0.2509)*1000)/1000</f>
        <v>1.1259465922678358</v>
      </c>
      <c r="K27" s="2">
        <f>(Input!K25*(0.1/0.2509)*1000)/1000</f>
        <v>0.88082901554404136</v>
      </c>
      <c r="L27" s="2">
        <f>(Input!L25*(0.1/0.2509)*1000)/1000</f>
        <v>74.451972897568751</v>
      </c>
      <c r="M27" s="2">
        <f>(Input!M25*(0.1/0.2509)*1000)/1000</f>
        <v>271.66201673973694</v>
      </c>
      <c r="N27" s="2">
        <f>(Input!N25*(0.1/0.2509)*1000)/1000</f>
        <v>0.47588680749302503</v>
      </c>
      <c r="O27" s="2">
        <f>(Input!O25*(0.1/0.2509)*1000)/1000</f>
        <v>2.2443204463929858</v>
      </c>
      <c r="P27" s="2">
        <f>(Input!P25*(0.1/0.2509)*1000)/1000</f>
        <v>9.8764447987245916</v>
      </c>
      <c r="Q27" s="2">
        <f>(Input!Q25*(0.1/0.2509)*1000)/1000</f>
        <v>4.0573933838182539</v>
      </c>
      <c r="R27" s="2">
        <f>(Input!R25*(0.1/0.2509)*1000)/1000</f>
        <v>0.67477082502989238</v>
      </c>
      <c r="S27" s="72">
        <v>0.88712000000000002</v>
      </c>
      <c r="T27" s="72">
        <v>0.89744999999999997</v>
      </c>
      <c r="U27" s="2">
        <f>(Input!U25*(0.1/0.2509)*1000)/1000</f>
        <v>7.094459944200876E-2</v>
      </c>
      <c r="V27" s="2">
        <f>(Input!V25*(0.1/0.2509)*1000)/1000</f>
        <v>5.579912315663611</v>
      </c>
      <c r="W27" s="2">
        <f>(Input!W25*(0.1/0.2509)*1000)/1000</f>
        <v>8.9238740534077312</v>
      </c>
      <c r="X27" s="2">
        <f>(Input!X25*(0.1/0.2509)*1000)/1000</f>
        <v>143.04503786369071</v>
      </c>
      <c r="Y27" s="2">
        <f>(Input!Y25*(0.1/0.2509)*1000)/1000</f>
        <v>2.3515344758868077E-2</v>
      </c>
      <c r="Z27" s="2">
        <f>(Input!Z25*(0.1/0.2509)*1000)/1000</f>
        <v>0.53128736548425659</v>
      </c>
      <c r="AA27" s="2">
        <f>(Input!AA25*(0.1/0.2509)*1000)/1000</f>
        <v>7.9713033080908722E-4</v>
      </c>
      <c r="AB27" s="2">
        <f>(Input!AB25*(0.1/0.2509)*1000)/1000</f>
        <v>5.5799123156636109E-3</v>
      </c>
      <c r="AC27" s="2">
        <f>(Input!AC25*(0.1/0.2509)*1000)/1000</f>
        <v>7.6125946592267832E-2</v>
      </c>
      <c r="AD27" s="2">
        <f>(Input!AD25*(0.1/0.2509)*1000)/1000</f>
        <v>1.3216420884814666</v>
      </c>
      <c r="AE27" s="2">
        <f>(Input!AE25*(0.1/0.2509)*1000)/1000</f>
        <v>3.7465125548027098E-2</v>
      </c>
      <c r="AF27" s="72">
        <v>0.93849000000000005</v>
      </c>
      <c r="AG27" s="72">
        <v>1.04233</v>
      </c>
      <c r="AH27" s="2">
        <f>(Input!AH25*(0.1/0.2573)*1000)/1000</f>
        <v>5.0524679362611742E-3</v>
      </c>
      <c r="AI27" s="2">
        <f>(Input!AI25*(0.1/0.2573)*1000)/1000</f>
        <v>-4.663816556548777E-3</v>
      </c>
      <c r="AJ27" s="2">
        <f>(Input!AJ25*(0.1/0.2573)*1000)/1000</f>
        <v>0</v>
      </c>
      <c r="AK27" s="2">
        <f>(Input!AK25*(0.1/0.2573)*1000)/1000</f>
        <v>7.3066459385930829E-2</v>
      </c>
      <c r="AL27" s="2">
        <f>(Input!AL25*(0.1/0.2573)*1000)/1000</f>
        <v>21.484648270501363</v>
      </c>
      <c r="AM27" s="2">
        <f>(Input!AM25*(0.1/0.2573)*1000)/1000</f>
        <v>5.0524679362611742E-3</v>
      </c>
      <c r="AN27" s="2">
        <f>(Input!AN25*(0.1/0.2573)*1000)/1000</f>
        <v>8.6669257675864766E-2</v>
      </c>
      <c r="AO27" s="2">
        <f>(Input!AO25*(0.1/0.2573)*1000)/1000</f>
        <v>0.16012436844150799</v>
      </c>
      <c r="AP27" s="2">
        <f>(Input!AP25*(0.1/0.2573)*1000)/1000</f>
        <v>0.16401088223863197</v>
      </c>
      <c r="AQ27" s="2">
        <f>(Input!AQ25*(0.1/0.2573)*1000)/1000</f>
        <v>0</v>
      </c>
      <c r="AR27" s="2">
        <f>(Input!AR25*(0.1/0.2573)*1000)/1000</f>
        <v>0</v>
      </c>
      <c r="AS27" s="2">
        <f>(Input!AS25*(0.1/0.2573)*1000)/1000</f>
        <v>0.12553439564710459</v>
      </c>
      <c r="AT27" s="2">
        <f>(Input!AT25*(0.1/0.2573)*1000)/1000</f>
        <v>2.7205596579867866E-3</v>
      </c>
      <c r="AU27" s="2">
        <f>(Input!AU25*(0.1/0.2573)*1000)/1000</f>
        <v>0.28216090167120095</v>
      </c>
      <c r="AV27" s="72">
        <v>0.84941999999999995</v>
      </c>
      <c r="AW27" s="72">
        <v>0.97421000000000002</v>
      </c>
      <c r="AX27" s="2">
        <f>(Input!AX25*(0.1/0.2573)*1000)/1000</f>
        <v>8.5503303536727561E-3</v>
      </c>
    </row>
    <row r="28" spans="1:50" x14ac:dyDescent="0.3">
      <c r="A28" s="2" t="s">
        <v>64</v>
      </c>
      <c r="B28" s="2">
        <f>(Input!B26*(0.1/0.2542)*1000)/1000</f>
        <v>4.5357985837922898</v>
      </c>
      <c r="C28" s="2">
        <f>(Input!C26*(0.1/0.2542)*1000)/1000</f>
        <v>132.1400472069237</v>
      </c>
      <c r="D28" s="2">
        <f>(Input!D26*(0.1/0.2542)*1000)/1000</f>
        <v>1905.9795436664047</v>
      </c>
      <c r="E28" s="2">
        <f>(Input!E26*(0.1/0.2542)*1000)/1000</f>
        <v>108.22187254130608</v>
      </c>
      <c r="F28" s="2">
        <f>(Input!F26*(0.1/0.2542)*1000)/1000</f>
        <v>1203.3831628638868</v>
      </c>
      <c r="G28" s="2">
        <f>(Input!G26*(0.1/0.2542)*1000)/1000</f>
        <v>19701.022816679782</v>
      </c>
      <c r="H28" s="2">
        <f>(Input!H26*(0.1/0.2542)*1000)/1000</f>
        <v>21896.144767899295</v>
      </c>
      <c r="I28" s="2">
        <f>(Input!I26*(0.1/0.2542)*1000)/1000</f>
        <v>100.11801730920536</v>
      </c>
      <c r="J28" s="2">
        <f>(Input!J26*(0.1/0.2542)*1000)/1000</f>
        <v>0.93115656963021254</v>
      </c>
      <c r="K28" s="2">
        <f>(Input!K26*(0.1/0.2542)*1000)/1000</f>
        <v>0.75845790715971684</v>
      </c>
      <c r="L28" s="2">
        <f>(Input!L26*(0.1/0.2542)*1000)/1000</f>
        <v>60.149488591660116</v>
      </c>
      <c r="M28" s="2">
        <f>(Input!M26*(0.1/0.2542)*1000)/1000</f>
        <v>230.60582218725418</v>
      </c>
      <c r="N28" s="2">
        <f>(Input!N26*(0.1/0.2542)*1000)/1000</f>
        <v>0.31077891424075538</v>
      </c>
      <c r="O28" s="2">
        <f>(Input!O26*(0.1/0.2542)*1000)/1000</f>
        <v>1.1553894571203778</v>
      </c>
      <c r="P28" s="2">
        <f>(Input!P26*(0.1/0.2542)*1000)/1000</f>
        <v>5.8575924468922116</v>
      </c>
      <c r="Q28" s="2">
        <f>(Input!Q26*(0.1/0.2542)*1000)/1000</f>
        <v>4.2604248623131395</v>
      </c>
      <c r="R28" s="2">
        <f>(Input!R26*(0.1/0.2542)*1000)/1000</f>
        <v>0.62273800157356418</v>
      </c>
      <c r="S28" s="72">
        <v>0.88970000000000005</v>
      </c>
      <c r="T28" s="72">
        <v>0.90917000000000003</v>
      </c>
      <c r="U28" s="2">
        <f>(Input!U26*(0.1/0.2542)*1000)/1000</f>
        <v>6.530291109362707E-2</v>
      </c>
      <c r="V28" s="2">
        <f>(Input!V26*(0.1/0.2542)*1000)/1000</f>
        <v>1.2541306058221875</v>
      </c>
      <c r="W28" s="2">
        <f>(Input!W26*(0.1/0.2542)*1000)/1000</f>
        <v>7.7380015735641239</v>
      </c>
      <c r="X28" s="2">
        <f>(Input!X26*(0.1/0.2542)*1000)/1000</f>
        <v>99.291896144767918</v>
      </c>
      <c r="Y28" s="2">
        <f>(Input!Y26*(0.1/0.2542)*1000)/1000</f>
        <v>1.4162077104642014E-2</v>
      </c>
      <c r="Z28" s="2">
        <f>(Input!Z26*(0.1/0.2542)*1000)/1000</f>
        <v>0.27065302911093625</v>
      </c>
      <c r="AA28" s="2">
        <f>(Input!AA26*(0.1/0.2542)*1000)/1000</f>
        <v>7.8678206136900089E-4</v>
      </c>
      <c r="AB28" s="2">
        <f>(Input!AB26*(0.1/0.2542)*1000)/1000</f>
        <v>3.5405192761605035E-3</v>
      </c>
      <c r="AC28" s="2">
        <f>(Input!AC26*(0.1/0.2542)*1000)/1000</f>
        <v>5.2321007081038561E-2</v>
      </c>
      <c r="AD28" s="2">
        <f>(Input!AD26*(0.1/0.2542)*1000)/1000</f>
        <v>1.3296616837136115</v>
      </c>
      <c r="AE28" s="2">
        <f>(Input!AE26*(0.1/0.2542)*1000)/1000</f>
        <v>1.8489378442171519E-2</v>
      </c>
      <c r="AF28" s="72">
        <v>0.92976999999999999</v>
      </c>
      <c r="AG28" s="72">
        <v>1.0515000000000001</v>
      </c>
      <c r="AH28" s="2">
        <f>(Input!AH26*(0.1/0.2573)*1000)/1000</f>
        <v>-3.8865137971239804E-3</v>
      </c>
      <c r="AI28" s="2">
        <f>(Input!AI26*(0.1/0.2573)*1000)/1000</f>
        <v>-5.8297706956859704E-3</v>
      </c>
      <c r="AJ28" s="2">
        <f>(Input!AJ26*(0.1/0.2573)*1000)/1000</f>
        <v>2.3319082782743885E-3</v>
      </c>
      <c r="AK28" s="2">
        <f>(Input!AK26*(0.1/0.2573)*1000)/1000</f>
        <v>6.1795569374271289E-2</v>
      </c>
      <c r="AL28" s="2">
        <f>(Input!AL26*(0.1/0.2573)*1000)/1000</f>
        <v>19.825106879129425</v>
      </c>
      <c r="AM28" s="2">
        <f>(Input!AM26*(0.1/0.2573)*1000)/1000</f>
        <v>2.7205596579867866E-3</v>
      </c>
      <c r="AN28" s="2">
        <f>(Input!AN26*(0.1/0.2573)*1000)/1000</f>
        <v>6.4904780411970481E-2</v>
      </c>
      <c r="AO28" s="2">
        <f>(Input!AO26*(0.1/0.2573)*1000)/1000</f>
        <v>7.8118927322192014E-2</v>
      </c>
      <c r="AP28" s="2">
        <f>(Input!AP26*(0.1/0.2573)*1000)/1000</f>
        <v>7.773027594247961E-2</v>
      </c>
      <c r="AQ28" s="2">
        <f>(Input!AQ26*(0.1/0.2573)*1000)/1000</f>
        <v>0</v>
      </c>
      <c r="AR28" s="2">
        <f>(Input!AR26*(0.1/0.2573)*1000)/1000</f>
        <v>0</v>
      </c>
      <c r="AS28" s="2">
        <f>(Input!AS26*(0.1/0.2573)*1000)/1000</f>
        <v>0.12592304702681698</v>
      </c>
      <c r="AT28" s="2">
        <f>(Input!AT26*(0.1/0.2573)*1000)/1000</f>
        <v>3.4978624174115823E-3</v>
      </c>
      <c r="AU28" s="2">
        <f>(Input!AU26*(0.1/0.2573)*1000)/1000</f>
        <v>0.34123591138748549</v>
      </c>
      <c r="AV28" s="72">
        <v>0.87561</v>
      </c>
      <c r="AW28" s="72">
        <v>0.99072000000000005</v>
      </c>
      <c r="AX28" s="2">
        <f>(Input!AX26*(0.1/0.2573)*1000)/1000</f>
        <v>6.6070734551107674E-3</v>
      </c>
    </row>
    <row r="29" spans="1:50" x14ac:dyDescent="0.3">
      <c r="A29" s="2" t="s">
        <v>65</v>
      </c>
      <c r="B29" s="2">
        <f>(Input!B27*(0.1/0.2579)*1000)/1000</f>
        <v>5.8200853043815428</v>
      </c>
      <c r="C29" s="2">
        <f>(Input!C27*(0.1/0.2579)*1000)/1000</f>
        <v>138.03799922450563</v>
      </c>
      <c r="D29" s="2">
        <f>(Input!D27*(0.1/0.2579)*1000)/1000</f>
        <v>1709.1896083753393</v>
      </c>
      <c r="E29" s="2">
        <f>(Input!E27*(0.1/0.2579)*1000)/1000</f>
        <v>82.435052345870488</v>
      </c>
      <c r="F29" s="2">
        <f>(Input!F27*(0.1/0.2579)*1000)/1000</f>
        <v>1117.8751454051958</v>
      </c>
      <c r="G29" s="2">
        <f>(Input!G27*(0.1/0.2579)*1000)/1000</f>
        <v>25498.255137650252</v>
      </c>
      <c r="H29" s="2">
        <f>(Input!H27*(0.1/0.2579)*1000)/1000</f>
        <v>24788.677782086081</v>
      </c>
      <c r="I29" s="2">
        <f>(Input!I27*(0.1/0.2579)*1000)/1000</f>
        <v>110.35284994183793</v>
      </c>
      <c r="J29" s="2">
        <f>(Input!J27*(0.1/0.2579)*1000)/1000</f>
        <v>1.0918960837533924</v>
      </c>
      <c r="K29" s="2">
        <f>(Input!K27*(0.1/0.2579)*1000)/1000</f>
        <v>0.93214424195424572</v>
      </c>
      <c r="L29" s="2">
        <f>(Input!L27*(0.1/0.2579)*1000)/1000</f>
        <v>63.202791779759593</v>
      </c>
      <c r="M29" s="2">
        <f>(Input!M27*(0.1/0.2579)*1000)/1000</f>
        <v>195.88987979837145</v>
      </c>
      <c r="N29" s="2">
        <f>(Input!N27*(0.1/0.2579)*1000)/1000</f>
        <v>0.22450562233423804</v>
      </c>
      <c r="O29" s="2">
        <f>(Input!O27*(0.1/0.2579)*1000)/1000</f>
        <v>0.76308646762310972</v>
      </c>
      <c r="P29" s="2">
        <f>(Input!P27*(0.1/0.2579)*1000)/1000</f>
        <v>4.8507173322993404</v>
      </c>
      <c r="Q29" s="2">
        <f>(Input!Q27*(0.1/0.2579)*1000)/1000</f>
        <v>5.905389685924777</v>
      </c>
      <c r="R29" s="2">
        <f>(Input!R27*(0.1/0.2579)*1000)/1000</f>
        <v>0.68165955796820477</v>
      </c>
      <c r="S29" s="72">
        <v>0.87300999999999995</v>
      </c>
      <c r="T29" s="72">
        <v>0.90903</v>
      </c>
      <c r="U29" s="2">
        <f>(Input!U27*(0.1/0.2579)*1000)/1000</f>
        <v>5.2345870492438933E-2</v>
      </c>
      <c r="V29" s="2">
        <f>(Input!V27*(0.1/0.2579)*1000)/1000</f>
        <v>2.1682822799534702</v>
      </c>
      <c r="W29" s="2">
        <f>(Input!W27*(0.1/0.2579)*1000)/1000</f>
        <v>5.5409073284218682</v>
      </c>
      <c r="X29" s="2">
        <f>(Input!X27*(0.1/0.2579)*1000)/1000</f>
        <v>88.677782086079873</v>
      </c>
      <c r="Y29" s="2">
        <f>(Input!Y27*(0.1/0.2579)*1000)/1000</f>
        <v>1.5122140364482357E-2</v>
      </c>
      <c r="Z29" s="2">
        <f>(Input!Z27*(0.1/0.2579)*1000)/1000</f>
        <v>0.31291198138813497</v>
      </c>
      <c r="AA29" s="2">
        <f>(Input!AA27*(0.1/0.2579)*1000)/1000</f>
        <v>3.8774718883288094E-4</v>
      </c>
      <c r="AB29" s="2">
        <f>(Input!AB27*(0.1/0.2579)*1000)/1000</f>
        <v>3.4897246994959282E-3</v>
      </c>
      <c r="AC29" s="2">
        <f>(Input!AC27*(0.1/0.2579)*1000)/1000</f>
        <v>4.6917409848778596E-2</v>
      </c>
      <c r="AD29" s="2">
        <f>(Input!AD27*(0.1/0.2579)*1000)/1000</f>
        <v>1.2877084141139976</v>
      </c>
      <c r="AE29" s="2">
        <f>(Input!AE27*(0.1/0.2579)*1000)/1000</f>
        <v>2.5979061651803026E-2</v>
      </c>
      <c r="AF29" s="72">
        <v>0.93535000000000001</v>
      </c>
      <c r="AG29" s="72">
        <v>1.0716000000000001</v>
      </c>
      <c r="AH29" s="2">
        <f>(Input!AH27*(0.1/0.2573)*1000)/1000</f>
        <v>3.0314807617567049E-2</v>
      </c>
      <c r="AI29" s="2">
        <f>(Input!AI27*(0.1/0.2573)*1000)/1000</f>
        <v>-4.275165176836378E-3</v>
      </c>
      <c r="AJ29" s="2">
        <f>(Input!AJ27*(0.1/0.2573)*1000)/1000</f>
        <v>1.5546055188495923E-3</v>
      </c>
      <c r="AK29" s="2">
        <f>(Input!AK27*(0.1/0.2573)*1000)/1000</f>
        <v>5.7131752817722509E-2</v>
      </c>
      <c r="AL29" s="2">
        <f>(Input!AL27*(0.1/0.2573)*1000)/1000</f>
        <v>22.899339292654492</v>
      </c>
      <c r="AM29" s="2">
        <f>(Input!AM27*(0.1/0.2573)*1000)/1000</f>
        <v>3.4978624174115823E-3</v>
      </c>
      <c r="AN29" s="2">
        <f>(Input!AN27*(0.1/0.2573)*1000)/1000</f>
        <v>5.4411193159735735E-2</v>
      </c>
      <c r="AO29" s="2">
        <f>(Input!AO27*(0.1/0.2573)*1000)/1000</f>
        <v>6.7625340069957254E-2</v>
      </c>
      <c r="AP29" s="2">
        <f>(Input!AP27*(0.1/0.2573)*1000)/1000</f>
        <v>6.8402642829382049E-2</v>
      </c>
      <c r="AQ29" s="2">
        <f>(Input!AQ27*(0.1/0.2573)*1000)/1000</f>
        <v>0</v>
      </c>
      <c r="AR29" s="2">
        <f>(Input!AR27*(0.1/0.2573)*1000)/1000</f>
        <v>0</v>
      </c>
      <c r="AS29" s="2">
        <f>(Input!AS27*(0.1/0.2573)*1000)/1000</f>
        <v>0.11853867081228141</v>
      </c>
      <c r="AT29" s="2">
        <f>(Input!AT27*(0.1/0.2573)*1000)/1000</f>
        <v>3.1092110376991847E-3</v>
      </c>
      <c r="AU29" s="2">
        <f>(Input!AU27*(0.1/0.2573)*1000)/1000</f>
        <v>0.6494364554994172</v>
      </c>
      <c r="AV29" s="72">
        <v>0.86592000000000002</v>
      </c>
      <c r="AW29" s="72">
        <v>0.99195</v>
      </c>
      <c r="AX29" s="2">
        <f>(Input!AX27*(0.1/0.2573)*1000)/1000</f>
        <v>7.3843762145355627E-3</v>
      </c>
    </row>
    <row r="31" spans="1:50" x14ac:dyDescent="0.3">
      <c r="A31" s="2" t="s">
        <v>153</v>
      </c>
      <c r="B31" s="1" t="s">
        <v>162</v>
      </c>
      <c r="C31" s="1" t="s">
        <v>162</v>
      </c>
      <c r="D31" s="1" t="s">
        <v>162</v>
      </c>
      <c r="E31" s="1" t="s">
        <v>162</v>
      </c>
      <c r="F31" s="1" t="s">
        <v>162</v>
      </c>
      <c r="G31" s="1" t="s">
        <v>162</v>
      </c>
      <c r="H31" s="1" t="s">
        <v>162</v>
      </c>
      <c r="I31" s="1" t="s">
        <v>162</v>
      </c>
      <c r="J31" s="1" t="s">
        <v>162</v>
      </c>
      <c r="K31" s="1" t="s">
        <v>162</v>
      </c>
      <c r="L31" s="1" t="s">
        <v>162</v>
      </c>
      <c r="M31" s="1" t="s">
        <v>162</v>
      </c>
      <c r="N31" s="1" t="s">
        <v>162</v>
      </c>
      <c r="O31" s="1" t="s">
        <v>162</v>
      </c>
      <c r="P31" s="1" t="s">
        <v>162</v>
      </c>
      <c r="Q31" s="1" t="s">
        <v>162</v>
      </c>
      <c r="R31" s="1" t="s">
        <v>162</v>
      </c>
      <c r="S31" s="71" t="s">
        <v>163</v>
      </c>
      <c r="T31" s="71" t="s">
        <v>163</v>
      </c>
      <c r="U31" s="1" t="s">
        <v>162</v>
      </c>
      <c r="V31" s="1" t="s">
        <v>162</v>
      </c>
      <c r="W31" s="1" t="s">
        <v>162</v>
      </c>
      <c r="X31" s="1" t="s">
        <v>162</v>
      </c>
      <c r="Y31" s="1" t="s">
        <v>162</v>
      </c>
      <c r="Z31" s="1" t="s">
        <v>162</v>
      </c>
      <c r="AA31" s="1" t="s">
        <v>162</v>
      </c>
      <c r="AB31" s="1" t="s">
        <v>162</v>
      </c>
      <c r="AC31" s="1" t="s">
        <v>162</v>
      </c>
      <c r="AD31" s="1" t="s">
        <v>162</v>
      </c>
      <c r="AE31" s="1" t="s">
        <v>162</v>
      </c>
      <c r="AF31" s="71" t="s">
        <v>163</v>
      </c>
      <c r="AG31" s="71" t="s">
        <v>163</v>
      </c>
      <c r="AH31" s="1" t="s">
        <v>162</v>
      </c>
      <c r="AI31" s="1" t="s">
        <v>162</v>
      </c>
      <c r="AJ31" s="1" t="s">
        <v>162</v>
      </c>
      <c r="AK31" s="1" t="s">
        <v>162</v>
      </c>
      <c r="AL31" s="1" t="s">
        <v>162</v>
      </c>
      <c r="AM31" s="1" t="s">
        <v>162</v>
      </c>
      <c r="AN31" s="1" t="s">
        <v>162</v>
      </c>
      <c r="AO31" s="1" t="s">
        <v>162</v>
      </c>
      <c r="AP31" s="1" t="s">
        <v>162</v>
      </c>
      <c r="AQ31" s="1" t="s">
        <v>162</v>
      </c>
      <c r="AR31" s="1" t="s">
        <v>162</v>
      </c>
      <c r="AS31" s="1" t="s">
        <v>162</v>
      </c>
      <c r="AT31" s="1" t="s">
        <v>162</v>
      </c>
      <c r="AU31" s="1" t="s">
        <v>162</v>
      </c>
      <c r="AV31" s="71" t="s">
        <v>163</v>
      </c>
      <c r="AW31" s="71" t="s">
        <v>163</v>
      </c>
      <c r="AX31" s="1" t="s">
        <v>162</v>
      </c>
    </row>
    <row r="32" spans="1:50" x14ac:dyDescent="0.3">
      <c r="A32" s="2" t="s">
        <v>152</v>
      </c>
      <c r="B32" s="2">
        <f>(Input!B28*(0.1/0.25)*1000)/1000</f>
        <v>2.3668</v>
      </c>
      <c r="C32" s="2">
        <f>(Input!C28*(0.1/0.25)*1000)/1000</f>
        <v>75.040000000000006</v>
      </c>
      <c r="D32" s="2">
        <f>(Input!D28*(0.1/0.25)*1000)/1000</f>
        <v>2802</v>
      </c>
      <c r="E32" s="2">
        <f>(Input!E28*(0.1/0.25)*1000)/1000</f>
        <v>23.475999999999999</v>
      </c>
      <c r="F32" s="2">
        <f>(Input!F28*(0.1/0.25)*1000)/1000</f>
        <v>1347.2</v>
      </c>
      <c r="G32" s="2">
        <f>(Input!G28*(0.1/0.25)*1000)/1000</f>
        <v>24432</v>
      </c>
      <c r="H32" s="2">
        <f>(Input!H28*(0.1/0.25)*1000)/1000</f>
        <v>26948</v>
      </c>
      <c r="I32" s="2">
        <f>(Input!I28*(0.1/0.25)*1000)/1000</f>
        <v>115.48</v>
      </c>
      <c r="J32" s="2">
        <f>(Input!J28*(0.1/0.25)*1000)/1000</f>
        <v>0.50600000000000001</v>
      </c>
      <c r="K32" s="2">
        <f>(Input!K28*(0.1/0.25)*1000)/1000</f>
        <v>0.71840000000000004</v>
      </c>
      <c r="L32" s="2">
        <f>(Input!L28*(0.1/0.25)*1000)/1000</f>
        <v>98.68</v>
      </c>
      <c r="M32" s="2">
        <f>(Input!M28*(0.1/0.25)*1000)/1000</f>
        <v>100.76</v>
      </c>
      <c r="N32" s="2">
        <f>(Input!N28*(0.1/0.25)*1000)/1000</f>
        <v>0.12960000000000002</v>
      </c>
      <c r="O32" s="2">
        <f>(Input!O28*(0.1/0.25)*1000)/1000</f>
        <v>0.95399999999999996</v>
      </c>
      <c r="P32" s="2">
        <f>(Input!P28*(0.1/0.25)*1000)/1000</f>
        <v>9.0760000000000005</v>
      </c>
      <c r="Q32" s="2">
        <f>(Input!Q28*(0.1/0.25)*1000)/1000</f>
        <v>46.080000000000005</v>
      </c>
      <c r="R32" s="2">
        <f>(Input!R28*(0.1/0.25)*1000)/1000</f>
        <v>11.616</v>
      </c>
      <c r="S32" s="72">
        <v>0.86141999999999996</v>
      </c>
      <c r="T32" s="72">
        <v>0.88473999999999997</v>
      </c>
      <c r="U32" s="2">
        <f>(Input!U28*(0.1/0.25)*1000)/1000</f>
        <v>0.10360000000000001</v>
      </c>
      <c r="V32" s="2">
        <f>(Input!V28*(0.1/0.25)*1000)/1000</f>
        <v>1.2320000000000002</v>
      </c>
      <c r="W32" s="2">
        <f>(Input!W28*(0.1/0.25)*1000)/1000</f>
        <v>19.880000000000003</v>
      </c>
      <c r="X32" s="2">
        <f>(Input!X28*(0.1/0.25)*1000)/1000</f>
        <v>136.80000000000001</v>
      </c>
      <c r="Y32" s="2">
        <f>(Input!Y28*(0.1/0.25)*1000)/1000</f>
        <v>4.0000000000000001E-3</v>
      </c>
      <c r="Z32" s="2">
        <f>(Input!Z28*(0.1/0.25)*1000)/1000</f>
        <v>0.55120000000000002</v>
      </c>
      <c r="AA32" s="2">
        <f>(Input!AA28*(0.1/0.25)*1000)/1000</f>
        <v>8.0000000000000004E-4</v>
      </c>
      <c r="AB32" s="2">
        <f>(Input!AB28*(0.1/0.25)*1000)/1000</f>
        <v>4.8000000000000004E-3</v>
      </c>
      <c r="AC32" s="2">
        <f>(Input!AC28*(0.1/0.25)*1000)/1000</f>
        <v>6.7600000000000007E-2</v>
      </c>
      <c r="AD32" s="2">
        <f>(Input!AD28*(0.1/0.25)*1000)/1000</f>
        <v>1.3368000000000002</v>
      </c>
      <c r="AE32" s="2">
        <f>(Input!AE28*(0.1/0.25)*1000)/1000</f>
        <v>3.1200000000000002E-2</v>
      </c>
      <c r="AF32" s="72">
        <v>0.91681000000000001</v>
      </c>
      <c r="AG32" s="72">
        <v>1.0331399999999999</v>
      </c>
      <c r="AH32" s="2">
        <f>(Input!AH28*(0.1/0.25)*1000)/1000</f>
        <v>2.2400000000000003E-2</v>
      </c>
      <c r="AI32" s="2">
        <f>(Input!AI28*(0.1/0.25)*1000)/1000</f>
        <v>-1.4000000000000002E-2</v>
      </c>
      <c r="AJ32" s="2">
        <f>(Input!AJ28*(0.1/0.25)*1000)/1000</f>
        <v>1.6000000000000001E-3</v>
      </c>
      <c r="AK32" s="2">
        <f>(Input!AK28*(0.1/0.25)*1000)/1000</f>
        <v>0.10960000000000002</v>
      </c>
      <c r="AL32" s="2">
        <f>(Input!AL28*(0.1/0.25)*1000)/1000</f>
        <v>430.40000000000003</v>
      </c>
      <c r="AM32" s="2">
        <f>(Input!AM28*(0.1/0.25)*1000)/1000</f>
        <v>1.2000000000000001E-3</v>
      </c>
      <c r="AN32" s="2">
        <f>(Input!AN28*(0.1/0.25)*1000)/1000</f>
        <v>1.0000000000000002E-2</v>
      </c>
      <c r="AO32" s="2">
        <f>(Input!AO28*(0.1/0.25)*1000)/1000</f>
        <v>8.4000000000000012E-3</v>
      </c>
      <c r="AP32" s="2">
        <f>(Input!AP28*(0.1/0.25)*1000)/1000</f>
        <v>8.4000000000000012E-3</v>
      </c>
      <c r="AQ32" s="2">
        <f>(Input!AQ28*(0.1/0.25)*1000)/1000</f>
        <v>0</v>
      </c>
      <c r="AR32" s="2">
        <f>(Input!AR28*(0.1/0.25)*1000)/1000</f>
        <v>0</v>
      </c>
      <c r="AS32" s="2">
        <f>(Input!AS28*(0.1/0.25)*1000)/1000</f>
        <v>0.10880000000000001</v>
      </c>
      <c r="AT32" s="2">
        <f>(Input!AT28*(0.1/0.25)*1000)/1000</f>
        <v>8.0000000000000016E-2</v>
      </c>
      <c r="AU32" s="2">
        <f>(Input!AU28*(0.1/0.25)*1000)/1000</f>
        <v>0.20240000000000002</v>
      </c>
      <c r="AV32" s="72">
        <v>0.83328000000000002</v>
      </c>
      <c r="AW32" s="72">
        <v>0.96686000000000005</v>
      </c>
      <c r="AX32" s="2">
        <f>(Input!AX28*(0.1/0.25)*1000)/1000</f>
        <v>2.4000000000000002E-3</v>
      </c>
    </row>
    <row r="33" spans="1:50" x14ac:dyDescent="0.3">
      <c r="A33" s="2" t="s">
        <v>52</v>
      </c>
      <c r="B33" s="2">
        <f>(Input!B29*(0.1/0.2526)*1000)/1000</f>
        <v>2.3361045130641331</v>
      </c>
      <c r="C33" s="2">
        <f>(Input!C29*(0.1/0.2526)*1000)/1000</f>
        <v>17.082343626286622</v>
      </c>
      <c r="D33" s="2">
        <f>(Input!D29*(0.1/0.2526)*1000)/1000</f>
        <v>3192.7949326999214</v>
      </c>
      <c r="E33" s="2">
        <f>(Input!E29*(0.1/0.2526)*1000)/1000</f>
        <v>36.959619952494066</v>
      </c>
      <c r="F33" s="2">
        <f>(Input!F29*(0.1/0.2526)*1000)/1000</f>
        <v>2015.0435471100557</v>
      </c>
      <c r="G33" s="2">
        <f>(Input!G29*(0.1/0.2526)*1000)/1000</f>
        <v>24695.170229612038</v>
      </c>
      <c r="H33" s="2">
        <f>(Input!H29*(0.1/0.2526)*1000)/1000</f>
        <v>26753.760886777516</v>
      </c>
      <c r="I33" s="2">
        <f>(Input!I29*(0.1/0.2526)*1000)/1000</f>
        <v>117.14172604908948</v>
      </c>
      <c r="J33" s="2">
        <f>(Input!J29*(0.1/0.2526)*1000)/1000</f>
        <v>0.36658749010292963</v>
      </c>
      <c r="K33" s="2">
        <f>(Input!K29*(0.1/0.2526)*1000)/1000</f>
        <v>0.47862232779097397</v>
      </c>
      <c r="L33" s="2">
        <f>(Input!L29*(0.1/0.2526)*1000)/1000</f>
        <v>93.903404592240705</v>
      </c>
      <c r="M33" s="2">
        <f>(Input!M29*(0.1/0.2526)*1000)/1000</f>
        <v>159.89707046714173</v>
      </c>
      <c r="N33" s="2">
        <f>(Input!N29*(0.1/0.2526)*1000)/1000</f>
        <v>0.28266033254156775</v>
      </c>
      <c r="O33" s="2">
        <f>(Input!O29*(0.1/0.2526)*1000)/1000</f>
        <v>0.75257323832145695</v>
      </c>
      <c r="P33" s="2">
        <f>(Input!P29*(0.1/0.2526)*1000)/1000</f>
        <v>6.5795724465558205</v>
      </c>
      <c r="Q33" s="2">
        <f>(Input!Q29*(0.1/0.2526)*1000)/1000</f>
        <v>25.577988915281079</v>
      </c>
      <c r="R33" s="2">
        <f>(Input!R29*(0.1/0.2526)*1000)/1000</f>
        <v>9.7189231987331759</v>
      </c>
      <c r="S33" s="72">
        <v>0.87407000000000001</v>
      </c>
      <c r="T33" s="72">
        <v>0.88607999999999998</v>
      </c>
      <c r="U33" s="2">
        <f>(Input!U29*(0.1/0.2526)*1000)/1000</f>
        <v>0.14687252573238324</v>
      </c>
      <c r="V33" s="2">
        <f>(Input!V29*(0.1/0.2526)*1000)/1000</f>
        <v>0.65360253365003973</v>
      </c>
      <c r="W33" s="2">
        <f>(Input!W29*(0.1/0.2526)*1000)/1000</f>
        <v>8.4323040380047516</v>
      </c>
      <c r="X33" s="2">
        <f>(Input!X29*(0.1/0.2526)*1000)/1000</f>
        <v>95.091053048297709</v>
      </c>
      <c r="Y33" s="2">
        <f>(Input!Y29*(0.1/0.2526)*1000)/1000</f>
        <v>6.730007917656375E-3</v>
      </c>
      <c r="Z33" s="2">
        <f>(Input!Z29*(0.1/0.2526)*1000)/1000</f>
        <v>0.41884402216943795</v>
      </c>
      <c r="AA33" s="2">
        <f>(Input!AA29*(0.1/0.2526)*1000)/1000</f>
        <v>7.9176563737133826E-4</v>
      </c>
      <c r="AB33" s="2">
        <f>(Input!AB29*(0.1/0.2526)*1000)/1000</f>
        <v>3.1670625494853531E-3</v>
      </c>
      <c r="AC33" s="2">
        <f>(Input!AC29*(0.1/0.2526)*1000)/1000</f>
        <v>4.7505938242280291E-2</v>
      </c>
      <c r="AD33" s="2">
        <f>(Input!AD29*(0.1/0.2526)*1000)/1000</f>
        <v>1.3040380047505939</v>
      </c>
      <c r="AE33" s="2">
        <f>(Input!AE29*(0.1/0.2526)*1000)/1000</f>
        <v>3.7212984956452894E-2</v>
      </c>
      <c r="AF33" s="72">
        <v>0.92176000000000002</v>
      </c>
      <c r="AG33" s="72">
        <v>1.0260400000000001</v>
      </c>
      <c r="AH33" s="2">
        <f>(Input!AH29*(0.1/0.2526)*1000)/1000</f>
        <v>-1.5835312747426765E-3</v>
      </c>
      <c r="AI33" s="2">
        <f>(Input!AI29*(0.1/0.2526)*1000)/1000</f>
        <v>-9.8970704671417289E-3</v>
      </c>
      <c r="AJ33" s="2">
        <f>(Input!AJ29*(0.1/0.2526)*1000)/1000</f>
        <v>0</v>
      </c>
      <c r="AK33" s="2">
        <f>(Input!AK29*(0.1/0.2526)*1000)/1000</f>
        <v>5.8590657165479024E-2</v>
      </c>
      <c r="AL33" s="2">
        <f>(Input!AL29*(0.1/0.2526)*1000)/1000</f>
        <v>357.64053840063343</v>
      </c>
      <c r="AM33" s="2">
        <f>(Input!AM29*(0.1/0.2526)*1000)/1000</f>
        <v>1.5835312747426765E-3</v>
      </c>
      <c r="AN33" s="2">
        <f>(Input!AN29*(0.1/0.2526)*1000)/1000</f>
        <v>3.8400633412509905E-2</v>
      </c>
      <c r="AO33" s="2">
        <f>(Input!AO29*(0.1/0.2526)*1000)/1000</f>
        <v>2.2961203483768809E-2</v>
      </c>
      <c r="AP33" s="2">
        <f>(Input!AP29*(0.1/0.2526)*1000)/1000</f>
        <v>2.4544734758511485E-2</v>
      </c>
      <c r="AQ33" s="2">
        <f>(Input!AQ29*(0.1/0.2526)*1000)/1000</f>
        <v>0</v>
      </c>
      <c r="AR33" s="2">
        <f>(Input!AR29*(0.1/0.2526)*1000)/1000</f>
        <v>0</v>
      </c>
      <c r="AS33" s="2">
        <f>(Input!AS29*(0.1/0.2526)*1000)/1000</f>
        <v>0.10807600950118768</v>
      </c>
      <c r="AT33" s="2">
        <f>(Input!AT29*(0.1/0.2526)*1000)/1000</f>
        <v>1.9794140934283458E-2</v>
      </c>
      <c r="AU33" s="2">
        <f>(Input!AU29*(0.1/0.2526)*1000)/1000</f>
        <v>0.20071258907363423</v>
      </c>
      <c r="AV33" s="72">
        <v>0.84223999999999999</v>
      </c>
      <c r="AW33" s="72">
        <v>0.96774000000000004</v>
      </c>
      <c r="AX33" s="2">
        <f>(Input!AX29*(0.1/0.2526)*1000)/1000</f>
        <v>3.5629453681710215E-3</v>
      </c>
    </row>
    <row r="34" spans="1:50" x14ac:dyDescent="0.3">
      <c r="A34" s="2" t="s">
        <v>53</v>
      </c>
      <c r="B34" s="2">
        <f>(Input!B30*(0.1/0.2564)*1000)/1000</f>
        <v>2.7367394695787834</v>
      </c>
      <c r="C34" s="2">
        <f>(Input!C30*(0.1/0.2564)*1000)/1000</f>
        <v>91.770670826833083</v>
      </c>
      <c r="D34" s="2">
        <f>(Input!D30*(0.1/0.2564)*1000)/1000</f>
        <v>3039.3915756630267</v>
      </c>
      <c r="E34" s="2">
        <f>(Input!E30*(0.1/0.2564)*1000)/1000</f>
        <v>68.837753510140402</v>
      </c>
      <c r="F34" s="2">
        <f>(Input!F30*(0.1/0.2564)*1000)/1000</f>
        <v>1976.2090483619345</v>
      </c>
      <c r="G34" s="2">
        <f>(Input!G30*(0.1/0.2564)*1000)/1000</f>
        <v>24867.394695787832</v>
      </c>
      <c r="H34" s="2">
        <f>(Input!H30*(0.1/0.2564)*1000)/1000</f>
        <v>27351.79407176287</v>
      </c>
      <c r="I34" s="2">
        <f>(Input!I30*(0.1/0.2564)*1000)/1000</f>
        <v>116.96567862714508</v>
      </c>
      <c r="J34" s="2">
        <f>(Input!J30*(0.1/0.2564)*1000)/1000</f>
        <v>0.66575663026521059</v>
      </c>
      <c r="K34" s="2">
        <f>(Input!K30*(0.1/0.2564)*1000)/1000</f>
        <v>0.92394695787831527</v>
      </c>
      <c r="L34" s="2">
        <f>(Input!L30*(0.1/0.2564)*1000)/1000</f>
        <v>85.686427457098276</v>
      </c>
      <c r="M34" s="2">
        <f>(Input!M30*(0.1/0.2564)*1000)/1000</f>
        <v>241.41965678627145</v>
      </c>
      <c r="N34" s="2">
        <f>(Input!N30*(0.1/0.2564)*1000)/1000</f>
        <v>0.23361934477379095</v>
      </c>
      <c r="O34" s="2">
        <f>(Input!O30*(0.1/0.2564)*1000)/1000</f>
        <v>0.96021840873634956</v>
      </c>
      <c r="P34" s="2">
        <f>(Input!P30*(0.1/0.2564)*1000)/1000</f>
        <v>7.7691107644305779</v>
      </c>
      <c r="Q34" s="2">
        <f>(Input!Q30*(0.1/0.2564)*1000)/1000</f>
        <v>16.942277691107645</v>
      </c>
      <c r="R34" s="2">
        <f>(Input!R30*(0.1/0.2564)*1000)/1000</f>
        <v>2.3697347893915754</v>
      </c>
      <c r="S34" s="72">
        <v>0.86417999999999995</v>
      </c>
      <c r="T34" s="72">
        <v>0.88549</v>
      </c>
      <c r="U34" s="2">
        <f>(Input!U30*(0.1/0.2564)*1000)/1000</f>
        <v>6.8252730109204365E-2</v>
      </c>
      <c r="V34" s="2">
        <f>(Input!V30*(0.1/0.2564)*1000)/1000</f>
        <v>1.0058502340093605</v>
      </c>
      <c r="W34" s="2">
        <f>(Input!W30*(0.1/0.2564)*1000)/1000</f>
        <v>5.5109204368174733</v>
      </c>
      <c r="X34" s="2">
        <f>(Input!X30*(0.1/0.2564)*1000)/1000</f>
        <v>124.41497659906396</v>
      </c>
      <c r="Y34" s="2">
        <f>(Input!Y30*(0.1/0.2564)*1000)/1000</f>
        <v>7.0202808112324487E-3</v>
      </c>
      <c r="Z34" s="2">
        <f>(Input!Z30*(0.1/0.2564)*1000)/1000</f>
        <v>0.26287051482059282</v>
      </c>
      <c r="AA34" s="2">
        <f>(Input!AA30*(0.1/0.2564)*1000)/1000</f>
        <v>7.8003120124804995E-4</v>
      </c>
      <c r="AB34" s="2">
        <f>(Input!AB30*(0.1/0.2564)*1000)/1000</f>
        <v>4.2901716068642747E-3</v>
      </c>
      <c r="AC34" s="2">
        <f>(Input!AC30*(0.1/0.2564)*1000)/1000</f>
        <v>6.2012480499219973E-2</v>
      </c>
      <c r="AD34" s="2">
        <f>(Input!AD30*(0.1/0.2564)*1000)/1000</f>
        <v>1.2932917316692667</v>
      </c>
      <c r="AE34" s="2">
        <f>(Input!AE30*(0.1/0.2564)*1000)/1000</f>
        <v>4.7971918876755067E-2</v>
      </c>
      <c r="AF34" s="72">
        <v>0.91174999999999995</v>
      </c>
      <c r="AG34" s="72">
        <v>1.0448299999999999</v>
      </c>
      <c r="AH34" s="2">
        <f>(Input!AH30*(0.1/0.2564)*1000)/1000</f>
        <v>8.3463338533541334E-2</v>
      </c>
      <c r="AI34" s="2">
        <f>(Input!AI30*(0.1/0.2564)*1000)/1000</f>
        <v>-1.2090483619344774E-2</v>
      </c>
      <c r="AJ34" s="2">
        <f>(Input!AJ30*(0.1/0.2564)*1000)/1000</f>
        <v>3.9001560062402497E-4</v>
      </c>
      <c r="AK34" s="2">
        <f>(Input!AK30*(0.1/0.2564)*1000)/1000</f>
        <v>2.2230889235569425E-2</v>
      </c>
      <c r="AL34" s="2">
        <f>(Input!AL30*(0.1/0.2564)*1000)/1000</f>
        <v>87.168486739469586</v>
      </c>
      <c r="AM34" s="2">
        <f>(Input!AM30*(0.1/0.2564)*1000)/1000</f>
        <v>2.3400936037441498E-3</v>
      </c>
      <c r="AN34" s="2">
        <f>(Input!AN30*(0.1/0.2564)*1000)/1000</f>
        <v>1.3260530421216849E-2</v>
      </c>
      <c r="AO34" s="2">
        <f>(Input!AO30*(0.1/0.2564)*1000)/1000</f>
        <v>1.3260530421216849E-2</v>
      </c>
      <c r="AP34" s="2">
        <f>(Input!AP30*(0.1/0.2564)*1000)/1000</f>
        <v>1.3260530421216849E-2</v>
      </c>
      <c r="AQ34" s="2">
        <f>(Input!AQ30*(0.1/0.2564)*1000)/1000</f>
        <v>0</v>
      </c>
      <c r="AR34" s="2">
        <f>(Input!AR30*(0.1/0.2564)*1000)/1000</f>
        <v>0</v>
      </c>
      <c r="AS34" s="2">
        <f>(Input!AS30*(0.1/0.2564)*1000)/1000</f>
        <v>0.10803432137285493</v>
      </c>
      <c r="AT34" s="2">
        <f>(Input!AT30*(0.1/0.2564)*1000)/1000</f>
        <v>1.2480499219968799E-2</v>
      </c>
      <c r="AU34" s="2">
        <f>(Input!AU30*(0.1/0.2564)*1000)/1000</f>
        <v>0.22698907956318251</v>
      </c>
      <c r="AV34" s="72">
        <v>0.83809999999999996</v>
      </c>
      <c r="AW34" s="72">
        <v>0.97919999999999996</v>
      </c>
      <c r="AX34" s="2">
        <f>(Input!AX30*(0.1/0.2564)*1000)/1000</f>
        <v>5.4602184087363496E-3</v>
      </c>
    </row>
    <row r="35" spans="1:50" x14ac:dyDescent="0.3">
      <c r="A35" s="2" t="s">
        <v>54</v>
      </c>
      <c r="B35" s="2">
        <f>(Input!B31*(0.1/0.2515)*1000)/1000</f>
        <v>2.8831013916500998</v>
      </c>
      <c r="C35" s="2">
        <f>(Input!C31*(0.1/0.2515)*1000)/1000</f>
        <v>18.711729622266404</v>
      </c>
      <c r="D35" s="2">
        <f>(Input!D31*(0.1/0.2515)*1000)/1000</f>
        <v>4485.0894632206764</v>
      </c>
      <c r="E35" s="2">
        <f>(Input!E31*(0.1/0.2515)*1000)/1000</f>
        <v>25.375745526838969</v>
      </c>
      <c r="F35" s="2">
        <f>(Input!F31*(0.1/0.2515)*1000)/1000</f>
        <v>2258.0516898608353</v>
      </c>
      <c r="G35" s="2">
        <f>(Input!G31*(0.1/0.2515)*1000)/1000</f>
        <v>27411.530815109345</v>
      </c>
      <c r="H35" s="2">
        <f>(Input!H31*(0.1/0.2515)*1000)/1000</f>
        <v>35053.677932405568</v>
      </c>
      <c r="I35" s="2">
        <f>(Input!I31*(0.1/0.2515)*1000)/1000</f>
        <v>147.55467196819086</v>
      </c>
      <c r="J35" s="2">
        <f>(Input!J31*(0.1/0.2515)*1000)/1000</f>
        <v>0.33439363817097417</v>
      </c>
      <c r="K35" s="2">
        <f>(Input!K31*(0.1/0.2515)*1000)/1000</f>
        <v>0.40636182902584495</v>
      </c>
      <c r="L35" s="2">
        <f>(Input!L31*(0.1/0.2515)*1000)/1000</f>
        <v>104.6123260437376</v>
      </c>
      <c r="M35" s="2">
        <f>(Input!M31*(0.1/0.2515)*1000)/1000</f>
        <v>66.799204771371777</v>
      </c>
      <c r="N35" s="2">
        <f>(Input!N31*(0.1/0.2515)*1000)/1000</f>
        <v>0.32803180914512925</v>
      </c>
      <c r="O35" s="2">
        <f>(Input!O31*(0.1/0.2515)*1000)/1000</f>
        <v>1.7411530815109344</v>
      </c>
      <c r="P35" s="2">
        <f>(Input!P31*(0.1/0.2515)*1000)/1000</f>
        <v>6.7395626242544733</v>
      </c>
      <c r="Q35" s="2">
        <f>(Input!Q31*(0.1/0.2515)*1000)/1000</f>
        <v>36.902584493041751</v>
      </c>
      <c r="R35" s="2">
        <f>(Input!R31*(0.1/0.2515)*1000)/1000</f>
        <v>16.640159045725646</v>
      </c>
      <c r="S35" s="72">
        <v>0.90283999999999998</v>
      </c>
      <c r="T35" s="72">
        <v>0.91251000000000004</v>
      </c>
      <c r="U35" s="2">
        <f>(Input!U31*(0.1/0.2515)*1000)/1000</f>
        <v>0.1260437375745527</v>
      </c>
      <c r="V35" s="2">
        <f>(Input!V31*(0.1/0.2515)*1000)/1000</f>
        <v>0.9988071570576541</v>
      </c>
      <c r="W35" s="2">
        <f>(Input!W31*(0.1/0.2515)*1000)/1000</f>
        <v>8.7713717693836983</v>
      </c>
      <c r="X35" s="2">
        <f>(Input!X31*(0.1/0.2515)*1000)/1000</f>
        <v>257.57455268389663</v>
      </c>
      <c r="Y35" s="2">
        <f>(Input!Y31*(0.1/0.2515)*1000)/1000</f>
        <v>1.1928429423459245E-3</v>
      </c>
      <c r="Z35" s="2">
        <f>(Input!Z31*(0.1/0.2515)*1000)/1000</f>
        <v>0.33161033797216699</v>
      </c>
      <c r="AA35" s="2">
        <f>(Input!AA31*(0.1/0.2515)*1000)/1000</f>
        <v>1.5904572564612327E-3</v>
      </c>
      <c r="AB35" s="2">
        <f>(Input!AB31*(0.1/0.2515)*1000)/1000</f>
        <v>8.7475149105367793E-3</v>
      </c>
      <c r="AC35" s="2">
        <f>(Input!AC31*(0.1/0.2515)*1000)/1000</f>
        <v>0.12803180914512924</v>
      </c>
      <c r="AD35" s="2">
        <f>(Input!AD31*(0.1/0.2515)*1000)/1000</f>
        <v>1.295427435387674</v>
      </c>
      <c r="AE35" s="2">
        <f>(Input!AE31*(0.1/0.2515)*1000)/1000</f>
        <v>5.1689860834990067E-2</v>
      </c>
      <c r="AF35" s="72">
        <v>0.94284000000000001</v>
      </c>
      <c r="AG35" s="72">
        <v>1.0424599999999999</v>
      </c>
      <c r="AH35" s="2">
        <f>(Input!AH31*(0.1/0.2515)*1000)/1000</f>
        <v>-3.5785288270377734E-3</v>
      </c>
      <c r="AI35" s="2">
        <f>(Input!AI31*(0.1/0.2515)*1000)/1000</f>
        <v>-1.5109343936381711E-2</v>
      </c>
      <c r="AJ35" s="2">
        <f>(Input!AJ31*(0.1/0.2515)*1000)/1000</f>
        <v>7.9522862823061633E-4</v>
      </c>
      <c r="AK35" s="2">
        <f>(Input!AK31*(0.1/0.2515)*1000)/1000</f>
        <v>2.186878727634195E-2</v>
      </c>
      <c r="AL35" s="2">
        <f>(Input!AL31*(0.1/0.2515)*1000)/1000</f>
        <v>614.31411530815114</v>
      </c>
      <c r="AM35" s="2">
        <f>(Input!AM31*(0.1/0.2515)*1000)/1000</f>
        <v>3.9761431411530816E-4</v>
      </c>
      <c r="AN35" s="2">
        <f>(Input!AN31*(0.1/0.2515)*1000)/1000</f>
        <v>1.4314115308151094E-2</v>
      </c>
      <c r="AO35" s="2">
        <f>(Input!AO31*(0.1/0.2515)*1000)/1000</f>
        <v>4.3737574552683896E-3</v>
      </c>
      <c r="AP35" s="2">
        <f>(Input!AP31*(0.1/0.2515)*1000)/1000</f>
        <v>4.3737574552683896E-3</v>
      </c>
      <c r="AQ35" s="2">
        <f>(Input!AQ31*(0.1/0.2515)*1000)/1000</f>
        <v>0</v>
      </c>
      <c r="AR35" s="2">
        <f>(Input!AR31*(0.1/0.2515)*1000)/1000</f>
        <v>0</v>
      </c>
      <c r="AS35" s="2">
        <f>(Input!AS31*(0.1/0.2515)*1000)/1000</f>
        <v>0.10974155069582507</v>
      </c>
      <c r="AT35" s="2">
        <f>(Input!AT31*(0.1/0.2515)*1000)/1000</f>
        <v>1.4711729622266401E-2</v>
      </c>
      <c r="AU35" s="2">
        <f>(Input!AU31*(0.1/0.2515)*1000)/1000</f>
        <v>0.10616302186878729</v>
      </c>
      <c r="AV35" s="72">
        <v>0.85028000000000004</v>
      </c>
      <c r="AW35" s="72">
        <v>0.97609000000000001</v>
      </c>
      <c r="AX35" s="2">
        <f>(Input!AX31*(0.1/0.2515)*1000)/1000</f>
        <v>2.3856858846918491E-3</v>
      </c>
    </row>
    <row r="36" spans="1:50" x14ac:dyDescent="0.3">
      <c r="A36" s="2" t="s">
        <v>55</v>
      </c>
      <c r="B36" s="2">
        <f>(Input!B32*(0.1/0.2543)*1000)/1000</f>
        <v>2.0330318521431381</v>
      </c>
      <c r="C36" s="2">
        <f>(Input!C32*(0.1/0.2543)*1000)/1000</f>
        <v>32.414471097129379</v>
      </c>
      <c r="D36" s="2">
        <f>(Input!D32*(0.1/0.2543)*1000)/1000</f>
        <v>2436.8855682265039</v>
      </c>
      <c r="E36" s="2">
        <f>(Input!E32*(0.1/0.2543)*1000)/1000</f>
        <v>22.209988202909948</v>
      </c>
      <c r="F36" s="2">
        <f>(Input!F32*(0.1/0.2543)*1000)/1000</f>
        <v>1567.4400314589068</v>
      </c>
      <c r="G36" s="2">
        <f>(Input!G32*(0.1/0.2543)*1000)/1000</f>
        <v>24899.724734565472</v>
      </c>
      <c r="H36" s="2">
        <f>(Input!H32*(0.1/0.2543)*1000)/1000</f>
        <v>32320.094376720408</v>
      </c>
      <c r="I36" s="2">
        <f>(Input!I32*(0.1/0.2543)*1000)/1000</f>
        <v>134.80141565080615</v>
      </c>
      <c r="J36" s="2">
        <f>(Input!J32*(0.1/0.2543)*1000)/1000</f>
        <v>0.42548171451042077</v>
      </c>
      <c r="K36" s="2">
        <f>(Input!K32*(0.1/0.2543)*1000)/1000</f>
        <v>0.71844278411325202</v>
      </c>
      <c r="L36" s="2">
        <f>(Input!L32*(0.1/0.2543)*1000)/1000</f>
        <v>65.631144317734964</v>
      </c>
      <c r="M36" s="2">
        <f>(Input!M32*(0.1/0.2543)*1000)/1000</f>
        <v>86.747935509241046</v>
      </c>
      <c r="N36" s="2">
        <f>(Input!N32*(0.1/0.2543)*1000)/1000</f>
        <v>0.16083366103027918</v>
      </c>
      <c r="O36" s="2">
        <f>(Input!O32*(0.1/0.2543)*1000)/1000</f>
        <v>0.50530869052300431</v>
      </c>
      <c r="P36" s="2">
        <f>(Input!P32*(0.1/0.2543)*1000)/1000</f>
        <v>7.3181281950452215</v>
      </c>
      <c r="Q36" s="2">
        <f>(Input!Q32*(0.1/0.2543)*1000)/1000</f>
        <v>23.491938655131733</v>
      </c>
      <c r="R36" s="2">
        <f>(Input!R32*(0.1/0.2543)*1000)/1000</f>
        <v>11.313409359024773</v>
      </c>
      <c r="S36" s="72">
        <v>0.89714000000000005</v>
      </c>
      <c r="T36" s="72">
        <v>0.90886</v>
      </c>
      <c r="U36" s="2">
        <f>(Input!U32*(0.1/0.2543)*1000)/1000</f>
        <v>9.4376720408965789E-2</v>
      </c>
      <c r="V36" s="2">
        <f>(Input!V32*(0.1/0.2543)*1000)/1000</f>
        <v>0.45615414864333459</v>
      </c>
      <c r="W36" s="2">
        <f>(Input!W32*(0.1/0.2543)*1000)/1000</f>
        <v>6.4805348014156507</v>
      </c>
      <c r="X36" s="2">
        <f>(Input!X32*(0.1/0.2543)*1000)/1000</f>
        <v>93.03971686983877</v>
      </c>
      <c r="Y36" s="2">
        <f>(Input!Y32*(0.1/0.2543)*1000)/1000</f>
        <v>2.7526543452615023E-3</v>
      </c>
      <c r="Z36" s="2">
        <f>(Input!Z32*(0.1/0.2543)*1000)/1000</f>
        <v>0.59811246559182063</v>
      </c>
      <c r="AA36" s="2">
        <f>(Input!AA32*(0.1/0.2543)*1000)/1000</f>
        <v>7.8647267007471487E-4</v>
      </c>
      <c r="AB36" s="2">
        <f>(Input!AB32*(0.1/0.2543)*1000)/1000</f>
        <v>3.1458906802988595E-3</v>
      </c>
      <c r="AC36" s="2">
        <f>(Input!AC32*(0.1/0.2543)*1000)/1000</f>
        <v>4.679512386944553E-2</v>
      </c>
      <c r="AD36" s="2">
        <f>(Input!AD32*(0.1/0.2543)*1000)/1000</f>
        <v>1.2815572158867479</v>
      </c>
      <c r="AE36" s="2">
        <f>(Input!AE32*(0.1/0.2543)*1000)/1000</f>
        <v>6.6063704286276059E-2</v>
      </c>
      <c r="AF36" s="72">
        <v>0.95204</v>
      </c>
      <c r="AG36" s="72">
        <v>1.06741</v>
      </c>
      <c r="AH36" s="2">
        <f>(Input!AH32*(0.1/0.2543)*1000)/1000</f>
        <v>-2.7526543452615023E-3</v>
      </c>
      <c r="AI36" s="2">
        <f>(Input!AI32*(0.1/0.2543)*1000)/1000</f>
        <v>-1.3370035391270154E-2</v>
      </c>
      <c r="AJ36" s="2">
        <f>(Input!AJ32*(0.1/0.2543)*1000)/1000</f>
        <v>1.1797090051120724E-3</v>
      </c>
      <c r="AK36" s="2">
        <f>(Input!AK32*(0.1/0.2543)*1000)/1000</f>
        <v>2.0055053086905229E-2</v>
      </c>
      <c r="AL36" s="2">
        <f>(Input!AL32*(0.1/0.2543)*1000)/1000</f>
        <v>419.97640581989776</v>
      </c>
      <c r="AM36" s="2">
        <f>(Input!AM32*(0.1/0.2543)*1000)/1000</f>
        <v>7.8647267007471487E-4</v>
      </c>
      <c r="AN36" s="2">
        <f>(Input!AN32*(0.1/0.2543)*1000)/1000</f>
        <v>3.1065670467951237E-2</v>
      </c>
      <c r="AO36" s="2">
        <f>(Input!AO32*(0.1/0.2543)*1000)/1000</f>
        <v>7.8647267007471485E-3</v>
      </c>
      <c r="AP36" s="2">
        <f>(Input!AP32*(0.1/0.2543)*1000)/1000</f>
        <v>8.2579630357845074E-3</v>
      </c>
      <c r="AQ36" s="2">
        <f>(Input!AQ32*(0.1/0.2543)*1000)/1000</f>
        <v>0</v>
      </c>
      <c r="AR36" s="2">
        <f>(Input!AR32*(0.1/0.2543)*1000)/1000</f>
        <v>0</v>
      </c>
      <c r="AS36" s="2">
        <f>(Input!AS32*(0.1/0.2543)*1000)/1000</f>
        <v>0.10813999213527331</v>
      </c>
      <c r="AT36" s="2">
        <f>(Input!AT32*(0.1/0.2543)*1000)/1000</f>
        <v>1.1797090051120724E-2</v>
      </c>
      <c r="AU36" s="2">
        <f>(Input!AU32*(0.1/0.2543)*1000)/1000</f>
        <v>6.9602831301612267E-2</v>
      </c>
      <c r="AV36" s="72">
        <v>0.87883999999999995</v>
      </c>
      <c r="AW36" s="72">
        <v>0.98658000000000001</v>
      </c>
      <c r="AX36" s="2">
        <f>(Input!AX32*(0.1/0.2543)*1000)/1000</f>
        <v>1.1797090051120724E-3</v>
      </c>
    </row>
    <row r="37" spans="1:50" x14ac:dyDescent="0.3">
      <c r="A37" s="2" t="s">
        <v>56</v>
      </c>
      <c r="B37" s="2">
        <f>(Input!B33*(0.1/0.2588)*1000)/1000</f>
        <v>5.9273570324574969</v>
      </c>
      <c r="C37" s="2">
        <f>(Input!C33*(0.1/0.2588)*1000)/1000</f>
        <v>36.731066460587336</v>
      </c>
      <c r="D37" s="2">
        <f>(Input!D33*(0.1/0.2588)*1000)/1000</f>
        <v>3289.799072642968</v>
      </c>
      <c r="E37" s="2">
        <f>(Input!E33*(0.1/0.2588)*1000)/1000</f>
        <v>31.375579598145293</v>
      </c>
      <c r="F37" s="2">
        <f>(Input!F33*(0.1/0.2588)*1000)/1000</f>
        <v>1934.3122102009277</v>
      </c>
      <c r="G37" s="2">
        <f>(Input!G33*(0.1/0.2588)*1000)/1000</f>
        <v>28813.755795981459</v>
      </c>
      <c r="H37" s="2">
        <f>(Input!H33*(0.1/0.2588)*1000)/1000</f>
        <v>39605.873261205576</v>
      </c>
      <c r="I37" s="2">
        <f>(Input!I33*(0.1/0.2588)*1000)/1000</f>
        <v>164.68315301391038</v>
      </c>
      <c r="J37" s="2">
        <f>(Input!J33*(0.1/0.2588)*1000)/1000</f>
        <v>0.47102009273570339</v>
      </c>
      <c r="K37" s="2">
        <f>(Input!K33*(0.1/0.2588)*1000)/1000</f>
        <v>0.77357032457496144</v>
      </c>
      <c r="L37" s="2">
        <f>(Input!L33*(0.1/0.2588)*1000)/1000</f>
        <v>72.179289026275129</v>
      </c>
      <c r="M37" s="2">
        <f>(Input!M33*(0.1/0.2588)*1000)/1000</f>
        <v>114.18083462132924</v>
      </c>
      <c r="N37" s="2">
        <f>(Input!N33*(0.1/0.2588)*1000)/1000</f>
        <v>0.16924265842349309</v>
      </c>
      <c r="O37" s="2">
        <f>(Input!O33*(0.1/0.2588)*1000)/1000</f>
        <v>0.68276661514683168</v>
      </c>
      <c r="P37" s="2">
        <f>(Input!P33*(0.1/0.2588)*1000)/1000</f>
        <v>9.4049459041731076</v>
      </c>
      <c r="Q37" s="2">
        <f>(Input!Q33*(0.1/0.2588)*1000)/1000</f>
        <v>25.645285935085013</v>
      </c>
      <c r="R37" s="2">
        <f>(Input!R33*(0.1/0.2588)*1000)/1000</f>
        <v>9.3276661514683177</v>
      </c>
      <c r="S37" s="72">
        <v>0.89707999999999999</v>
      </c>
      <c r="T37" s="72">
        <v>0.90532000000000001</v>
      </c>
      <c r="U37" s="2">
        <f>(Input!U33*(0.1/0.2588)*1000)/1000</f>
        <v>6.7233384853168474E-2</v>
      </c>
      <c r="V37" s="2">
        <f>(Input!V33*(0.1/0.2588)*1000)/1000</f>
        <v>0.32650695517774347</v>
      </c>
      <c r="W37" s="2">
        <f>(Input!W33*(0.1/0.2588)*1000)/1000</f>
        <v>10.038639876352399</v>
      </c>
      <c r="X37" s="2">
        <f>(Input!X33*(0.1/0.2588)*1000)/1000</f>
        <v>216.57650695517779</v>
      </c>
      <c r="Y37" s="2">
        <f>(Input!Y33*(0.1/0.2588)*1000)/1000</f>
        <v>3.8639876352395681E-3</v>
      </c>
      <c r="Z37" s="2">
        <f>(Input!Z33*(0.1/0.2588)*1000)/1000</f>
        <v>0.45324574961360137</v>
      </c>
      <c r="AA37" s="2">
        <f>(Input!AA33*(0.1/0.2588)*1000)/1000</f>
        <v>1.5455950540958273E-3</v>
      </c>
      <c r="AB37" s="2">
        <f>(Input!AB33*(0.1/0.2588)*1000)/1000</f>
        <v>7.3415765069551791E-3</v>
      </c>
      <c r="AC37" s="2">
        <f>(Input!AC33*(0.1/0.2588)*1000)/1000</f>
        <v>0.10741885625965999</v>
      </c>
      <c r="AD37" s="2">
        <f>(Input!AD33*(0.1/0.2588)*1000)/1000</f>
        <v>1.2244976816074191</v>
      </c>
      <c r="AE37" s="2">
        <f>(Input!AE33*(0.1/0.2588)*1000)/1000</f>
        <v>7.7279752704791371E-2</v>
      </c>
      <c r="AF37" s="72">
        <v>0.93777999999999995</v>
      </c>
      <c r="AG37" s="72">
        <v>1.0513600000000001</v>
      </c>
      <c r="AH37" s="2">
        <f>(Input!AH33*(0.1/0.2588)*1000)/1000</f>
        <v>7.7279752704791363E-3</v>
      </c>
      <c r="AI37" s="2">
        <f>(Input!AI33*(0.1/0.2588)*1000)/1000</f>
        <v>-4.2503863987635249E-3</v>
      </c>
      <c r="AJ37" s="2">
        <f>(Input!AJ33*(0.1/0.2588)*1000)/1000</f>
        <v>7.7279752704791365E-4</v>
      </c>
      <c r="AK37" s="2">
        <f>(Input!AK33*(0.1/0.2588)*1000)/1000</f>
        <v>2.1638330757341583E-2</v>
      </c>
      <c r="AL37" s="2">
        <f>(Input!AL33*(0.1/0.2588)*1000)/1000</f>
        <v>348.99536321483777</v>
      </c>
      <c r="AM37" s="2">
        <f>(Input!AM33*(0.1/0.2588)*1000)/1000</f>
        <v>1.5455950540958273E-3</v>
      </c>
      <c r="AN37" s="2">
        <f>(Input!AN33*(0.1/0.2588)*1000)/1000</f>
        <v>2.0479134466769709E-2</v>
      </c>
      <c r="AO37" s="2">
        <f>(Input!AO33*(0.1/0.2588)*1000)/1000</f>
        <v>9.6599690880989214E-3</v>
      </c>
      <c r="AP37" s="2">
        <f>(Input!AP33*(0.1/0.2588)*1000)/1000</f>
        <v>9.2735703245749642E-3</v>
      </c>
      <c r="AQ37" s="2">
        <f>(Input!AQ33*(0.1/0.2588)*1000)/1000</f>
        <v>0</v>
      </c>
      <c r="AR37" s="2">
        <f>(Input!AR33*(0.1/0.2588)*1000)/1000</f>
        <v>0</v>
      </c>
      <c r="AS37" s="2">
        <f>(Input!AS33*(0.1/0.2588)*1000)/1000</f>
        <v>0.10510046367851626</v>
      </c>
      <c r="AT37" s="2">
        <f>(Input!AT33*(0.1/0.2588)*1000)/1000</f>
        <v>3.1684698608964459E-2</v>
      </c>
      <c r="AU37" s="2">
        <f>(Input!AU33*(0.1/0.2588)*1000)/1000</f>
        <v>0.14219474497681611</v>
      </c>
      <c r="AV37" s="72">
        <v>0.84906999999999999</v>
      </c>
      <c r="AW37" s="72">
        <v>0.97896000000000005</v>
      </c>
      <c r="AX37" s="2">
        <f>(Input!AX33*(0.1/0.2588)*1000)/1000</f>
        <v>2.3183925811437411E-3</v>
      </c>
    </row>
    <row r="38" spans="1:50" x14ac:dyDescent="0.3">
      <c r="A38" s="2" t="s">
        <v>57</v>
      </c>
      <c r="B38" s="2">
        <f>(Input!B34*(0.1/0.2541)*1000)/1000</f>
        <v>3.7335694608421885</v>
      </c>
      <c r="C38" s="2">
        <f>(Input!C34*(0.1/0.2541)*1000)/1000</f>
        <v>57.929948839039746</v>
      </c>
      <c r="D38" s="2">
        <f>(Input!D34*(0.1/0.2541)*1000)/1000</f>
        <v>2697.7567886658799</v>
      </c>
      <c r="E38" s="2">
        <f>(Input!E34*(0.1/0.2541)*1000)/1000</f>
        <v>46.084218811491539</v>
      </c>
      <c r="F38" s="2">
        <f>(Input!F34*(0.1/0.2541)*1000)/1000</f>
        <v>1640.2990948445495</v>
      </c>
      <c r="G38" s="2">
        <f>(Input!G34*(0.1/0.2541)*1000)/1000</f>
        <v>26591.892955529322</v>
      </c>
      <c r="H38" s="2">
        <f>(Input!H34*(0.1/0.2541)*1000)/1000</f>
        <v>34876.033057851244</v>
      </c>
      <c r="I38" s="2">
        <f>(Input!I34*(0.1/0.2541)*1000)/1000</f>
        <v>148.68162140889416</v>
      </c>
      <c r="J38" s="2">
        <f>(Input!J34*(0.1/0.2541)*1000)/1000</f>
        <v>0.59582841401023223</v>
      </c>
      <c r="K38" s="2">
        <f>(Input!K34*(0.1/0.2541)*1000)/1000</f>
        <v>0.92207792207792216</v>
      </c>
      <c r="L38" s="2">
        <f>(Input!L34*(0.1/0.2541)*1000)/1000</f>
        <v>92.837465564738295</v>
      </c>
      <c r="M38" s="2">
        <f>(Input!M34*(0.1/0.2541)*1000)/1000</f>
        <v>177.41046831955924</v>
      </c>
      <c r="N38" s="2">
        <f>(Input!N34*(0.1/0.2541)*1000)/1000</f>
        <v>0.19165682802046438</v>
      </c>
      <c r="O38" s="2">
        <f>(Input!O34*(0.1/0.2541)*1000)/1000</f>
        <v>0.55332546241637148</v>
      </c>
      <c r="P38" s="2">
        <f>(Input!P34*(0.1/0.2541)*1000)/1000</f>
        <v>13.876426603699331</v>
      </c>
      <c r="Q38" s="2">
        <f>(Input!Q34*(0.1/0.2541)*1000)/1000</f>
        <v>21.609602518693428</v>
      </c>
      <c r="R38" s="2">
        <f>(Input!R34*(0.1/0.2541)*1000)/1000</f>
        <v>7.0247933884297531</v>
      </c>
      <c r="S38" s="72">
        <v>0.88837999999999995</v>
      </c>
      <c r="T38" s="72">
        <v>0.89693000000000001</v>
      </c>
      <c r="U38" s="2">
        <f>(Input!U34*(0.1/0.2541)*1000)/1000</f>
        <v>0.12632821723730817</v>
      </c>
      <c r="V38" s="2">
        <f>(Input!V34*(0.1/0.2541)*1000)/1000</f>
        <v>1.9874065328610784</v>
      </c>
      <c r="W38" s="2">
        <f>(Input!W34*(0.1/0.2541)*1000)/1000</f>
        <v>20.735930735930737</v>
      </c>
      <c r="X38" s="2">
        <f>(Input!X34*(0.1/0.2541)*1000)/1000</f>
        <v>150.17709563164109</v>
      </c>
      <c r="Y38" s="2">
        <f>(Input!Y34*(0.1/0.2541)*1000)/1000</f>
        <v>6.2967335694608427E-3</v>
      </c>
      <c r="Z38" s="2">
        <f>(Input!Z34*(0.1/0.2541)*1000)/1000</f>
        <v>0.60920897284533659</v>
      </c>
      <c r="AA38" s="2">
        <f>(Input!AA34*(0.1/0.2541)*1000)/1000</f>
        <v>7.8709169618260534E-4</v>
      </c>
      <c r="AB38" s="2">
        <f>(Input!AB34*(0.1/0.2541)*1000)/1000</f>
        <v>4.7225501770956323E-3</v>
      </c>
      <c r="AC38" s="2">
        <f>(Input!AC34*(0.1/0.2541)*1000)/1000</f>
        <v>7.5560802833530116E-2</v>
      </c>
      <c r="AD38" s="2">
        <f>(Input!AD34*(0.1/0.2541)*1000)/1000</f>
        <v>1.2321920503738686</v>
      </c>
      <c r="AE38" s="2">
        <f>(Input!AE34*(0.1/0.2541)*1000)/1000</f>
        <v>5.7064147973238881E-2</v>
      </c>
      <c r="AF38" s="72">
        <v>0.94121999999999995</v>
      </c>
      <c r="AG38" s="72">
        <v>1.0663800000000001</v>
      </c>
      <c r="AH38" s="2">
        <f>(Input!AH34*(0.1/0.2541)*1000)/1000</f>
        <v>0</v>
      </c>
      <c r="AI38" s="2">
        <f>(Input!AI34*(0.1/0.2541)*1000)/1000</f>
        <v>-5.9031877213695395E-3</v>
      </c>
      <c r="AJ38" s="2">
        <f>(Input!AJ34*(0.1/0.2541)*1000)/1000</f>
        <v>1.5741833923652107E-3</v>
      </c>
      <c r="AK38" s="2">
        <f>(Input!AK34*(0.1/0.2541)*1000)/1000</f>
        <v>0.13459268004722552</v>
      </c>
      <c r="AL38" s="2">
        <f>(Input!AL34*(0.1/0.2541)*1000)/1000</f>
        <v>262.53443526170804</v>
      </c>
      <c r="AM38" s="2">
        <f>(Input!AM34*(0.1/0.2541)*1000)/1000</f>
        <v>1.9677292404565133E-3</v>
      </c>
      <c r="AN38" s="2">
        <f>(Input!AN34*(0.1/0.2541)*1000)/1000</f>
        <v>2.4399842581660766E-2</v>
      </c>
      <c r="AO38" s="2">
        <f>(Input!AO34*(0.1/0.2541)*1000)/1000</f>
        <v>9.4451003541912645E-3</v>
      </c>
      <c r="AP38" s="2">
        <f>(Input!AP34*(0.1/0.2541)*1000)/1000</f>
        <v>9.4451003541912645E-3</v>
      </c>
      <c r="AQ38" s="2">
        <f>(Input!AQ34*(0.1/0.2541)*1000)/1000</f>
        <v>0</v>
      </c>
      <c r="AR38" s="2">
        <f>(Input!AR34*(0.1/0.2541)*1000)/1000</f>
        <v>0</v>
      </c>
      <c r="AS38" s="2">
        <f>(Input!AS34*(0.1/0.2541)*1000)/1000</f>
        <v>0.11216056670602124</v>
      </c>
      <c r="AT38" s="2">
        <f>(Input!AT34*(0.1/0.2541)*1000)/1000</f>
        <v>6.0999606454151915E-2</v>
      </c>
      <c r="AU38" s="2">
        <f>(Input!AU34*(0.1/0.2541)*1000)/1000</f>
        <v>0.20818575364029912</v>
      </c>
      <c r="AV38" s="72">
        <v>0.85433000000000003</v>
      </c>
      <c r="AW38" s="72">
        <v>0.99058000000000002</v>
      </c>
      <c r="AX38" s="2">
        <f>(Input!AX34*(0.1/0.2541)*1000)/1000</f>
        <v>3.1483667847304214E-3</v>
      </c>
    </row>
    <row r="39" spans="1:50" x14ac:dyDescent="0.3">
      <c r="A39" s="2" t="s">
        <v>58</v>
      </c>
      <c r="B39" s="2">
        <f>(Input!B35*(0.1/0.2545)*1000)/1000</f>
        <v>3.4491159135559926</v>
      </c>
      <c r="C39" s="2">
        <f>(Input!C35*(0.1/0.2545)*1000)/1000</f>
        <v>67.347740667976439</v>
      </c>
      <c r="D39" s="2">
        <f>(Input!D35*(0.1/0.2545)*1000)/1000</f>
        <v>2290.3732809430257</v>
      </c>
      <c r="E39" s="2">
        <f>(Input!E35*(0.1/0.2545)*1000)/1000</f>
        <v>60.353634577603145</v>
      </c>
      <c r="F39" s="2">
        <f>(Input!F35*(0.1/0.2545)*1000)/1000</f>
        <v>2106.0903732809434</v>
      </c>
      <c r="G39" s="2">
        <f>(Input!G35*(0.1/0.2545)*1000)/1000</f>
        <v>29528.487229862476</v>
      </c>
      <c r="H39" s="2">
        <f>(Input!H35*(0.1/0.2545)*1000)/1000</f>
        <v>34333.988212180746</v>
      </c>
      <c r="I39" s="2">
        <f>(Input!I35*(0.1/0.2545)*1000)/1000</f>
        <v>146.95481335952849</v>
      </c>
      <c r="J39" s="2">
        <f>(Input!J35*(0.1/0.2545)*1000)/1000</f>
        <v>0.5449901768172889</v>
      </c>
      <c r="K39" s="2">
        <f>(Input!K35*(0.1/0.2545)*1000)/1000</f>
        <v>0.67308447937131644</v>
      </c>
      <c r="L39" s="2">
        <f>(Input!L35*(0.1/0.2545)*1000)/1000</f>
        <v>73.595284872298635</v>
      </c>
      <c r="M39" s="2">
        <f>(Input!M35*(0.1/0.2545)*1000)/1000</f>
        <v>103.02554027504912</v>
      </c>
      <c r="N39" s="2">
        <f>(Input!N35*(0.1/0.2545)*1000)/1000</f>
        <v>0.42946954813359528</v>
      </c>
      <c r="O39" s="2">
        <f>(Input!O35*(0.1/0.2545)*1000)/1000</f>
        <v>0.45265225933202358</v>
      </c>
      <c r="P39" s="2">
        <f>(Input!P35*(0.1/0.2545)*1000)/1000</f>
        <v>14.157170923379176</v>
      </c>
      <c r="Q39" s="2">
        <f>(Input!Q35*(0.1/0.2545)*1000)/1000</f>
        <v>26.664047151277014</v>
      </c>
      <c r="R39" s="2">
        <f>(Input!R35*(0.1/0.2545)*1000)/1000</f>
        <v>10.616895874263262</v>
      </c>
      <c r="S39" s="72">
        <v>0.91303999999999996</v>
      </c>
      <c r="T39" s="72">
        <v>0.91990000000000005</v>
      </c>
      <c r="U39" s="2">
        <f>(Input!U35*(0.1/0.2545)*1000)/1000</f>
        <v>0.17367387033398823</v>
      </c>
      <c r="V39" s="2">
        <f>(Input!V35*(0.1/0.2545)*1000)/1000</f>
        <v>0.58703339882121808</v>
      </c>
      <c r="W39" s="2">
        <f>(Input!W35*(0.1/0.2545)*1000)/1000</f>
        <v>2.4298624754420435</v>
      </c>
      <c r="X39" s="2">
        <f>(Input!X35*(0.1/0.2545)*1000)/1000</f>
        <v>218.86051080550101</v>
      </c>
      <c r="Y39" s="2">
        <f>(Input!Y35*(0.1/0.2545)*1000)/1000</f>
        <v>3.1434184675834973E-3</v>
      </c>
      <c r="Z39" s="2">
        <f>(Input!Z35*(0.1/0.2545)*1000)/1000</f>
        <v>0.76031434184675839</v>
      </c>
      <c r="AA39" s="2">
        <f>(Input!AA35*(0.1/0.2545)*1000)/1000</f>
        <v>1.1787819253438116E-3</v>
      </c>
      <c r="AB39" s="2">
        <f>(Input!AB35*(0.1/0.2545)*1000)/1000</f>
        <v>7.4656188605108061E-3</v>
      </c>
      <c r="AC39" s="2">
        <f>(Input!AC35*(0.1/0.2545)*1000)/1000</f>
        <v>0.10491159135559923</v>
      </c>
      <c r="AD39" s="2">
        <f>(Input!AD35*(0.1/0.2545)*1000)/1000</f>
        <v>1.2444007858546169</v>
      </c>
      <c r="AE39" s="2">
        <f>(Input!AE35*(0.1/0.2545)*1000)/1000</f>
        <v>2.2789783889980354E-2</v>
      </c>
      <c r="AF39" s="72">
        <v>0.95331999999999995</v>
      </c>
      <c r="AG39" s="72">
        <v>1.0738799999999999</v>
      </c>
      <c r="AH39" s="2">
        <f>(Input!AH35*(0.1/0.2545)*1000)/1000</f>
        <v>-8.6444007858546175E-3</v>
      </c>
      <c r="AI39" s="2">
        <f>(Input!AI35*(0.1/0.2545)*1000)/1000</f>
        <v>-9.8231827111984298E-3</v>
      </c>
      <c r="AJ39" s="2">
        <f>(Input!AJ35*(0.1/0.2545)*1000)/1000</f>
        <v>0</v>
      </c>
      <c r="AK39" s="2">
        <f>(Input!AK35*(0.1/0.2545)*1000)/1000</f>
        <v>1.8860510805500986E-2</v>
      </c>
      <c r="AL39" s="2">
        <f>(Input!AL35*(0.1/0.2545)*1000)/1000</f>
        <v>390.33398821218077</v>
      </c>
      <c r="AM39" s="2">
        <f>(Input!AM35*(0.1/0.2545)*1000)/1000</f>
        <v>7.8585461689587434E-4</v>
      </c>
      <c r="AN39" s="2">
        <f>(Input!AN35*(0.1/0.2545)*1000)/1000</f>
        <v>3.3005893909626723E-2</v>
      </c>
      <c r="AO39" s="2">
        <f>(Input!AO35*(0.1/0.2545)*1000)/1000</f>
        <v>2.0432220039292733E-2</v>
      </c>
      <c r="AP39" s="2">
        <f>(Input!AP35*(0.1/0.2545)*1000)/1000</f>
        <v>2.0432220039292733E-2</v>
      </c>
      <c r="AQ39" s="2">
        <f>(Input!AQ35*(0.1/0.2545)*1000)/1000</f>
        <v>0</v>
      </c>
      <c r="AR39" s="2">
        <f>(Input!AR35*(0.1/0.2545)*1000)/1000</f>
        <v>0</v>
      </c>
      <c r="AS39" s="2">
        <f>(Input!AS35*(0.1/0.2545)*1000)/1000</f>
        <v>0.10805500982318272</v>
      </c>
      <c r="AT39" s="2">
        <f>(Input!AT35*(0.1/0.2545)*1000)/1000</f>
        <v>3.9292730844793719E-3</v>
      </c>
      <c r="AU39" s="2">
        <f>(Input!AU35*(0.1/0.2545)*1000)/1000</f>
        <v>0.16149312377210218</v>
      </c>
      <c r="AV39" s="72">
        <v>0.86060000000000003</v>
      </c>
      <c r="AW39" s="72">
        <v>0.99063000000000001</v>
      </c>
      <c r="AX39" s="2">
        <f>(Input!AX35*(0.1/0.2545)*1000)/1000</f>
        <v>4.3222003929273087E-3</v>
      </c>
    </row>
    <row r="40" spans="1:50" x14ac:dyDescent="0.3">
      <c r="A40" s="2" t="s">
        <v>59</v>
      </c>
      <c r="B40" s="2">
        <f>(Input!B36*(0.1/0.2545)*1000)/1000</f>
        <v>3.2632612966601182</v>
      </c>
      <c r="C40" s="2">
        <f>(Input!C36*(0.1/0.2545)*1000)/1000</f>
        <v>100.15717092337918</v>
      </c>
      <c r="D40" s="2">
        <f>(Input!D36*(0.1/0.2545)*1000)/1000</f>
        <v>3529.2730844793714</v>
      </c>
      <c r="E40" s="2">
        <f>(Input!E36*(0.1/0.2545)*1000)/1000</f>
        <v>22.974459724950886</v>
      </c>
      <c r="F40" s="2">
        <f>(Input!F36*(0.1/0.2545)*1000)/1000</f>
        <v>1654.6168958742635</v>
      </c>
      <c r="G40" s="2">
        <f>(Input!G36*(0.1/0.2545)*1000)/1000</f>
        <v>26447.93713163065</v>
      </c>
      <c r="H40" s="2">
        <f>(Input!H36*(0.1/0.2545)*1000)/1000</f>
        <v>34864.440078585467</v>
      </c>
      <c r="I40" s="2">
        <f>(Input!I36*(0.1/0.2545)*1000)/1000</f>
        <v>144.87229862475442</v>
      </c>
      <c r="J40" s="2">
        <f>(Input!J36*(0.1/0.2545)*1000)/1000</f>
        <v>0.60196463654223975</v>
      </c>
      <c r="K40" s="2">
        <f>(Input!K36*(0.1/0.2545)*1000)/1000</f>
        <v>1.0585461689587428</v>
      </c>
      <c r="L40" s="2">
        <f>(Input!L36*(0.1/0.2545)*1000)/1000</f>
        <v>89.86247544204322</v>
      </c>
      <c r="M40" s="2">
        <f>(Input!M36*(0.1/0.2545)*1000)/1000</f>
        <v>110.88408644400786</v>
      </c>
      <c r="N40" s="2">
        <f>(Input!N36*(0.1/0.2545)*1000)/1000</f>
        <v>0.16227897838899805</v>
      </c>
      <c r="O40" s="2">
        <f>(Input!O36*(0.1/0.2545)*1000)/1000</f>
        <v>0.60707269155206289</v>
      </c>
      <c r="P40" s="2">
        <f>(Input!P36*(0.1/0.2545)*1000)/1000</f>
        <v>9.8231827111984291</v>
      </c>
      <c r="Q40" s="2">
        <f>(Input!Q36*(0.1/0.2545)*1000)/1000</f>
        <v>27.335952848722986</v>
      </c>
      <c r="R40" s="2">
        <f>(Input!R36*(0.1/0.2545)*1000)/1000</f>
        <v>9.6149312377210219</v>
      </c>
      <c r="S40" s="72">
        <v>0.89183000000000001</v>
      </c>
      <c r="T40" s="72">
        <v>0.90720000000000001</v>
      </c>
      <c r="U40" s="2">
        <f>(Input!U36*(0.1/0.2545)*1000)/1000</f>
        <v>8.5658153241650298E-2</v>
      </c>
      <c r="V40" s="2">
        <f>(Input!V36*(0.1/0.2545)*1000)/1000</f>
        <v>0.59449901768172886</v>
      </c>
      <c r="W40" s="2">
        <f>(Input!W36*(0.1/0.2545)*1000)/1000</f>
        <v>4.6758349705304525</v>
      </c>
      <c r="X40" s="2">
        <f>(Input!X36*(0.1/0.2545)*1000)/1000</f>
        <v>171.47347740667976</v>
      </c>
      <c r="Y40" s="2">
        <f>(Input!Y36*(0.1/0.2545)*1000)/1000</f>
        <v>3.9292730844793719E-3</v>
      </c>
      <c r="Z40" s="2">
        <f>(Input!Z36*(0.1/0.2545)*1000)/1000</f>
        <v>0.36895874263261297</v>
      </c>
      <c r="AA40" s="2">
        <f>(Input!AA36*(0.1/0.2545)*1000)/1000</f>
        <v>1.1787819253438116E-3</v>
      </c>
      <c r="AB40" s="2">
        <f>(Input!AB36*(0.1/0.2545)*1000)/1000</f>
        <v>5.893909626719057E-3</v>
      </c>
      <c r="AC40" s="2">
        <f>(Input!AC36*(0.1/0.2545)*1000)/1000</f>
        <v>8.9194499017681741E-2</v>
      </c>
      <c r="AD40" s="2">
        <f>(Input!AD36*(0.1/0.2545)*1000)/1000</f>
        <v>1.2306483300589393</v>
      </c>
      <c r="AE40" s="2">
        <f>(Input!AE36*(0.1/0.2545)*1000)/1000</f>
        <v>5.5402750491159135E-2</v>
      </c>
      <c r="AF40" s="72">
        <v>0.94984000000000002</v>
      </c>
      <c r="AG40" s="72">
        <v>1.0875300000000001</v>
      </c>
      <c r="AH40" s="2">
        <f>(Input!AH36*(0.1/0.2545)*1000)/1000</f>
        <v>8.6444007858546175E-3</v>
      </c>
      <c r="AI40" s="2">
        <f>(Input!AI36*(0.1/0.2545)*1000)/1000</f>
        <v>-2.7504911591355601E-3</v>
      </c>
      <c r="AJ40" s="2">
        <f>(Input!AJ36*(0.1/0.2545)*1000)/1000</f>
        <v>7.8585461689587434E-4</v>
      </c>
      <c r="AK40" s="2">
        <f>(Input!AK36*(0.1/0.2545)*1000)/1000</f>
        <v>1.6110019646365423E-2</v>
      </c>
      <c r="AL40" s="2">
        <f>(Input!AL36*(0.1/0.2545)*1000)/1000</f>
        <v>360.23575638506878</v>
      </c>
      <c r="AM40" s="2">
        <f>(Input!AM36*(0.1/0.2545)*1000)/1000</f>
        <v>1.5717092337917487E-3</v>
      </c>
      <c r="AN40" s="2">
        <f>(Input!AN36*(0.1/0.2545)*1000)/1000</f>
        <v>1.4145383104125737E-2</v>
      </c>
      <c r="AO40" s="2">
        <f>(Input!AO36*(0.1/0.2545)*1000)/1000</f>
        <v>1.2966601178781926E-2</v>
      </c>
      <c r="AP40" s="2">
        <f>(Input!AP36*(0.1/0.2545)*1000)/1000</f>
        <v>1.2573673870333989E-2</v>
      </c>
      <c r="AQ40" s="2">
        <f>(Input!AQ36*(0.1/0.2545)*1000)/1000</f>
        <v>0</v>
      </c>
      <c r="AR40" s="2">
        <f>(Input!AR36*(0.1/0.2545)*1000)/1000</f>
        <v>0</v>
      </c>
      <c r="AS40" s="2">
        <f>(Input!AS36*(0.1/0.2545)*1000)/1000</f>
        <v>0.10491159135559923</v>
      </c>
      <c r="AT40" s="2">
        <f>(Input!AT36*(0.1/0.2545)*1000)/1000</f>
        <v>9.4302554027504929E-3</v>
      </c>
      <c r="AU40" s="2">
        <f>(Input!AU36*(0.1/0.2545)*1000)/1000</f>
        <v>0.35874263261296663</v>
      </c>
      <c r="AV40" s="72">
        <v>0.85931000000000002</v>
      </c>
      <c r="AW40" s="72">
        <v>1.0041800000000001</v>
      </c>
      <c r="AX40" s="2">
        <f>(Input!AX36*(0.1/0.2545)*1000)/1000</f>
        <v>1.964636542239686E-3</v>
      </c>
    </row>
    <row r="41" spans="1:50" x14ac:dyDescent="0.3">
      <c r="A41" s="2" t="s">
        <v>61</v>
      </c>
      <c r="B41" s="2">
        <f>(Input!B37*(0.1/0.2545)*1000)/1000</f>
        <v>2.4691552062868372</v>
      </c>
      <c r="C41" s="2">
        <f>(Input!C37*(0.1/0.2545)*1000)/1000</f>
        <v>45.304518664047151</v>
      </c>
      <c r="D41" s="2">
        <f>(Input!D37*(0.1/0.2545)*1000)/1000</f>
        <v>2531.2377210216114</v>
      </c>
      <c r="E41" s="2">
        <f>(Input!E37*(0.1/0.2545)*1000)/1000</f>
        <v>39.410609037328094</v>
      </c>
      <c r="F41" s="2">
        <f>(Input!F37*(0.1/0.2545)*1000)/1000</f>
        <v>2300.589390962672</v>
      </c>
      <c r="G41" s="2">
        <f>(Input!G37*(0.1/0.2545)*1000)/1000</f>
        <v>31783.889980353637</v>
      </c>
      <c r="H41" s="2">
        <f>(Input!H37*(0.1/0.2545)*1000)/1000</f>
        <v>31375.245579567782</v>
      </c>
      <c r="I41" s="2">
        <f>(Input!I37*(0.1/0.2545)*1000)/1000</f>
        <v>134.61689587426329</v>
      </c>
      <c r="J41" s="2">
        <f>(Input!J37*(0.1/0.2545)*1000)/1000</f>
        <v>0.51001964636542241</v>
      </c>
      <c r="K41" s="2">
        <f>(Input!K37*(0.1/0.2545)*1000)/1000</f>
        <v>0.65068762278978387</v>
      </c>
      <c r="L41" s="2">
        <f>(Input!L37*(0.1/0.2545)*1000)/1000</f>
        <v>101.84675834970531</v>
      </c>
      <c r="M41" s="2">
        <f>(Input!M37*(0.1/0.2545)*1000)/1000</f>
        <v>134.42043222003932</v>
      </c>
      <c r="N41" s="2">
        <f>(Input!N37*(0.1/0.2545)*1000)/1000</f>
        <v>0.22632612966601179</v>
      </c>
      <c r="O41" s="2">
        <f>(Input!O37*(0.1/0.2545)*1000)/1000</f>
        <v>0.51630648330058948</v>
      </c>
      <c r="P41" s="2">
        <f>(Input!P37*(0.1/0.2545)*1000)/1000</f>
        <v>8.7229862475442044</v>
      </c>
      <c r="Q41" s="2">
        <f>(Input!Q37*(0.1/0.2545)*1000)/1000</f>
        <v>26.801571709233791</v>
      </c>
      <c r="R41" s="2">
        <f>(Input!R37*(0.1/0.2545)*1000)/1000</f>
        <v>13.363457760314343</v>
      </c>
      <c r="S41" s="72">
        <v>0.88256999999999997</v>
      </c>
      <c r="T41" s="72">
        <v>0.89534999999999998</v>
      </c>
      <c r="U41" s="2">
        <f>(Input!U37*(0.1/0.2545)*1000)/1000</f>
        <v>8.2514734774066803E-2</v>
      </c>
      <c r="V41" s="2">
        <f>(Input!V37*(0.1/0.2545)*1000)/1000</f>
        <v>1.1021611001964637</v>
      </c>
      <c r="W41" s="2">
        <f>(Input!W37*(0.1/0.2545)*1000)/1000</f>
        <v>14.149312377210217</v>
      </c>
      <c r="X41" s="2">
        <f>(Input!X37*(0.1/0.2545)*1000)/1000</f>
        <v>146.32612966601178</v>
      </c>
      <c r="Y41" s="2">
        <f>(Input!Y37*(0.1/0.2545)*1000)/1000</f>
        <v>5.1080550098231833E-3</v>
      </c>
      <c r="Z41" s="2">
        <f>(Input!Z37*(0.1/0.2545)*1000)/1000</f>
        <v>0.59017681728880167</v>
      </c>
      <c r="AA41" s="2">
        <f>(Input!AA37*(0.1/0.2545)*1000)/1000</f>
        <v>1.1787819253438116E-3</v>
      </c>
      <c r="AB41" s="2">
        <f>(Input!AB37*(0.1/0.2545)*1000)/1000</f>
        <v>5.1080550098231833E-3</v>
      </c>
      <c r="AC41" s="2">
        <f>(Input!AC37*(0.1/0.2545)*1000)/1000</f>
        <v>7.072691552062868E-2</v>
      </c>
      <c r="AD41" s="2">
        <f>(Input!AD37*(0.1/0.2545)*1000)/1000</f>
        <v>0.61886051080550097</v>
      </c>
      <c r="AE41" s="2">
        <f>(Input!AE37*(0.1/0.2545)*1000)/1000</f>
        <v>5.0294695481335958E-2</v>
      </c>
      <c r="AF41" s="72">
        <v>0.93335999999999997</v>
      </c>
      <c r="AG41" s="72">
        <v>1.0602799999999999</v>
      </c>
      <c r="AH41" s="2">
        <f>(Input!AH37*(0.1/0.2545)*1000)/1000</f>
        <v>-6.6797642436149324E-3</v>
      </c>
      <c r="AI41" s="2">
        <f>(Input!AI37*(0.1/0.2545)*1000)/1000</f>
        <v>-1.3752455795677802E-2</v>
      </c>
      <c r="AJ41" s="2">
        <f>(Input!AJ37*(0.1/0.2545)*1000)/1000</f>
        <v>3.9292730844793717E-4</v>
      </c>
      <c r="AK41" s="2">
        <f>(Input!AK37*(0.1/0.2545)*1000)/1000</f>
        <v>3.37917485265226E-2</v>
      </c>
      <c r="AL41" s="2">
        <f>(Input!AL37*(0.1/0.2545)*1000)/1000</f>
        <v>496.66011787819258</v>
      </c>
      <c r="AM41" s="2">
        <f>(Input!AM37*(0.1/0.2545)*1000)/1000</f>
        <v>1.5717092337917487E-3</v>
      </c>
      <c r="AN41" s="2">
        <f>(Input!AN37*(0.1/0.2545)*1000)/1000</f>
        <v>1.5324165029469549E-2</v>
      </c>
      <c r="AO41" s="2">
        <f>(Input!AO37*(0.1/0.2545)*1000)/1000</f>
        <v>4.6758349705304521E-2</v>
      </c>
      <c r="AP41" s="2">
        <f>(Input!AP37*(0.1/0.2545)*1000)/1000</f>
        <v>4.6758349705304521E-2</v>
      </c>
      <c r="AQ41" s="2">
        <f>(Input!AQ37*(0.1/0.2545)*1000)/1000</f>
        <v>0</v>
      </c>
      <c r="AR41" s="2">
        <f>(Input!AR37*(0.1/0.2545)*1000)/1000</f>
        <v>0</v>
      </c>
      <c r="AS41" s="2">
        <f>(Input!AS37*(0.1/0.2545)*1000)/1000</f>
        <v>0.11473477406679765</v>
      </c>
      <c r="AT41" s="2">
        <f>(Input!AT37*(0.1/0.2545)*1000)/1000</f>
        <v>2.0039292730844795E-2</v>
      </c>
      <c r="AU41" s="2">
        <f>(Input!AU37*(0.1/0.2545)*1000)/1000</f>
        <v>8.7229862475442052E-2</v>
      </c>
      <c r="AV41" s="72">
        <v>0.84389000000000003</v>
      </c>
      <c r="AW41" s="72">
        <v>0.99053999999999998</v>
      </c>
      <c r="AX41" s="2">
        <f>(Input!AX37*(0.1/0.2545)*1000)/1000</f>
        <v>3.1434184675834973E-3</v>
      </c>
    </row>
    <row r="42" spans="1:50" x14ac:dyDescent="0.3">
      <c r="A42" s="2" t="s">
        <v>62</v>
      </c>
      <c r="B42" s="2">
        <f>(Input!B39*(0.1/0.2545)*1000)/1000</f>
        <v>3.0011787819253439</v>
      </c>
      <c r="C42" s="2">
        <f>(Input!C39*(0.1/0.2545)*1000)/1000</f>
        <v>113.83104125736739</v>
      </c>
      <c r="D42" s="2">
        <f>(Input!D39*(0.1/0.2545)*1000)/1000</f>
        <v>4459.7249508840869</v>
      </c>
      <c r="E42" s="2">
        <f>(Input!E39*(0.1/0.2545)*1000)/1000</f>
        <v>241.1787819253438</v>
      </c>
      <c r="F42" s="2">
        <f>(Input!F39*(0.1/0.2545)*1000)/1000</f>
        <v>1344.990176817289</v>
      </c>
      <c r="G42" s="2">
        <f>(Input!G39*(0.1/0.2545)*1000)/1000</f>
        <v>22070.72691552063</v>
      </c>
      <c r="H42" s="2">
        <f>(Input!H39*(0.1/0.2545)*1000)/1000</f>
        <v>46286.836935166997</v>
      </c>
      <c r="I42" s="2">
        <f>(Input!I39*(0.1/0.2545)*1000)/1000</f>
        <v>211.78781925343813</v>
      </c>
      <c r="J42" s="2">
        <f>(Input!J39*(0.1/0.2545)*1000)/1000</f>
        <v>0.97996070726915541</v>
      </c>
      <c r="K42" s="2">
        <f>(Input!K39*(0.1/0.2545)*1000)/1000</f>
        <v>0.75206286836935166</v>
      </c>
      <c r="L42" s="2">
        <f>(Input!L39*(0.1/0.2545)*1000)/1000</f>
        <v>109.27308447937133</v>
      </c>
      <c r="M42" s="2">
        <f>(Input!M39*(0.1/0.2545)*1000)/1000</f>
        <v>812.57367387033401</v>
      </c>
      <c r="N42" s="2">
        <f>(Input!N39*(0.1/0.2545)*1000)/1000</f>
        <v>0.41178781925343816</v>
      </c>
      <c r="O42" s="2">
        <f>(Input!O39*(0.1/0.2545)*1000)/1000</f>
        <v>1.3422396856581533</v>
      </c>
      <c r="P42" s="2">
        <f>(Input!P39*(0.1/0.2545)*1000)/1000</f>
        <v>10.970530451866406</v>
      </c>
      <c r="Q42" s="2">
        <f>(Input!Q39*(0.1/0.2545)*1000)/1000</f>
        <v>23.111984282907663</v>
      </c>
      <c r="R42" s="2">
        <f>(Input!R39*(0.1/0.2545)*1000)/1000</f>
        <v>10.774066797642437</v>
      </c>
      <c r="S42" s="72">
        <v>0.88568000000000002</v>
      </c>
      <c r="T42" s="72">
        <v>0.90164999999999995</v>
      </c>
      <c r="U42" s="2">
        <f>(Input!U39*(0.1/0.2545)*1000)/1000</f>
        <v>0.19489194499017684</v>
      </c>
      <c r="V42" s="2">
        <f>(Input!V39*(0.1/0.2545)*1000)/1000</f>
        <v>2.0550098231827114</v>
      </c>
      <c r="W42" s="2">
        <f>(Input!W39*(0.1/0.2545)*1000)/1000</f>
        <v>6.6719056974459736</v>
      </c>
      <c r="X42" s="2">
        <f>(Input!X39*(0.1/0.2545)*1000)/1000</f>
        <v>234.02750491159139</v>
      </c>
      <c r="Y42" s="2">
        <f>(Input!Y39*(0.1/0.2545)*1000)/1000</f>
        <v>3.2220039292730845E-2</v>
      </c>
      <c r="Z42" s="2">
        <f>(Input!Z39*(0.1/0.2545)*1000)/1000</f>
        <v>0.84557956777996079</v>
      </c>
      <c r="AA42" s="2">
        <f>(Input!AA39*(0.1/0.2545)*1000)/1000</f>
        <v>1.1787819253438116E-3</v>
      </c>
      <c r="AB42" s="2">
        <f>(Input!AB39*(0.1/0.2545)*1000)/1000</f>
        <v>7.8585461689587438E-3</v>
      </c>
      <c r="AC42" s="2">
        <f>(Input!AC39*(0.1/0.2545)*1000)/1000</f>
        <v>0.11552062868369352</v>
      </c>
      <c r="AD42" s="2">
        <f>(Input!AD39*(0.1/0.2545)*1000)/1000</f>
        <v>0.64282907662082511</v>
      </c>
      <c r="AE42" s="2">
        <f>(Input!AE39*(0.1/0.2545)*1000)/1000</f>
        <v>0.13673870333988211</v>
      </c>
      <c r="AF42" s="72">
        <v>0.93896000000000002</v>
      </c>
      <c r="AG42" s="72">
        <v>1.0620400000000001</v>
      </c>
      <c r="AH42" s="2">
        <f>(Input!AH39*(0.1/0.2545)*1000)/1000</f>
        <v>3.3398821218074665E-2</v>
      </c>
      <c r="AI42" s="2">
        <f>(Input!AI39*(0.1/0.2545)*1000)/1000</f>
        <v>-1.1394891944990177E-2</v>
      </c>
      <c r="AJ42" s="2">
        <f>(Input!AJ39*(0.1/0.2545)*1000)/1000</f>
        <v>3.9292730844793717E-4</v>
      </c>
      <c r="AK42" s="2">
        <f>(Input!AK39*(0.1/0.2545)*1000)/1000</f>
        <v>0.14734774066797643</v>
      </c>
      <c r="AL42" s="2">
        <f>(Input!AL39*(0.1/0.2545)*1000)/1000</f>
        <v>403.1434184675835</v>
      </c>
      <c r="AM42" s="2">
        <f>(Input!AM39*(0.1/0.2545)*1000)/1000</f>
        <v>8.2514734774066806E-3</v>
      </c>
      <c r="AN42" s="2">
        <f>(Input!AN39*(0.1/0.2545)*1000)/1000</f>
        <v>3.457760314341847E-2</v>
      </c>
      <c r="AO42" s="2">
        <f>(Input!AO39*(0.1/0.2545)*1000)/1000</f>
        <v>7.1119842829076629E-2</v>
      </c>
      <c r="AP42" s="2">
        <f>(Input!AP39*(0.1/0.2545)*1000)/1000</f>
        <v>7.1512770137524564E-2</v>
      </c>
      <c r="AQ42" s="2">
        <f>(Input!AQ39*(0.1/0.2545)*1000)/1000</f>
        <v>0</v>
      </c>
      <c r="AR42" s="2">
        <f>(Input!AR39*(0.1/0.2545)*1000)/1000</f>
        <v>0</v>
      </c>
      <c r="AS42" s="2">
        <f>(Input!AS39*(0.1/0.2545)*1000)/1000</f>
        <v>0.10609037328094303</v>
      </c>
      <c r="AT42" s="2">
        <f>(Input!AT39*(0.1/0.2545)*1000)/1000</f>
        <v>2.0039292730844795E-2</v>
      </c>
      <c r="AU42" s="2">
        <f>(Input!AU39*(0.1/0.2545)*1000)/1000</f>
        <v>0.48487229862475439</v>
      </c>
      <c r="AV42" s="72">
        <v>0.85404999999999998</v>
      </c>
      <c r="AW42" s="72">
        <v>0.99146000000000001</v>
      </c>
      <c r="AX42" s="2">
        <f>(Input!AX39*(0.1/0.2545)*1000)/1000</f>
        <v>4.1650294695481337E-2</v>
      </c>
    </row>
    <row r="43" spans="1:50" x14ac:dyDescent="0.3">
      <c r="A43" s="2" t="s">
        <v>63</v>
      </c>
      <c r="B43" s="2">
        <f>(Input!B40*(0.1/0.2545)*1000)/1000</f>
        <v>1.2294695481335953</v>
      </c>
      <c r="C43" s="2">
        <f>(Input!C40*(0.1/0.2545)*1000)/1000</f>
        <v>32.231827111984288</v>
      </c>
      <c r="D43" s="2">
        <f>(Input!D40*(0.1/0.2545)*1000)/1000</f>
        <v>1821.2180746561887</v>
      </c>
      <c r="E43" s="2">
        <f>(Input!E40*(0.1/0.2545)*1000)/1000</f>
        <v>71.787819253438116</v>
      </c>
      <c r="F43" s="2">
        <f>(Input!F40*(0.1/0.2545)*1000)/1000</f>
        <v>521.41453831041258</v>
      </c>
      <c r="G43" s="2">
        <f>(Input!G40*(0.1/0.2545)*1000)/1000</f>
        <v>16404.715127701376</v>
      </c>
      <c r="H43" s="2">
        <f>(Input!H40*(0.1/0.2545)*1000)/1000</f>
        <v>22074.656188605109</v>
      </c>
      <c r="I43" s="2">
        <f>(Input!I40*(0.1/0.2545)*1000)/1000</f>
        <v>102.5540275049116</v>
      </c>
      <c r="J43" s="2">
        <f>(Input!J40*(0.1/0.2545)*1000)/1000</f>
        <v>0.41060903732809428</v>
      </c>
      <c r="K43" s="2">
        <f>(Input!K40*(0.1/0.2545)*1000)/1000</f>
        <v>0.46208251473477407</v>
      </c>
      <c r="L43" s="2">
        <f>(Input!L40*(0.1/0.2545)*1000)/1000</f>
        <v>52.220039292730853</v>
      </c>
      <c r="M43" s="2">
        <f>(Input!M40*(0.1/0.2545)*1000)/1000</f>
        <v>187.30844793713163</v>
      </c>
      <c r="N43" s="2">
        <f>(Input!N40*(0.1/0.2545)*1000)/1000</f>
        <v>0.21611001964636545</v>
      </c>
      <c r="O43" s="2">
        <f>(Input!O40*(0.1/0.2545)*1000)/1000</f>
        <v>0.52966601178781936</v>
      </c>
      <c r="P43" s="2">
        <f>(Input!P40*(0.1/0.2545)*1000)/1000</f>
        <v>6.1768172888015727</v>
      </c>
      <c r="Q43" s="2">
        <f>(Input!Q40*(0.1/0.2545)*1000)/1000</f>
        <v>17.029469548133598</v>
      </c>
      <c r="R43" s="2">
        <f>(Input!R40*(0.1/0.2545)*1000)/1000</f>
        <v>9.394891944990178</v>
      </c>
      <c r="S43" s="72">
        <v>0.93228999999999995</v>
      </c>
      <c r="T43" s="72">
        <v>0.9143</v>
      </c>
      <c r="U43" s="2">
        <f>(Input!U40*(0.1/0.2545)*1000)/1000</f>
        <v>7.6227897838899814E-2</v>
      </c>
      <c r="V43" s="2">
        <f>(Input!V40*(0.1/0.2545)*1000)/1000</f>
        <v>0.4899803536345777</v>
      </c>
      <c r="W43" s="2">
        <f>(Input!W40*(0.1/0.2545)*1000)/1000</f>
        <v>3.3634577603143425</v>
      </c>
      <c r="X43" s="2">
        <f>(Input!X40*(0.1/0.2545)*1000)/1000</f>
        <v>172.10216110019647</v>
      </c>
      <c r="Y43" s="2">
        <f>(Input!Y40*(0.1/0.2545)*1000)/1000</f>
        <v>1.7288801571709235E-2</v>
      </c>
      <c r="Z43" s="2">
        <f>(Input!Z40*(0.1/0.2545)*1000)/1000</f>
        <v>0.40196463654223968</v>
      </c>
      <c r="AA43" s="2">
        <f>(Input!AA40*(0.1/0.2545)*1000)/1000</f>
        <v>1.1787819253438116E-3</v>
      </c>
      <c r="AB43" s="2">
        <f>(Input!AB40*(0.1/0.2545)*1000)/1000</f>
        <v>5.893909626719057E-3</v>
      </c>
      <c r="AC43" s="2">
        <f>(Input!AC40*(0.1/0.2545)*1000)/1000</f>
        <v>8.4479371316306492E-2</v>
      </c>
      <c r="AD43" s="2">
        <f>(Input!AD40*(0.1/0.2545)*1000)/1000</f>
        <v>0.62711198428290771</v>
      </c>
      <c r="AE43" s="2">
        <f>(Input!AE40*(0.1/0.2545)*1000)/1000</f>
        <v>4.950884086444008E-2</v>
      </c>
      <c r="AF43" s="72">
        <v>0.96752000000000005</v>
      </c>
      <c r="AG43" s="72">
        <v>1.07457</v>
      </c>
      <c r="AH43" s="2">
        <f>(Input!AH40*(0.1/0.2545)*1000)/1000</f>
        <v>-5.1080550098231833E-3</v>
      </c>
      <c r="AI43" s="2">
        <f>(Input!AI40*(0.1/0.2545)*1000)/1000</f>
        <v>-1.3752455795677802E-2</v>
      </c>
      <c r="AJ43" s="2">
        <f>(Input!AJ40*(0.1/0.2545)*1000)/1000</f>
        <v>1.1787819253438116E-3</v>
      </c>
      <c r="AK43" s="2">
        <f>(Input!AK40*(0.1/0.2545)*1000)/1000</f>
        <v>2.671905697445973E-2</v>
      </c>
      <c r="AL43" s="2">
        <f>(Input!AL40*(0.1/0.2545)*1000)/1000</f>
        <v>336.73870333988214</v>
      </c>
      <c r="AM43" s="2">
        <f>(Input!AM40*(0.1/0.2545)*1000)/1000</f>
        <v>2.3575638506876232E-3</v>
      </c>
      <c r="AN43" s="2">
        <f>(Input!AN40*(0.1/0.2545)*1000)/1000</f>
        <v>1.4931237721021612E-2</v>
      </c>
      <c r="AO43" s="2">
        <f>(Input!AO40*(0.1/0.2545)*1000)/1000</f>
        <v>3.6542239685658152E-2</v>
      </c>
      <c r="AP43" s="2">
        <f>(Input!AP40*(0.1/0.2545)*1000)/1000</f>
        <v>3.536345776031434E-2</v>
      </c>
      <c r="AQ43" s="2">
        <f>(Input!AQ40*(0.1/0.2545)*1000)/1000</f>
        <v>0</v>
      </c>
      <c r="AR43" s="2">
        <f>(Input!AR40*(0.1/0.2545)*1000)/1000</f>
        <v>0</v>
      </c>
      <c r="AS43" s="2">
        <f>(Input!AS40*(0.1/0.2545)*1000)/1000</f>
        <v>0.10962671905697448</v>
      </c>
      <c r="AT43" s="2">
        <f>(Input!AT40*(0.1/0.2545)*1000)/1000</f>
        <v>9.0373280943025543E-3</v>
      </c>
      <c r="AU43" s="2">
        <f>(Input!AU40*(0.1/0.2545)*1000)/1000</f>
        <v>0.1056974459724951</v>
      </c>
      <c r="AV43" s="72">
        <v>0.97321000000000002</v>
      </c>
      <c r="AW43" s="72">
        <v>1.02573</v>
      </c>
      <c r="AX43" s="2">
        <f>(Input!AX40*(0.1/0.2545)*1000)/1000</f>
        <v>2.7504911591355601E-3</v>
      </c>
    </row>
    <row r="44" spans="1:50" x14ac:dyDescent="0.3">
      <c r="A44" s="2" t="s">
        <v>64</v>
      </c>
      <c r="B44" s="2">
        <f>(Input!B41*(0.1/0.2545)*1000)/1000</f>
        <v>1.9760314341846759</v>
      </c>
      <c r="C44" s="2">
        <f>(Input!C41*(0.1/0.2545)*1000)/1000</f>
        <v>39.489194499017685</v>
      </c>
      <c r="D44" s="2">
        <f>(Input!D41*(0.1/0.2545)*1000)/1000</f>
        <v>2675.0491159135563</v>
      </c>
      <c r="E44" s="2">
        <f>(Input!E41*(0.1/0.2545)*1000)/1000</f>
        <v>26.149312377210219</v>
      </c>
      <c r="F44" s="2">
        <f>(Input!F41*(0.1/0.2545)*1000)/1000</f>
        <v>1771.7092337917486</v>
      </c>
      <c r="G44" s="2">
        <f>(Input!G41*(0.1/0.2545)*1000)/1000</f>
        <v>26306.483300589392</v>
      </c>
      <c r="H44" s="2">
        <f>(Input!H41*(0.1/0.2545)*1000)/1000</f>
        <v>35245.579567779962</v>
      </c>
      <c r="I44" s="2">
        <f>(Input!I41*(0.1/0.2545)*1000)/1000</f>
        <v>150.05893909626718</v>
      </c>
      <c r="J44" s="2">
        <f>(Input!J41*(0.1/0.2545)*1000)/1000</f>
        <v>0.48212180746561895</v>
      </c>
      <c r="K44" s="2">
        <f>(Input!K41*(0.1/0.2545)*1000)/1000</f>
        <v>0.73909626719056976</v>
      </c>
      <c r="L44" s="2">
        <f>(Input!L41*(0.1/0.2545)*1000)/1000</f>
        <v>106.20825147347742</v>
      </c>
      <c r="M44" s="2">
        <f>(Input!M41*(0.1/0.2545)*1000)/1000</f>
        <v>105.81532416502948</v>
      </c>
      <c r="N44" s="2">
        <f>(Input!N41*(0.1/0.2545)*1000)/1000</f>
        <v>0.35127701375245585</v>
      </c>
      <c r="O44" s="2">
        <f>(Input!O41*(0.1/0.2545)*1000)/1000</f>
        <v>0.82711198428290778</v>
      </c>
      <c r="P44" s="2">
        <f>(Input!P41*(0.1/0.2545)*1000)/1000</f>
        <v>9.0648330058939113</v>
      </c>
      <c r="Q44" s="2">
        <f>(Input!Q41*(0.1/0.2545)*1000)/1000</f>
        <v>24.821218074656191</v>
      </c>
      <c r="R44" s="2">
        <f>(Input!R41*(0.1/0.2545)*1000)/1000</f>
        <v>6.6286836935167006</v>
      </c>
      <c r="S44" s="72">
        <v>0.90378000000000003</v>
      </c>
      <c r="T44" s="72">
        <v>0.89881</v>
      </c>
      <c r="U44" s="2">
        <f>(Input!U41*(0.1/0.2545)*1000)/1000</f>
        <v>0.1056974459724951</v>
      </c>
      <c r="V44" s="2">
        <f>(Input!V41*(0.1/0.2545)*1000)/1000</f>
        <v>0.64557956777996073</v>
      </c>
      <c r="W44" s="2">
        <f>(Input!W41*(0.1/0.2545)*1000)/1000</f>
        <v>35.984282907662084</v>
      </c>
      <c r="X44" s="2">
        <f>(Input!X41*(0.1/0.2545)*1000)/1000</f>
        <v>186.16895874263264</v>
      </c>
      <c r="Y44" s="2">
        <f>(Input!Y41*(0.1/0.2545)*1000)/1000</f>
        <v>2.7504911591355601E-3</v>
      </c>
      <c r="Z44" s="2">
        <f>(Input!Z41*(0.1/0.2545)*1000)/1000</f>
        <v>0.38428290766208256</v>
      </c>
      <c r="AA44" s="2">
        <f>(Input!AA41*(0.1/0.2545)*1000)/1000</f>
        <v>1.1787819253438116E-3</v>
      </c>
      <c r="AB44" s="2">
        <f>(Input!AB41*(0.1/0.2545)*1000)/1000</f>
        <v>6.2868369351669947E-3</v>
      </c>
      <c r="AC44" s="2">
        <f>(Input!AC41*(0.1/0.2545)*1000)/1000</f>
        <v>9.3123772102161106E-2</v>
      </c>
      <c r="AD44" s="2">
        <f>(Input!AD41*(0.1/0.2545)*1000)/1000</f>
        <v>0.82436149312377216</v>
      </c>
      <c r="AE44" s="2">
        <f>(Input!AE41*(0.1/0.2545)*1000)/1000</f>
        <v>3.3398821218074665E-2</v>
      </c>
      <c r="AF44" s="72">
        <v>0.95326999999999995</v>
      </c>
      <c r="AG44" s="72">
        <v>1.0817000000000001</v>
      </c>
      <c r="AH44" s="2">
        <f>(Input!AH41*(0.1/0.2545)*1000)/1000</f>
        <v>-3.9292730844793717E-4</v>
      </c>
      <c r="AI44" s="2">
        <f>(Input!AI41*(0.1/0.2545)*1000)/1000</f>
        <v>-1.5324165029469549E-2</v>
      </c>
      <c r="AJ44" s="2">
        <f>(Input!AJ41*(0.1/0.2545)*1000)/1000</f>
        <v>0</v>
      </c>
      <c r="AK44" s="2">
        <f>(Input!AK41*(0.1/0.2545)*1000)/1000</f>
        <v>6.5225933202357575E-2</v>
      </c>
      <c r="AL44" s="2">
        <f>(Input!AL41*(0.1/0.2545)*1000)/1000</f>
        <v>248.21218074656193</v>
      </c>
      <c r="AM44" s="2">
        <f>(Input!AM41*(0.1/0.2545)*1000)/1000</f>
        <v>7.8585461689587434E-4</v>
      </c>
      <c r="AN44" s="2">
        <f>(Input!AN41*(0.1/0.2545)*1000)/1000</f>
        <v>8.4872298624754428E-2</v>
      </c>
      <c r="AO44" s="2">
        <f>(Input!AO41*(0.1/0.2545)*1000)/1000</f>
        <v>2.1611001964636545E-2</v>
      </c>
      <c r="AP44" s="2">
        <f>(Input!AP41*(0.1/0.2545)*1000)/1000</f>
        <v>2.2396856581532419E-2</v>
      </c>
      <c r="AQ44" s="2">
        <f>(Input!AQ41*(0.1/0.2545)*1000)/1000</f>
        <v>0</v>
      </c>
      <c r="AR44" s="2">
        <f>(Input!AR41*(0.1/0.2545)*1000)/1000</f>
        <v>0</v>
      </c>
      <c r="AS44" s="2">
        <f>(Input!AS41*(0.1/0.2545)*1000)/1000</f>
        <v>0.10451866404715129</v>
      </c>
      <c r="AT44" s="2">
        <f>(Input!AT41*(0.1/0.2545)*1000)/1000</f>
        <v>9.7053045186640471E-2</v>
      </c>
      <c r="AU44" s="2">
        <f>(Input!AU41*(0.1/0.2545)*1000)/1000</f>
        <v>7.1512770137524564E-2</v>
      </c>
      <c r="AV44" s="72">
        <v>0.86102000000000001</v>
      </c>
      <c r="AW44" s="72">
        <v>1.0055000000000001</v>
      </c>
      <c r="AX44" s="2">
        <f>(Input!AX41*(0.1/0.2545)*1000)/1000</f>
        <v>2.3575638506876232E-3</v>
      </c>
    </row>
    <row r="45" spans="1:50" x14ac:dyDescent="0.3">
      <c r="A45" s="2" t="s">
        <v>65</v>
      </c>
      <c r="B45" s="2">
        <f>(Input!B42*(0.1/0.2545)*1000)/1000</f>
        <v>2.6856581532416506</v>
      </c>
      <c r="C45" s="2">
        <f>(Input!C42*(0.1/0.2545)*1000)/1000</f>
        <v>458.93909626719062</v>
      </c>
      <c r="D45" s="2">
        <f>(Input!D42*(0.1/0.2545)*1000)/1000</f>
        <v>4141.4538310412581</v>
      </c>
      <c r="E45" s="2">
        <f>(Input!E42*(0.1/0.2545)*1000)/1000</f>
        <v>80.078585461689599</v>
      </c>
      <c r="F45" s="2">
        <f>(Input!F42*(0.1/0.2545)*1000)/1000</f>
        <v>2584.6758349705306</v>
      </c>
      <c r="G45" s="2">
        <f>(Input!G42*(0.1/0.2545)*1000)/1000</f>
        <v>34420.432220039293</v>
      </c>
      <c r="H45" s="2">
        <f>(Input!H42*(0.1/0.2545)*1000)/1000</f>
        <v>40825.147347740669</v>
      </c>
      <c r="I45" s="2">
        <f>(Input!I42*(0.1/0.2545)*1000)/1000</f>
        <v>176.81728880157172</v>
      </c>
      <c r="J45" s="2">
        <f>(Input!J42*(0.1/0.2545)*1000)/1000</f>
        <v>0.42789783889980354</v>
      </c>
      <c r="K45" s="2">
        <f>(Input!K42*(0.1/0.2545)*1000)/1000</f>
        <v>0.51669941060903735</v>
      </c>
      <c r="L45" s="2">
        <f>(Input!L42*(0.1/0.2545)*1000)/1000</f>
        <v>85.776031434184688</v>
      </c>
      <c r="M45" s="2">
        <f>(Input!M42*(0.1/0.2545)*1000)/1000</f>
        <v>260.7858546168959</v>
      </c>
      <c r="N45" s="2">
        <f>(Input!N42*(0.1/0.2545)*1000)/1000</f>
        <v>0.23182711198428291</v>
      </c>
      <c r="O45" s="2">
        <f>(Input!O42*(0.1/0.2545)*1000)/1000</f>
        <v>0.85776031434184674</v>
      </c>
      <c r="P45" s="2">
        <f>(Input!P42*(0.1/0.2545)*1000)/1000</f>
        <v>11.347740667976424</v>
      </c>
      <c r="Q45" s="2">
        <f>(Input!Q42*(0.1/0.2545)*1000)/1000</f>
        <v>31.583497053045189</v>
      </c>
      <c r="R45" s="2">
        <f>(Input!R42*(0.1/0.2545)*1000)/1000</f>
        <v>14.93516699410609</v>
      </c>
      <c r="S45" s="72">
        <v>0.88200000000000001</v>
      </c>
      <c r="T45" s="72">
        <v>0.89437</v>
      </c>
      <c r="U45" s="2">
        <f>(Input!U42*(0.1/0.2545)*1000)/1000</f>
        <v>0.10294695481335954</v>
      </c>
      <c r="V45" s="2">
        <f>(Input!V42*(0.1/0.2545)*1000)/1000</f>
        <v>0.41611001964636546</v>
      </c>
      <c r="W45" s="2">
        <f>(Input!W42*(0.1/0.2545)*1000)/1000</f>
        <v>10.597249508840864</v>
      </c>
      <c r="X45" s="2">
        <f>(Input!X42*(0.1/0.2545)*1000)/1000</f>
        <v>178.1925343811395</v>
      </c>
      <c r="Y45" s="2">
        <f>(Input!Y42*(0.1/0.2545)*1000)/1000</f>
        <v>9.8231827111984298E-3</v>
      </c>
      <c r="Z45" s="2">
        <f>(Input!Z42*(0.1/0.2545)*1000)/1000</f>
        <v>0.37603143418467583</v>
      </c>
      <c r="AA45" s="2">
        <f>(Input!AA42*(0.1/0.2545)*1000)/1000</f>
        <v>7.8585461689587434E-4</v>
      </c>
      <c r="AB45" s="2">
        <f>(Input!AB42*(0.1/0.2545)*1000)/1000</f>
        <v>5.893909626719057E-3</v>
      </c>
      <c r="AC45" s="2">
        <f>(Input!AC42*(0.1/0.2545)*1000)/1000</f>
        <v>8.6836935166994117E-2</v>
      </c>
      <c r="AD45" s="2">
        <f>(Input!AD42*(0.1/0.2545)*1000)/1000</f>
        <v>0.62357563850687625</v>
      </c>
      <c r="AE45" s="2">
        <f>(Input!AE42*(0.1/0.2545)*1000)/1000</f>
        <v>0.10333988212180747</v>
      </c>
      <c r="AF45" s="72">
        <v>0.92593000000000003</v>
      </c>
      <c r="AG45" s="72">
        <v>1.0523800000000001</v>
      </c>
      <c r="AH45" s="2">
        <f>(Input!AH42*(0.1/0.2545)*1000)/1000</f>
        <v>5.5009823182711201E-3</v>
      </c>
      <c r="AI45" s="2">
        <f>(Input!AI42*(0.1/0.2545)*1000)/1000</f>
        <v>-1.4145383104125737E-2</v>
      </c>
      <c r="AJ45" s="2">
        <f>(Input!AJ42*(0.1/0.2545)*1000)/1000</f>
        <v>1.1787819253438116E-3</v>
      </c>
      <c r="AK45" s="2">
        <f>(Input!AK42*(0.1/0.2545)*1000)/1000</f>
        <v>3.8113948919449907E-2</v>
      </c>
      <c r="AL45" s="2">
        <f>(Input!AL42*(0.1/0.2545)*1000)/1000</f>
        <v>560.70726915520629</v>
      </c>
      <c r="AM45" s="2">
        <f>(Input!AM42*(0.1/0.2545)*1000)/1000</f>
        <v>2.3575638506876232E-3</v>
      </c>
      <c r="AN45" s="2">
        <f>(Input!AN42*(0.1/0.2545)*1000)/1000</f>
        <v>2.0039292730844795E-2</v>
      </c>
      <c r="AO45" s="2">
        <f>(Input!AO42*(0.1/0.2545)*1000)/1000</f>
        <v>2.1218074656188607E-2</v>
      </c>
      <c r="AP45" s="2">
        <f>(Input!AP42*(0.1/0.2545)*1000)/1000</f>
        <v>2.0825147347740668E-2</v>
      </c>
      <c r="AQ45" s="2">
        <f>(Input!AQ42*(0.1/0.2545)*1000)/1000</f>
        <v>0</v>
      </c>
      <c r="AR45" s="2">
        <f>(Input!AR42*(0.1/0.2545)*1000)/1000</f>
        <v>0</v>
      </c>
      <c r="AS45" s="2">
        <f>(Input!AS42*(0.1/0.2545)*1000)/1000</f>
        <v>0.10530451866404716</v>
      </c>
      <c r="AT45" s="2">
        <f>(Input!AT42*(0.1/0.2545)*1000)/1000</f>
        <v>1.768172888015717E-2</v>
      </c>
      <c r="AU45" s="2">
        <f>(Input!AU42*(0.1/0.2545)*1000)/1000</f>
        <v>0.18860510805500982</v>
      </c>
      <c r="AV45" s="72">
        <v>0.83833999999999997</v>
      </c>
      <c r="AW45" s="72">
        <v>0.98453999999999997</v>
      </c>
      <c r="AX45" s="2">
        <f>(Input!AX42*(0.1/0.2545)*1000)/1000</f>
        <v>4.3222003929273087E-3</v>
      </c>
    </row>
    <row r="47" spans="1:50" x14ac:dyDescent="0.3">
      <c r="A47" s="2" t="s">
        <v>154</v>
      </c>
      <c r="B47" s="1" t="s">
        <v>162</v>
      </c>
      <c r="C47" s="1" t="s">
        <v>162</v>
      </c>
      <c r="D47" s="1" t="s">
        <v>162</v>
      </c>
      <c r="E47" s="1" t="s">
        <v>162</v>
      </c>
      <c r="F47" s="1" t="s">
        <v>162</v>
      </c>
      <c r="G47" s="1" t="s">
        <v>162</v>
      </c>
      <c r="H47" s="1" t="s">
        <v>162</v>
      </c>
      <c r="I47" s="1" t="s">
        <v>162</v>
      </c>
      <c r="J47" s="1" t="s">
        <v>162</v>
      </c>
      <c r="K47" s="1" t="s">
        <v>162</v>
      </c>
      <c r="L47" s="1" t="s">
        <v>162</v>
      </c>
      <c r="M47" s="1" t="s">
        <v>162</v>
      </c>
      <c r="N47" s="1" t="s">
        <v>162</v>
      </c>
      <c r="O47" s="1" t="s">
        <v>162</v>
      </c>
      <c r="P47" s="1" t="s">
        <v>162</v>
      </c>
      <c r="Q47" s="1" t="s">
        <v>162</v>
      </c>
      <c r="R47" s="1" t="s">
        <v>162</v>
      </c>
      <c r="S47" s="71" t="s">
        <v>163</v>
      </c>
      <c r="T47" s="71" t="s">
        <v>163</v>
      </c>
      <c r="U47" s="1" t="s">
        <v>162</v>
      </c>
      <c r="V47" s="1" t="s">
        <v>162</v>
      </c>
      <c r="W47" s="1" t="s">
        <v>162</v>
      </c>
      <c r="X47" s="1" t="s">
        <v>162</v>
      </c>
      <c r="Y47" s="1" t="s">
        <v>162</v>
      </c>
      <c r="Z47" s="1" t="s">
        <v>162</v>
      </c>
      <c r="AA47" s="1" t="s">
        <v>162</v>
      </c>
      <c r="AB47" s="1" t="s">
        <v>162</v>
      </c>
      <c r="AC47" s="1" t="s">
        <v>162</v>
      </c>
      <c r="AD47" s="1" t="s">
        <v>162</v>
      </c>
      <c r="AE47" s="1" t="s">
        <v>162</v>
      </c>
      <c r="AF47" s="71" t="s">
        <v>163</v>
      </c>
      <c r="AG47" s="71" t="s">
        <v>163</v>
      </c>
      <c r="AH47" s="1" t="s">
        <v>162</v>
      </c>
      <c r="AI47" s="1" t="s">
        <v>162</v>
      </c>
      <c r="AJ47" s="1" t="s">
        <v>162</v>
      </c>
      <c r="AK47" s="1" t="s">
        <v>162</v>
      </c>
      <c r="AL47" s="1" t="s">
        <v>162</v>
      </c>
      <c r="AM47" s="1" t="s">
        <v>162</v>
      </c>
      <c r="AN47" s="1" t="s">
        <v>162</v>
      </c>
      <c r="AO47" s="1" t="s">
        <v>162</v>
      </c>
      <c r="AP47" s="1" t="s">
        <v>162</v>
      </c>
      <c r="AQ47" s="1" t="s">
        <v>162</v>
      </c>
      <c r="AR47" s="1" t="s">
        <v>162</v>
      </c>
      <c r="AS47" s="1" t="s">
        <v>162</v>
      </c>
      <c r="AT47" s="1" t="s">
        <v>162</v>
      </c>
      <c r="AU47" s="1" t="s">
        <v>162</v>
      </c>
      <c r="AV47" s="71" t="s">
        <v>163</v>
      </c>
      <c r="AW47" s="71" t="s">
        <v>163</v>
      </c>
      <c r="AX47" s="1" t="s">
        <v>162</v>
      </c>
    </row>
    <row r="48" spans="1:50" x14ac:dyDescent="0.3">
      <c r="A48" s="2" t="s">
        <v>152</v>
      </c>
      <c r="B48" s="2">
        <f>(Input!B43*(0.1/0.2571)*1000)/1000</f>
        <v>2.164527421236873</v>
      </c>
      <c r="C48" s="2">
        <f>(Input!C43*(0.1/0.2571)*1000)/1000</f>
        <v>21.419681057954104</v>
      </c>
      <c r="D48" s="2">
        <f>(Input!D43*(0.1/0.2571)*1000)/1000</f>
        <v>2662.7771295215871</v>
      </c>
      <c r="E48" s="2">
        <f>(Input!E43*(0.1/0.2571)*1000)/1000</f>
        <v>24.239595488136914</v>
      </c>
      <c r="F48" s="2">
        <f>(Input!F43*(0.1/0.2571)*1000)/1000</f>
        <v>1820.6923376118243</v>
      </c>
      <c r="G48" s="2">
        <f>(Input!G43*(0.1/0.2571)*1000)/1000</f>
        <v>24488.525865422016</v>
      </c>
      <c r="H48" s="2">
        <f>(Input!H43*(0.1/0.2571)*1000)/1000</f>
        <v>24916.374951380785</v>
      </c>
      <c r="I48" s="2">
        <f>(Input!I43*(0.1/0.2571)*1000)/1000</f>
        <v>107.15674834694671</v>
      </c>
      <c r="J48" s="2">
        <f>(Input!J43*(0.1/0.2571)*1000)/1000</f>
        <v>0.34383508362504861</v>
      </c>
      <c r="K48" s="2">
        <f>(Input!K43*(0.1/0.2571)*1000)/1000</f>
        <v>0.62971606378840916</v>
      </c>
      <c r="L48" s="2">
        <f>(Input!L43*(0.1/0.2571)*1000)/1000</f>
        <v>97.121742512640992</v>
      </c>
      <c r="M48" s="2">
        <f>(Input!M43*(0.1/0.2571)*1000)/1000</f>
        <v>89.459354336833911</v>
      </c>
      <c r="N48" s="2">
        <f>(Input!N43*(0.1/0.2571)*1000)/1000</f>
        <v>0.39634383508362503</v>
      </c>
      <c r="O48" s="2">
        <f>(Input!O43*(0.1/0.2571)*1000)/1000</f>
        <v>0.72345390898483086</v>
      </c>
      <c r="P48" s="2">
        <f>(Input!P43*(0.1/0.2571)*1000)/1000</f>
        <v>9.6421625826526647</v>
      </c>
      <c r="Q48" s="2">
        <f>(Input!Q43*(0.1/0.2571)*1000)/1000</f>
        <v>36.721120186697782</v>
      </c>
      <c r="R48" s="2">
        <f>(Input!R43*(0.1/0.2571)*1000)/1000</f>
        <v>7.8685336444963045</v>
      </c>
      <c r="S48" s="72">
        <v>0.90422000000000002</v>
      </c>
      <c r="T48" s="72">
        <v>0.90447</v>
      </c>
      <c r="U48" s="2">
        <f>(Input!U43*(0.1/0.2571)*1000)/1000</f>
        <v>0.11707506806690003</v>
      </c>
      <c r="V48" s="2">
        <f>(Input!V43*(0.1/0.2571)*1000)/1000</f>
        <v>0.81913652275379223</v>
      </c>
      <c r="W48" s="2">
        <f>(Input!W43*(0.1/0.2571)*1000)/1000</f>
        <v>8.2419292104239599</v>
      </c>
      <c r="X48" s="2">
        <f>(Input!X43*(0.1/0.2571)*1000)/1000</f>
        <v>96.927265655387004</v>
      </c>
      <c r="Y48" s="2">
        <f>(Input!Y43*(0.1/0.2571)*1000)/1000</f>
        <v>2.7226760015558148E-3</v>
      </c>
      <c r="Z48" s="2">
        <f>(Input!Z43*(0.1/0.2571)*1000)/1000</f>
        <v>0.70945157526254377</v>
      </c>
      <c r="AA48" s="2">
        <f>(Input!AA43*(0.1/0.2571)*1000)/1000</f>
        <v>7.7790742901594711E-4</v>
      </c>
      <c r="AB48" s="2">
        <f>(Input!AB43*(0.1/0.2571)*1000)/1000</f>
        <v>3.1116297160637884E-3</v>
      </c>
      <c r="AC48" s="2">
        <f>(Input!AC43*(0.1/0.2571)*1000)/1000</f>
        <v>4.9786075457020615E-2</v>
      </c>
      <c r="AD48" s="2">
        <f>(Input!AD43*(0.1/0.2571)*1000)/1000</f>
        <v>0.61610268378063016</v>
      </c>
      <c r="AE48" s="2">
        <f>(Input!AE43*(0.1/0.2571)*1000)/1000</f>
        <v>5.8732010890704005E-2</v>
      </c>
      <c r="AF48" s="72">
        <v>0.95638999999999996</v>
      </c>
      <c r="AG48" s="72">
        <v>1.08647</v>
      </c>
      <c r="AH48" s="2">
        <f>(Input!AH43*(0.1/0.2571)*1000)/1000</f>
        <v>-1.4002333722287047E-2</v>
      </c>
      <c r="AI48" s="2">
        <f>(Input!AI43*(0.1/0.2571)*1000)/1000</f>
        <v>-1.4780241151302996E-2</v>
      </c>
      <c r="AJ48" s="2">
        <f>(Input!AJ43*(0.1/0.2571)*1000)/1000</f>
        <v>0</v>
      </c>
      <c r="AK48" s="2">
        <f>(Input!AK43*(0.1/0.2571)*1000)/1000</f>
        <v>3.3838973162193697E-2</v>
      </c>
      <c r="AL48" s="2">
        <f>(Input!AL43*(0.1/0.2571)*1000)/1000</f>
        <v>290.12057565149746</v>
      </c>
      <c r="AM48" s="2">
        <f>(Input!AM43*(0.1/0.2571)*1000)/1000</f>
        <v>1.1668611435239208E-3</v>
      </c>
      <c r="AN48" s="2">
        <f>(Input!AN43*(0.1/0.2571)*1000)/1000</f>
        <v>3.6561649163749516E-2</v>
      </c>
      <c r="AO48" s="2">
        <f>(Input!AO43*(0.1/0.2571)*1000)/1000</f>
        <v>3.6172695449241538E-2</v>
      </c>
      <c r="AP48" s="2">
        <f>(Input!AP43*(0.1/0.2571)*1000)/1000</f>
        <v>3.5394788020225595E-2</v>
      </c>
      <c r="AQ48" s="2">
        <f>(Input!AQ43*(0.1/0.2571)*1000)/1000</f>
        <v>0</v>
      </c>
      <c r="AR48" s="2">
        <f>(Input!AR43*(0.1/0.2571)*1000)/1000</f>
        <v>0</v>
      </c>
      <c r="AS48" s="2">
        <f>(Input!AS43*(0.1/0.2571)*1000)/1000</f>
        <v>0.10346168805912097</v>
      </c>
      <c r="AT48" s="2">
        <f>(Input!AT43*(0.1/0.2571)*1000)/1000</f>
        <v>1.2446518864255154E-2</v>
      </c>
      <c r="AU48" s="2">
        <f>(Input!AU43*(0.1/0.2571)*1000)/1000</f>
        <v>0.15869311551925319</v>
      </c>
      <c r="AV48" s="72">
        <v>0.92390000000000005</v>
      </c>
      <c r="AW48" s="72">
        <v>1.024</v>
      </c>
      <c r="AX48" s="2">
        <f>(Input!AX43*(0.1/0.2571)*1000)/1000</f>
        <v>1.9447685725398679E-3</v>
      </c>
    </row>
    <row r="49" spans="1:50" x14ac:dyDescent="0.3">
      <c r="A49" s="2" t="s">
        <v>56</v>
      </c>
      <c r="B49" s="2">
        <f>(Input!B44*(0.1/0.2556)*1000)/1000</f>
        <v>3.3215962441314559</v>
      </c>
      <c r="C49" s="2">
        <f>(Input!C44*(0.1/0.2556)*1000)/1000</f>
        <v>68.153364632237867</v>
      </c>
      <c r="D49" s="2">
        <f>(Input!D44*(0.1/0.2556)*1000)/1000</f>
        <v>2912.3630672926452</v>
      </c>
      <c r="E49" s="2">
        <f>(Input!E44*(0.1/0.2556)*1000)/1000</f>
        <v>327.38654147104853</v>
      </c>
      <c r="F49" s="2">
        <f>(Input!F44*(0.1/0.2556)*1000)/1000</f>
        <v>1884.9765258215964</v>
      </c>
      <c r="G49" s="2">
        <f>(Input!G44*(0.1/0.2556)*1000)/1000</f>
        <v>31048.513302034433</v>
      </c>
      <c r="H49" s="2">
        <f>(Input!H44*(0.1/0.2556)*1000)/1000</f>
        <v>28873.239436619722</v>
      </c>
      <c r="I49" s="2">
        <f>(Input!I44*(0.1/0.2556)*1000)/1000</f>
        <v>139.08450704225353</v>
      </c>
      <c r="J49" s="2">
        <f>(Input!J44*(0.1/0.2556)*1000)/1000</f>
        <v>1.3290297339593116</v>
      </c>
      <c r="K49" s="2">
        <f>(Input!K44*(0.1/0.2556)*1000)/1000</f>
        <v>1.2938184663536778</v>
      </c>
      <c r="L49" s="2">
        <f>(Input!L44*(0.1/0.2556)*1000)/1000</f>
        <v>100.00000000000001</v>
      </c>
      <c r="M49" s="2">
        <f>(Input!M44*(0.1/0.2556)*1000)/1000</f>
        <v>743.34898278560263</v>
      </c>
      <c r="N49" s="2">
        <f>(Input!N44*(0.1/0.2556)*1000)/1000</f>
        <v>0.37949921752738658</v>
      </c>
      <c r="O49" s="2">
        <f>(Input!O44*(0.1/0.2556)*1000)/1000</f>
        <v>0.97183098591549311</v>
      </c>
      <c r="P49" s="2">
        <f>(Input!P44*(0.1/0.2556)*1000)/1000</f>
        <v>8.5758998435054785</v>
      </c>
      <c r="Q49" s="2">
        <f>(Input!Q44*(0.1/0.2556)*1000)/1000</f>
        <v>28.98669796557121</v>
      </c>
      <c r="R49" s="2">
        <f>(Input!R44*(0.1/0.2556)*1000)/1000</f>
        <v>7.2339593114241003</v>
      </c>
      <c r="S49" s="72">
        <v>0.88844999999999996</v>
      </c>
      <c r="T49" s="72">
        <v>0.90129999999999999</v>
      </c>
      <c r="U49" s="2">
        <f>(Input!U44*(0.1/0.2556)*1000)/1000</f>
        <v>0.2809076682316119</v>
      </c>
      <c r="V49" s="2">
        <f>(Input!V44*(0.1/0.2556)*1000)/1000</f>
        <v>0.33646322378716748</v>
      </c>
      <c r="W49" s="2">
        <f>(Input!W44*(0.1/0.2556)*1000)/1000</f>
        <v>2.4303599374021911</v>
      </c>
      <c r="X49" s="2">
        <f>(Input!X44*(0.1/0.2556)*1000)/1000</f>
        <v>164.67136150234742</v>
      </c>
      <c r="Y49" s="2">
        <f>(Input!Y44*(0.1/0.2556)*1000)/1000</f>
        <v>3.4820031298904541E-2</v>
      </c>
      <c r="Z49" s="2">
        <f>(Input!Z44*(0.1/0.2556)*1000)/1000</f>
        <v>0.89358372456964008</v>
      </c>
      <c r="AA49" s="2">
        <f>(Input!AA44*(0.1/0.2556)*1000)/1000</f>
        <v>1.1737089201877937E-3</v>
      </c>
      <c r="AB49" s="2">
        <f>(Input!AB44*(0.1/0.2556)*1000)/1000</f>
        <v>5.4773082942097037E-3</v>
      </c>
      <c r="AC49" s="2">
        <f>(Input!AC44*(0.1/0.2556)*1000)/1000</f>
        <v>7.9812206572769953E-2</v>
      </c>
      <c r="AD49" s="2">
        <f>(Input!AD44*(0.1/0.2556)*1000)/1000</f>
        <v>0.62910798122065736</v>
      </c>
      <c r="AE49" s="2">
        <f>(Input!AE44*(0.1/0.2556)*1000)/1000</f>
        <v>0.17175273865414711</v>
      </c>
      <c r="AF49" s="72">
        <v>0.93847000000000003</v>
      </c>
      <c r="AG49" s="72">
        <v>1.0867100000000001</v>
      </c>
      <c r="AH49" s="2">
        <f>(Input!AH44*(0.1/0.2556)*1000)/1000</f>
        <v>3.9123630672926457E-2</v>
      </c>
      <c r="AI49" s="2">
        <f>(Input!AI44*(0.1/0.2556)*1000)/1000</f>
        <v>8.6071987480438195E-3</v>
      </c>
      <c r="AJ49" s="2">
        <f>(Input!AJ44*(0.1/0.2556)*1000)/1000</f>
        <v>3.1298904538341163E-3</v>
      </c>
      <c r="AK49" s="2">
        <f>(Input!AK44*(0.1/0.2556)*1000)/1000</f>
        <v>8.6071987480438192E-2</v>
      </c>
      <c r="AL49" s="2">
        <f>(Input!AL44*(0.1/0.2556)*1000)/1000</f>
        <v>266.66666666666669</v>
      </c>
      <c r="AM49" s="2">
        <f>(Input!AM44*(0.1/0.2556)*1000)/1000</f>
        <v>8.2159624413145546E-3</v>
      </c>
      <c r="AN49" s="2">
        <f>(Input!AN44*(0.1/0.2556)*1000)/1000</f>
        <v>2.660406885758999E-2</v>
      </c>
      <c r="AO49" s="2">
        <f>(Input!AO44*(0.1/0.2556)*1000)/1000</f>
        <v>1.5649452269170579E-2</v>
      </c>
      <c r="AP49" s="2">
        <f>(Input!AP44*(0.1/0.2556)*1000)/1000</f>
        <v>1.5258215962441316E-2</v>
      </c>
      <c r="AQ49" s="2">
        <f>(Input!AQ44*(0.1/0.2556)*1000)/1000</f>
        <v>0</v>
      </c>
      <c r="AR49" s="2">
        <f>(Input!AR44*(0.1/0.2556)*1000)/1000</f>
        <v>0</v>
      </c>
      <c r="AS49" s="2">
        <f>(Input!AS44*(0.1/0.2556)*1000)/1000</f>
        <v>0.10680751173708922</v>
      </c>
      <c r="AT49" s="2">
        <f>(Input!AT44*(0.1/0.2556)*1000)/1000</f>
        <v>8.2159624413145546E-3</v>
      </c>
      <c r="AU49" s="2">
        <f>(Input!AU44*(0.1/0.2556)*1000)/1000</f>
        <v>2.3020344287949928</v>
      </c>
      <c r="AV49" s="72">
        <v>0.90346000000000004</v>
      </c>
      <c r="AW49" s="72">
        <v>1.01485</v>
      </c>
      <c r="AX49" s="2">
        <f>(Input!AX44*(0.1/0.2556)*1000)/1000</f>
        <v>2.4256651017214401E-2</v>
      </c>
    </row>
    <row r="50" spans="1:50" x14ac:dyDescent="0.3">
      <c r="A50" s="2" t="s">
        <v>57</v>
      </c>
      <c r="B50" s="2">
        <f>(Input!B45*(0.1/0.2454)*1000)/1000</f>
        <v>2.9054604726976363</v>
      </c>
      <c r="C50" s="2">
        <f>(Input!C45*(0.1/0.2454)*1000)/1000</f>
        <v>178.19885900570497</v>
      </c>
      <c r="D50" s="2">
        <f>(Input!D45*(0.1/0.2454)*1000)/1000</f>
        <v>2644.2542787286061</v>
      </c>
      <c r="E50" s="2">
        <f>(Input!E45*(0.1/0.2454)*1000)/1000</f>
        <v>64.995925020374898</v>
      </c>
      <c r="F50" s="2">
        <f>(Input!F45*(0.1/0.2454)*1000)/1000</f>
        <v>1779.9511002444988</v>
      </c>
      <c r="G50" s="2">
        <f>(Input!G45*(0.1/0.2454)*1000)/1000</f>
        <v>23981.255093724532</v>
      </c>
      <c r="H50" s="2">
        <f>(Input!H45*(0.1/0.2454)*1000)/1000</f>
        <v>33928.280358598204</v>
      </c>
      <c r="I50" s="2">
        <f>(Input!I45*(0.1/0.2454)*1000)/1000</f>
        <v>149.83700081499589</v>
      </c>
      <c r="J50" s="2">
        <f>(Input!J45*(0.1/0.2454)*1000)/1000</f>
        <v>0.39242053789731052</v>
      </c>
      <c r="K50" s="2">
        <f>(Input!K45*(0.1/0.2454)*1000)/1000</f>
        <v>0.49551752241238789</v>
      </c>
      <c r="L50" s="2">
        <f>(Input!L45*(0.1/0.2454)*1000)/1000</f>
        <v>71.801140994295025</v>
      </c>
      <c r="M50" s="2">
        <f>(Input!M45*(0.1/0.2454)*1000)/1000</f>
        <v>155.21597392013038</v>
      </c>
      <c r="N50" s="2">
        <f>(Input!N45*(0.1/0.2454)*1000)/1000</f>
        <v>0.15973920130399349</v>
      </c>
      <c r="O50" s="2">
        <f>(Input!O45*(0.1/0.2454)*1000)/1000</f>
        <v>0.55175224123879385</v>
      </c>
      <c r="P50" s="2">
        <f>(Input!P45*(0.1/0.2454)*1000)/1000</f>
        <v>9.7310513447432765</v>
      </c>
      <c r="Q50" s="2">
        <f>(Input!Q45*(0.1/0.2454)*1000)/1000</f>
        <v>24.938875305623473</v>
      </c>
      <c r="R50" s="2">
        <f>(Input!R45*(0.1/0.2454)*1000)/1000</f>
        <v>7.3920130399348007</v>
      </c>
      <c r="S50" s="72">
        <v>0.92756000000000005</v>
      </c>
      <c r="T50" s="72">
        <v>0.90452999999999995</v>
      </c>
      <c r="U50" s="2">
        <f>(Input!U45*(0.1/0.2454)*1000)/1000</f>
        <v>0.10880195599022005</v>
      </c>
      <c r="V50" s="2">
        <f>(Input!V45*(0.1/0.2454)*1000)/1000</f>
        <v>6.8867155664221663E-2</v>
      </c>
      <c r="W50" s="2">
        <f>(Input!W45*(0.1/0.2454)*1000)/1000</f>
        <v>5.4849225753871229</v>
      </c>
      <c r="X50" s="2">
        <f>(Input!X45*(0.1/0.2454)*1000)/1000</f>
        <v>154.64547677261612</v>
      </c>
      <c r="Y50" s="2">
        <f>(Input!Y45*(0.1/0.2454)*1000)/1000</f>
        <v>7.3349633251833732E-3</v>
      </c>
      <c r="Z50" s="2">
        <f>(Input!Z45*(0.1/0.2454)*1000)/1000</f>
        <v>0.51222493887530551</v>
      </c>
      <c r="AA50" s="2">
        <f>(Input!AA45*(0.1/0.2454)*1000)/1000</f>
        <v>8.1499592502037486E-4</v>
      </c>
      <c r="AB50" s="2">
        <f>(Input!AB45*(0.1/0.2454)*1000)/1000</f>
        <v>5.2974735126324361E-3</v>
      </c>
      <c r="AC50" s="2">
        <f>(Input!AC45*(0.1/0.2454)*1000)/1000</f>
        <v>7.5387123064384678E-2</v>
      </c>
      <c r="AD50" s="2">
        <f>(Input!AD45*(0.1/0.2454)*1000)/1000</f>
        <v>0.65077424612876933</v>
      </c>
      <c r="AE50" s="2">
        <f>(Input!AE45*(0.1/0.2454)*1000)/1000</f>
        <v>5.623471882640587E-2</v>
      </c>
      <c r="AF50" s="72">
        <v>0.95394999999999996</v>
      </c>
      <c r="AG50" s="72">
        <v>1.0763100000000001</v>
      </c>
      <c r="AH50" s="2">
        <f>(Input!AH45*(0.1/0.2454)*1000)/1000</f>
        <v>2.2412387938060309E-2</v>
      </c>
      <c r="AI50" s="2">
        <f>(Input!AI45*(0.1/0.2454)*1000)/1000</f>
        <v>6.9274653626731873E-3</v>
      </c>
      <c r="AJ50" s="2">
        <f>(Input!AJ45*(0.1/0.2454)*1000)/1000</f>
        <v>0</v>
      </c>
      <c r="AK50" s="2">
        <f>(Input!AK45*(0.1/0.2454)*1000)/1000</f>
        <v>5.256723716381418E-2</v>
      </c>
      <c r="AL50" s="2">
        <f>(Input!AL45*(0.1/0.2454)*1000)/1000</f>
        <v>272.04563977180112</v>
      </c>
      <c r="AM50" s="2">
        <f>(Input!AM45*(0.1/0.2454)*1000)/1000</f>
        <v>2.0374898125509371E-3</v>
      </c>
      <c r="AN50" s="2">
        <f>(Input!AN45*(0.1/0.2454)*1000)/1000</f>
        <v>1.263243683781581E-2</v>
      </c>
      <c r="AO50" s="2">
        <f>(Input!AO45*(0.1/0.2454)*1000)/1000</f>
        <v>8.557457212713936E-3</v>
      </c>
      <c r="AP50" s="2">
        <f>(Input!AP45*(0.1/0.2454)*1000)/1000</f>
        <v>8.9649551752241236E-3</v>
      </c>
      <c r="AQ50" s="2">
        <f>(Input!AQ45*(0.1/0.2454)*1000)/1000</f>
        <v>0</v>
      </c>
      <c r="AR50" s="2">
        <f>(Input!AR45*(0.1/0.2454)*1000)/1000</f>
        <v>0</v>
      </c>
      <c r="AS50" s="2">
        <f>(Input!AS45*(0.1/0.2454)*1000)/1000</f>
        <v>0.10880195599022005</v>
      </c>
      <c r="AT50" s="2">
        <f>(Input!AT45*(0.1/0.2454)*1000)/1000</f>
        <v>1.263243683781581E-2</v>
      </c>
      <c r="AU50" s="2">
        <f>(Input!AU45*(0.1/0.2454)*1000)/1000</f>
        <v>2.0378973105134475</v>
      </c>
      <c r="AV50" s="72">
        <v>0.90114000000000005</v>
      </c>
      <c r="AW50" s="72">
        <v>1.0218499999999999</v>
      </c>
      <c r="AX50" s="2">
        <f>(Input!AX45*(0.1/0.2454)*1000)/1000</f>
        <v>3.6674816625916866E-3</v>
      </c>
    </row>
    <row r="51" spans="1:50" x14ac:dyDescent="0.3">
      <c r="A51" s="2" t="s">
        <v>59</v>
      </c>
      <c r="B51" s="2">
        <f>(Input!B46*(0.1/0.2588)*1000)/1000</f>
        <v>2.9401081916537875</v>
      </c>
      <c r="C51" s="2">
        <f>(Input!C46*(0.1/0.2588)*1000)/1000</f>
        <v>74.343122102009289</v>
      </c>
      <c r="D51" s="2">
        <f>(Input!D46*(0.1/0.2588)*1000)/1000</f>
        <v>2890.6491499227209</v>
      </c>
      <c r="E51" s="2">
        <f>(Input!E46*(0.1/0.2588)*1000)/1000</f>
        <v>43.315301391035554</v>
      </c>
      <c r="F51" s="2">
        <f>(Input!F46*(0.1/0.2588)*1000)/1000</f>
        <v>1999.6136012364764</v>
      </c>
      <c r="G51" s="2">
        <f>(Input!G46*(0.1/0.2588)*1000)/1000</f>
        <v>24787.480680061828</v>
      </c>
      <c r="H51" s="2">
        <f>(Input!H46*(0.1/0.2588)*1000)/1000</f>
        <v>26816.074188562601</v>
      </c>
      <c r="I51" s="2">
        <f>(Input!I46*(0.1/0.2588)*1000)/1000</f>
        <v>113.36939721792892</v>
      </c>
      <c r="J51" s="2">
        <f>(Input!J46*(0.1/0.2588)*1000)/1000</f>
        <v>0.66074188562596614</v>
      </c>
      <c r="K51" s="2">
        <f>(Input!K46*(0.1/0.2588)*1000)/1000</f>
        <v>1.0270479134466772</v>
      </c>
      <c r="L51" s="2">
        <f>(Input!L46*(0.1/0.2588)*1000)/1000</f>
        <v>76.738794435857812</v>
      </c>
      <c r="M51" s="2">
        <f>(Input!M46*(0.1/0.2588)*1000)/1000</f>
        <v>157.84389489953637</v>
      </c>
      <c r="N51" s="2">
        <f>(Input!N46*(0.1/0.2588)*1000)/1000</f>
        <v>0.20054095826893359</v>
      </c>
      <c r="O51" s="2">
        <f>(Input!O46*(0.1/0.2588)*1000)/1000</f>
        <v>0.50811437403400317</v>
      </c>
      <c r="P51" s="2">
        <f>(Input!P46*(0.1/0.2588)*1000)/1000</f>
        <v>9.8724884080370963</v>
      </c>
      <c r="Q51" s="2">
        <f>(Input!Q46*(0.1/0.2588)*1000)/1000</f>
        <v>26.317619783616699</v>
      </c>
      <c r="R51" s="2">
        <f>(Input!R46*(0.1/0.2588)*1000)/1000</f>
        <v>7.6738794435857818</v>
      </c>
      <c r="S51" s="72">
        <v>0.87995000000000001</v>
      </c>
      <c r="T51" s="72">
        <v>0.89402999999999999</v>
      </c>
      <c r="U51" s="2">
        <f>(Input!U46*(0.1/0.2588)*1000)/1000</f>
        <v>0.12673879443585784</v>
      </c>
      <c r="V51" s="2">
        <f>(Input!V46*(0.1/0.2588)*1000)/1000</f>
        <v>0.85355486862442065</v>
      </c>
      <c r="W51" s="2">
        <f>(Input!W46*(0.1/0.2588)*1000)/1000</f>
        <v>3.2952086553323037</v>
      </c>
      <c r="X51" s="2">
        <f>(Input!X46*(0.1/0.2588)*1000)/1000</f>
        <v>133.2689335394127</v>
      </c>
      <c r="Y51" s="2">
        <f>(Input!Y46*(0.1/0.2588)*1000)/1000</f>
        <v>6.1823802163833092E-3</v>
      </c>
      <c r="Z51" s="2">
        <f>(Input!Z46*(0.1/0.2588)*1000)/1000</f>
        <v>0.64876352395672354</v>
      </c>
      <c r="AA51" s="2">
        <f>(Input!AA46*(0.1/0.2588)*1000)/1000</f>
        <v>7.7279752704791365E-4</v>
      </c>
      <c r="AB51" s="2">
        <f>(Input!AB46*(0.1/0.2588)*1000)/1000</f>
        <v>4.6367851622874821E-3</v>
      </c>
      <c r="AC51" s="2">
        <f>(Input!AC46*(0.1/0.2588)*1000)/1000</f>
        <v>6.6846986089644525E-2</v>
      </c>
      <c r="AD51" s="2">
        <f>(Input!AD46*(0.1/0.2588)*1000)/1000</f>
        <v>0.60780525502318405</v>
      </c>
      <c r="AE51" s="2">
        <f>(Input!AE46*(0.1/0.2588)*1000)/1000</f>
        <v>7.1097372488408056E-2</v>
      </c>
      <c r="AF51" s="72">
        <v>0.94755</v>
      </c>
      <c r="AG51" s="72">
        <v>1.0934900000000001</v>
      </c>
      <c r="AH51" s="2">
        <f>(Input!AH46*(0.1/0.2588)*1000)/1000</f>
        <v>2.5888717156105107E-2</v>
      </c>
      <c r="AI51" s="2">
        <f>(Input!AI46*(0.1/0.2588)*1000)/1000</f>
        <v>-8.887171561051007E-3</v>
      </c>
      <c r="AJ51" s="2">
        <f>(Input!AJ46*(0.1/0.2588)*1000)/1000</f>
        <v>1.1591962905718705E-3</v>
      </c>
      <c r="AK51" s="2">
        <f>(Input!AK46*(0.1/0.2588)*1000)/1000</f>
        <v>2.0479134466769709E-2</v>
      </c>
      <c r="AL51" s="2">
        <f>(Input!AL46*(0.1/0.2588)*1000)/1000</f>
        <v>286.97836166924276</v>
      </c>
      <c r="AM51" s="2">
        <f>(Input!AM46*(0.1/0.2588)*1000)/1000</f>
        <v>2.3183925811437411E-3</v>
      </c>
      <c r="AN51" s="2">
        <f>(Input!AN46*(0.1/0.2588)*1000)/1000</f>
        <v>3.0139103554868631E-2</v>
      </c>
      <c r="AO51" s="2">
        <f>(Input!AO46*(0.1/0.2588)*1000)/1000</f>
        <v>4.82998454404946E-2</v>
      </c>
      <c r="AP51" s="2">
        <f>(Input!AP46*(0.1/0.2588)*1000)/1000</f>
        <v>4.9072642967542511E-2</v>
      </c>
      <c r="AQ51" s="2">
        <f>(Input!AQ46*(0.1/0.2588)*1000)/1000</f>
        <v>0</v>
      </c>
      <c r="AR51" s="2">
        <f>(Input!AR46*(0.1/0.2588)*1000)/1000</f>
        <v>0</v>
      </c>
      <c r="AS51" s="2">
        <f>(Input!AS46*(0.1/0.2588)*1000)/1000</f>
        <v>0.1020092735703246</v>
      </c>
      <c r="AT51" s="2">
        <f>(Input!AT46*(0.1/0.2588)*1000)/1000</f>
        <v>8.5007727975270498E-3</v>
      </c>
      <c r="AU51" s="2">
        <f>(Input!AU46*(0.1/0.2588)*1000)/1000</f>
        <v>0.35085007727975276</v>
      </c>
      <c r="AV51" s="72">
        <v>0.92373000000000005</v>
      </c>
      <c r="AW51" s="72">
        <v>1.03285</v>
      </c>
      <c r="AX51" s="2">
        <f>(Input!AX46*(0.1/0.2588)*1000)/1000</f>
        <v>3.4775888717156105E-3</v>
      </c>
    </row>
    <row r="52" spans="1:50" x14ac:dyDescent="0.3">
      <c r="A52" s="2" t="s">
        <v>60</v>
      </c>
      <c r="B52" s="2">
        <f>(Input!B47*(0.1/0.1506)*1000)/1000</f>
        <v>2.9395750332005308</v>
      </c>
      <c r="C52" s="2">
        <f>(Input!C47*(0.1/0.1506)*1000)/1000</f>
        <v>899.73439575033194</v>
      </c>
      <c r="D52" s="2">
        <f>(Input!D47*(0.1/0.1506)*1000)/1000</f>
        <v>3009.2961487383795</v>
      </c>
      <c r="E52" s="2">
        <f>(Input!E47*(0.1/0.1506)*1000)/1000</f>
        <v>83.731739707835317</v>
      </c>
      <c r="F52" s="2">
        <f>(Input!F47*(0.1/0.1506)*1000)/1000</f>
        <v>1120.1859229747674</v>
      </c>
      <c r="G52" s="2">
        <f>(Input!G47*(0.1/0.1506)*1000)/1000</f>
        <v>23293.492695883135</v>
      </c>
      <c r="H52" s="2">
        <f>(Input!H47*(0.1/0.1506)*1000)/1000</f>
        <v>43047.808764940237</v>
      </c>
      <c r="I52" s="2">
        <f>(Input!I47*(0.1/0.1506)*1000)/1000</f>
        <v>190.63745019920319</v>
      </c>
      <c r="J52" s="2">
        <f>(Input!J47*(0.1/0.1506)*1000)/1000</f>
        <v>0.58366533864541825</v>
      </c>
      <c r="K52" s="2">
        <f>(Input!K47*(0.1/0.1506)*1000)/1000</f>
        <v>0.64342629482071712</v>
      </c>
      <c r="L52" s="2">
        <f>(Input!L47*(0.1/0.1506)*1000)/1000</f>
        <v>24.900398406374499</v>
      </c>
      <c r="M52" s="2">
        <f>(Input!M47*(0.1/0.1506)*1000)/1000</f>
        <v>213.54581673306774</v>
      </c>
      <c r="N52" s="2">
        <f>(Input!N47*(0.1/0.1506)*1000)/1000</f>
        <v>0.19853917662682602</v>
      </c>
      <c r="O52" s="2">
        <f>(Input!O47*(0.1/0.1506)*1000)/1000</f>
        <v>0.55179282868525892</v>
      </c>
      <c r="P52" s="2">
        <f>(Input!P47*(0.1/0.1506)*1000)/1000</f>
        <v>7.2509960159362548</v>
      </c>
      <c r="Q52" s="2">
        <f>(Input!Q47*(0.1/0.1506)*1000)/1000</f>
        <v>21.84594953519256</v>
      </c>
      <c r="R52" s="2">
        <f>(Input!R47*(0.1/0.1506)*1000)/1000</f>
        <v>4.4262948207171311</v>
      </c>
      <c r="S52" s="72">
        <v>0.91505000000000003</v>
      </c>
      <c r="T52" s="72">
        <v>0.90620999999999996</v>
      </c>
      <c r="U52" s="2">
        <f>(Input!U47*(0.1/0.1506)*1000)/1000</f>
        <v>0.19256308100929612</v>
      </c>
      <c r="V52" s="2">
        <f>(Input!V47*(0.1/0.1506)*1000)/1000</f>
        <v>0.46215139442231068</v>
      </c>
      <c r="W52" s="2">
        <f>(Input!W47*(0.1/0.1506)*1000)/1000</f>
        <v>7.616201859229748</v>
      </c>
      <c r="X52" s="2">
        <f>(Input!X47*(0.1/0.1506)*1000)/1000</f>
        <v>172.11155378486055</v>
      </c>
      <c r="Y52" s="2">
        <f>(Input!Y47*(0.1/0.1506)*1000)/1000</f>
        <v>1.3944223107569721E-2</v>
      </c>
      <c r="Z52" s="2">
        <f>(Input!Z47*(0.1/0.1506)*1000)/1000</f>
        <v>0.53187250996015922</v>
      </c>
      <c r="AA52" s="2">
        <f>(Input!AA47*(0.1/0.1506)*1000)/1000</f>
        <v>6.6401062416998667E-4</v>
      </c>
      <c r="AB52" s="2">
        <f>(Input!AB47*(0.1/0.1506)*1000)/1000</f>
        <v>5.9760956175298795E-3</v>
      </c>
      <c r="AC52" s="2">
        <f>(Input!AC47*(0.1/0.1506)*1000)/1000</f>
        <v>8.565737051792828E-2</v>
      </c>
      <c r="AD52" s="2">
        <f>(Input!AD47*(0.1/0.1506)*1000)/1000</f>
        <v>1.0610889774236387</v>
      </c>
      <c r="AE52" s="2">
        <f>(Input!AE47*(0.1/0.1506)*1000)/1000</f>
        <v>0.13745019920318724</v>
      </c>
      <c r="AF52" s="72">
        <v>0.95718999999999999</v>
      </c>
      <c r="AG52" s="72">
        <v>1.0874200000000001</v>
      </c>
      <c r="AH52" s="2">
        <f>(Input!AH47*(0.1/0.1506)*1000)/1000</f>
        <v>2.6560424966799469E-2</v>
      </c>
      <c r="AI52" s="2">
        <f>(Input!AI47*(0.1/0.1506)*1000)/1000</f>
        <v>-1.0624169986719787E-2</v>
      </c>
      <c r="AJ52" s="2">
        <f>(Input!AJ47*(0.1/0.1506)*1000)/1000</f>
        <v>1.3280212483399733E-3</v>
      </c>
      <c r="AK52" s="2">
        <f>(Input!AK47*(0.1/0.1506)*1000)/1000</f>
        <v>6.1752988047808759E-2</v>
      </c>
      <c r="AL52" s="2">
        <f>(Input!AL47*(0.1/0.1506)*1000)/1000</f>
        <v>159.62815405046484</v>
      </c>
      <c r="AM52" s="2">
        <f>(Input!AM47*(0.1/0.1506)*1000)/1000</f>
        <v>3.3200531208499337E-3</v>
      </c>
      <c r="AN52" s="2">
        <f>(Input!AN47*(0.1/0.1506)*1000)/1000</f>
        <v>2.2576361221779549E-2</v>
      </c>
      <c r="AO52" s="2">
        <f>(Input!AO47*(0.1/0.1506)*1000)/1000</f>
        <v>6.6401062416998674E-3</v>
      </c>
      <c r="AP52" s="2">
        <f>(Input!AP47*(0.1/0.1506)*1000)/1000</f>
        <v>6.6401062416998674E-3</v>
      </c>
      <c r="AQ52" s="2">
        <f>(Input!AQ47*(0.1/0.1506)*1000)/1000</f>
        <v>0</v>
      </c>
      <c r="AR52" s="2">
        <f>(Input!AR47*(0.1/0.1506)*1000)/1000</f>
        <v>0</v>
      </c>
      <c r="AS52" s="2">
        <f>(Input!AS47*(0.1/0.1506)*1000)/1000</f>
        <v>0.17662682602921648</v>
      </c>
      <c r="AT52" s="2">
        <f>(Input!AT47*(0.1/0.1506)*1000)/1000</f>
        <v>4.6480743691899072E-3</v>
      </c>
      <c r="AU52" s="2">
        <f>(Input!AU47*(0.1/0.1506)*1000)/1000</f>
        <v>0.58233731739707828</v>
      </c>
      <c r="AV52" s="72">
        <v>0.97933999999999999</v>
      </c>
      <c r="AW52" s="72">
        <v>1.0487500000000001</v>
      </c>
      <c r="AX52" s="2">
        <f>(Input!AX47*(0.1/0.1506)*1000)/1000</f>
        <v>5.9760956175298795E-3</v>
      </c>
    </row>
    <row r="54" spans="1:50" x14ac:dyDescent="0.3">
      <c r="A54" s="2" t="s">
        <v>155</v>
      </c>
      <c r="B54" s="1" t="s">
        <v>162</v>
      </c>
      <c r="C54" s="1" t="s">
        <v>162</v>
      </c>
      <c r="D54" s="1" t="s">
        <v>162</v>
      </c>
      <c r="E54" s="1" t="s">
        <v>162</v>
      </c>
      <c r="F54" s="1" t="s">
        <v>162</v>
      </c>
      <c r="G54" s="1" t="s">
        <v>162</v>
      </c>
      <c r="H54" s="1" t="s">
        <v>162</v>
      </c>
      <c r="I54" s="1" t="s">
        <v>162</v>
      </c>
      <c r="J54" s="1" t="s">
        <v>162</v>
      </c>
      <c r="K54" s="1" t="s">
        <v>162</v>
      </c>
      <c r="L54" s="1" t="s">
        <v>162</v>
      </c>
      <c r="M54" s="1" t="s">
        <v>162</v>
      </c>
      <c r="N54" s="1" t="s">
        <v>162</v>
      </c>
      <c r="O54" s="1" t="s">
        <v>162</v>
      </c>
      <c r="P54" s="1" t="s">
        <v>162</v>
      </c>
      <c r="Q54" s="1" t="s">
        <v>162</v>
      </c>
      <c r="R54" s="1" t="s">
        <v>162</v>
      </c>
      <c r="S54" s="71" t="s">
        <v>163</v>
      </c>
      <c r="T54" s="71" t="s">
        <v>163</v>
      </c>
      <c r="U54" s="1" t="s">
        <v>162</v>
      </c>
      <c r="V54" s="1" t="s">
        <v>162</v>
      </c>
      <c r="W54" s="1" t="s">
        <v>162</v>
      </c>
      <c r="X54" s="1" t="s">
        <v>162</v>
      </c>
      <c r="Y54" s="1" t="s">
        <v>162</v>
      </c>
      <c r="Z54" s="1" t="s">
        <v>162</v>
      </c>
      <c r="AA54" s="1" t="s">
        <v>162</v>
      </c>
      <c r="AB54" s="1" t="s">
        <v>162</v>
      </c>
      <c r="AC54" s="1" t="s">
        <v>162</v>
      </c>
      <c r="AD54" s="1" t="s">
        <v>162</v>
      </c>
      <c r="AE54" s="1" t="s">
        <v>162</v>
      </c>
      <c r="AF54" s="71" t="s">
        <v>163</v>
      </c>
      <c r="AG54" s="71" t="s">
        <v>163</v>
      </c>
      <c r="AH54" s="1" t="s">
        <v>162</v>
      </c>
      <c r="AI54" s="1" t="s">
        <v>162</v>
      </c>
      <c r="AJ54" s="1" t="s">
        <v>162</v>
      </c>
      <c r="AK54" s="1" t="s">
        <v>162</v>
      </c>
      <c r="AL54" s="1" t="s">
        <v>162</v>
      </c>
      <c r="AM54" s="1" t="s">
        <v>162</v>
      </c>
      <c r="AN54" s="1" t="s">
        <v>162</v>
      </c>
      <c r="AO54" s="1" t="s">
        <v>162</v>
      </c>
      <c r="AP54" s="1" t="s">
        <v>162</v>
      </c>
      <c r="AQ54" s="1" t="s">
        <v>162</v>
      </c>
      <c r="AR54" s="1" t="s">
        <v>162</v>
      </c>
      <c r="AS54" s="1" t="s">
        <v>162</v>
      </c>
      <c r="AT54" s="1" t="s">
        <v>162</v>
      </c>
      <c r="AU54" s="1" t="s">
        <v>162</v>
      </c>
      <c r="AV54" s="71" t="s">
        <v>163</v>
      </c>
      <c r="AW54" s="71" t="s">
        <v>163</v>
      </c>
      <c r="AX54" s="1" t="s">
        <v>162</v>
      </c>
    </row>
    <row r="55" spans="1:50" x14ac:dyDescent="0.3">
      <c r="A55" s="2" t="s">
        <v>156</v>
      </c>
      <c r="B55" s="2">
        <f>(Input!B48*(0.1/0.2517)*1000)/1000</f>
        <v>10.699245133094957</v>
      </c>
      <c r="C55" s="2">
        <f>(Input!C48*(0.1/0.2517)*1000)/1000</f>
        <v>100.39729837107669</v>
      </c>
      <c r="D55" s="2">
        <f>(Input!D48*(0.1/0.2517)*1000)/1000</f>
        <v>3282.4791418355189</v>
      </c>
      <c r="E55" s="2">
        <f>(Input!E48*(0.1/0.2517)*1000)/1000</f>
        <v>194.67620182757253</v>
      </c>
      <c r="F55" s="2">
        <f>(Input!F48*(0.1/0.2517)*1000)/1000</f>
        <v>1081.4461660707193</v>
      </c>
      <c r="G55" s="2">
        <f>(Input!G48*(0.1/0.2517)*1000)/1000</f>
        <v>12963.845848232024</v>
      </c>
      <c r="H55" s="2">
        <f>(Input!H48*(0.1/0.2517)*1000)/1000</f>
        <v>26881.207787048079</v>
      </c>
      <c r="I55" s="2">
        <f>(Input!I48*(0.1/0.2517)*1000)/1000</f>
        <v>123.71871275327773</v>
      </c>
      <c r="J55" s="2">
        <f>(Input!J48*(0.1/0.2517)*1000)/1000</f>
        <v>1.0750893921334923</v>
      </c>
      <c r="K55" s="2">
        <f>(Input!K48*(0.1/0.2517)*1000)/1000</f>
        <v>0.98887564560985308</v>
      </c>
      <c r="L55" s="2">
        <f>(Input!L48*(0.1/0.2517)*1000)/1000</f>
        <v>51.172030194676218</v>
      </c>
      <c r="M55" s="2">
        <f>(Input!M48*(0.1/0.2517)*1000)/1000</f>
        <v>440.60389352403661</v>
      </c>
      <c r="N55" s="2">
        <f>(Input!N48*(0.1/0.2517)*1000)/1000</f>
        <v>0.20818434644417963</v>
      </c>
      <c r="O55" s="2">
        <f>(Input!O48*(0.1/0.2517)*1000)/1000</f>
        <v>1.0671434247119589</v>
      </c>
      <c r="P55" s="2">
        <f>(Input!P48*(0.1/0.2517)*1000)/1000</f>
        <v>13.790226460071516</v>
      </c>
      <c r="Q55" s="2">
        <f>(Input!Q48*(0.1/0.2517)*1000)/1000</f>
        <v>28.100913786253482</v>
      </c>
      <c r="R55" s="2">
        <f>(Input!R48*(0.1/0.2517)*1000)/1000</f>
        <v>0.72030194676201842</v>
      </c>
      <c r="S55" s="72">
        <v>0.90000999999999998</v>
      </c>
      <c r="T55" s="72">
        <v>0.89703999999999995</v>
      </c>
      <c r="U55" s="2">
        <f>(Input!U48*(0.1/0.2517)*1000)/1000</f>
        <v>9.1378625347636092E-2</v>
      </c>
      <c r="V55" s="2">
        <f>(Input!V48*(0.1/0.2517)*1000)/1000</f>
        <v>1.8951132300357569</v>
      </c>
      <c r="W55" s="2">
        <f>(Input!W48*(0.1/0.2517)*1000)/1000</f>
        <v>7.6519666269368312</v>
      </c>
      <c r="X55" s="2">
        <f>(Input!X48*(0.1/0.2517)*1000)/1000</f>
        <v>105.04568931267383</v>
      </c>
      <c r="Y55" s="2">
        <f>(Input!Y48*(0.1/0.2517)*1000)/1000</f>
        <v>2.4632499006754075E-2</v>
      </c>
      <c r="Z55" s="2">
        <f>(Input!Z48*(0.1/0.2517)*1000)/1000</f>
        <v>0.44417957886372678</v>
      </c>
      <c r="AA55" s="2">
        <f>(Input!AA48*(0.1/0.2517)*1000)/1000</f>
        <v>3.9729837107667864E-4</v>
      </c>
      <c r="AB55" s="2">
        <f>(Input!AB48*(0.1/0.2517)*1000)/1000</f>
        <v>3.5756853396901075E-3</v>
      </c>
      <c r="AC55" s="2">
        <f>(Input!AC48*(0.1/0.2517)*1000)/1000</f>
        <v>5.3635280095351623E-2</v>
      </c>
      <c r="AD55" s="2">
        <f>(Input!AD48*(0.1/0.2517)*1000)/1000</f>
        <v>0.64282876440206604</v>
      </c>
      <c r="AE55" s="2">
        <f>(Input!AE48*(0.1/0.2517)*1000)/1000</f>
        <v>6.7143424711958694E-2</v>
      </c>
      <c r="AF55" s="72">
        <v>0.95670999999999995</v>
      </c>
      <c r="AG55" s="72">
        <v>1.11083</v>
      </c>
      <c r="AH55" s="2">
        <f>(Input!AH48*(0.1/0.2517)*1000)/1000</f>
        <v>1.7481128327373859E-2</v>
      </c>
      <c r="AI55" s="2">
        <f>(Input!AI48*(0.1/0.2517)*1000)/1000</f>
        <v>7.9459674215335736E-3</v>
      </c>
      <c r="AJ55" s="2">
        <f>(Input!AJ48*(0.1/0.2517)*1000)/1000</f>
        <v>1.1918951132300359E-3</v>
      </c>
      <c r="AK55" s="2">
        <f>(Input!AK48*(0.1/0.2517)*1000)/1000</f>
        <v>0.21692491060786656</v>
      </c>
      <c r="AL55" s="2">
        <f>(Input!AL48*(0.1/0.2517)*1000)/1000</f>
        <v>23.659117997616214</v>
      </c>
      <c r="AM55" s="2">
        <f>(Input!AM48*(0.1/0.2517)*1000)/1000</f>
        <v>3.5756853396901075E-3</v>
      </c>
      <c r="AN55" s="2">
        <f>(Input!AN48*(0.1/0.2517)*1000)/1000</f>
        <v>5.8005562177195082E-2</v>
      </c>
      <c r="AO55" s="2">
        <f>(Input!AO48*(0.1/0.2517)*1000)/1000</f>
        <v>0.27453317441398495</v>
      </c>
      <c r="AP55" s="2">
        <f>(Input!AP48*(0.1/0.2517)*1000)/1000</f>
        <v>0.27572506952721498</v>
      </c>
      <c r="AQ55" s="2">
        <f>(Input!AQ48*(0.1/0.2517)*1000)/1000</f>
        <v>0</v>
      </c>
      <c r="AR55" s="2">
        <f>(Input!AR48*(0.1/0.2517)*1000)/1000</f>
        <v>0</v>
      </c>
      <c r="AS55" s="2">
        <f>(Input!AS48*(0.1/0.2517)*1000)/1000</f>
        <v>0.11362733412793008</v>
      </c>
      <c r="AT55" s="2">
        <f>(Input!AT48*(0.1/0.2517)*1000)/1000</f>
        <v>3.5756853396901075E-3</v>
      </c>
      <c r="AU55" s="2">
        <f>(Input!AU48*(0.1/0.2517)*1000)/1000</f>
        <v>0.81605085419149792</v>
      </c>
      <c r="AV55" s="72">
        <v>0.97055999999999998</v>
      </c>
      <c r="AW55" s="72">
        <v>1.0564100000000001</v>
      </c>
      <c r="AX55" s="2">
        <f>(Input!AX48*(0.1/0.2517)*1000)/1000</f>
        <v>1.7481128327373859E-2</v>
      </c>
    </row>
    <row r="56" spans="1:50" x14ac:dyDescent="0.3">
      <c r="A56" s="2" t="s">
        <v>52</v>
      </c>
      <c r="B56" s="2">
        <f>(Input!B49*(0.1/0.2598)*1000)/1000</f>
        <v>4.1070053887605855</v>
      </c>
      <c r="C56" s="2">
        <f>(Input!C49*(0.1/0.2598)*1000)/1000</f>
        <v>161.47036181678217</v>
      </c>
      <c r="D56" s="2">
        <f>(Input!D49*(0.1/0.2598)*1000)/1000</f>
        <v>1955.3502694380295</v>
      </c>
      <c r="E56" s="2">
        <f>(Input!E49*(0.1/0.2598)*1000)/1000</f>
        <v>77.521170130869919</v>
      </c>
      <c r="F56" s="2">
        <f>(Input!F49*(0.1/0.2598)*1000)/1000</f>
        <v>1753.6566589684376</v>
      </c>
      <c r="G56" s="2">
        <f>(Input!G49*(0.1/0.2598)*1000)/1000</f>
        <v>19249.42263279446</v>
      </c>
      <c r="H56" s="2">
        <f>(Input!H49*(0.1/0.2598)*1000)/1000</f>
        <v>17332.563510392611</v>
      </c>
      <c r="I56" s="2">
        <f>(Input!I49*(0.1/0.2598)*1000)/1000</f>
        <v>79.90762124711317</v>
      </c>
      <c r="J56" s="2">
        <f>(Input!J49*(0.1/0.2598)*1000)/1000</f>
        <v>0.66974595842956131</v>
      </c>
      <c r="K56" s="2">
        <f>(Input!K49*(0.1/0.2598)*1000)/1000</f>
        <v>0.73633564280215558</v>
      </c>
      <c r="L56" s="2">
        <f>(Input!L49*(0.1/0.2598)*1000)/1000</f>
        <v>37.228637413394921</v>
      </c>
      <c r="M56" s="2">
        <f>(Input!M49*(0.1/0.2598)*1000)/1000</f>
        <v>200.03849114703621</v>
      </c>
      <c r="N56" s="2">
        <f>(Input!N49*(0.1/0.2598)*1000)/1000</f>
        <v>0.1374133949191686</v>
      </c>
      <c r="O56" s="2">
        <f>(Input!O49*(0.1/0.2598)*1000)/1000</f>
        <v>1.3583525789068516</v>
      </c>
      <c r="P56" s="2">
        <f>(Input!P49*(0.1/0.2598)*1000)/1000</f>
        <v>6.0084680523479603</v>
      </c>
      <c r="Q56" s="2">
        <f>(Input!Q49*(0.1/0.2598)*1000)/1000</f>
        <v>14.822940723633565</v>
      </c>
      <c r="R56" s="2">
        <f>(Input!R49*(0.1/0.2598)*1000)/1000</f>
        <v>0.34911470361816788</v>
      </c>
      <c r="S56" s="72">
        <v>0.89563999999999999</v>
      </c>
      <c r="T56" s="72">
        <v>0.90144999999999997</v>
      </c>
      <c r="U56" s="2">
        <f>(Input!U49*(0.1/0.2598)*1000)/1000</f>
        <v>7.3133179368745194E-2</v>
      </c>
      <c r="V56" s="2">
        <f>(Input!V49*(0.1/0.2598)*1000)/1000</f>
        <v>2.2047729022324867</v>
      </c>
      <c r="W56" s="2">
        <f>(Input!W49*(0.1/0.2598)*1000)/1000</f>
        <v>5.785219399538108</v>
      </c>
      <c r="X56" s="2">
        <f>(Input!X49*(0.1/0.2598)*1000)/1000</f>
        <v>61.739799846035424</v>
      </c>
      <c r="Y56" s="2">
        <f>(Input!Y49*(0.1/0.2598)*1000)/1000</f>
        <v>1.5396458814472673E-2</v>
      </c>
      <c r="Z56" s="2">
        <f>(Input!Z49*(0.1/0.2598)*1000)/1000</f>
        <v>0.23133179368745191</v>
      </c>
      <c r="AA56" s="2">
        <f>(Input!AA49*(0.1/0.2598)*1000)/1000</f>
        <v>3.8491147036181687E-4</v>
      </c>
      <c r="AB56" s="2">
        <f>(Input!AB49*(0.1/0.2598)*1000)/1000</f>
        <v>2.3094688221709011E-3</v>
      </c>
      <c r="AC56" s="2">
        <f>(Input!AC49*(0.1/0.2598)*1000)/1000</f>
        <v>3.4257120862201694E-2</v>
      </c>
      <c r="AD56" s="2">
        <f>(Input!AD49*(0.1/0.2598)*1000)/1000</f>
        <v>0.62509622786759056</v>
      </c>
      <c r="AE56" s="2">
        <f>(Input!AE49*(0.1/0.2598)*1000)/1000</f>
        <v>2.9253271747498078E-2</v>
      </c>
      <c r="AF56" s="72">
        <v>0.95433999999999997</v>
      </c>
      <c r="AG56" s="72">
        <v>1.1004400000000001</v>
      </c>
      <c r="AH56" s="2">
        <f>(Input!AH49*(0.1/0.2598)*1000)/1000</f>
        <v>4.5034642032332581E-2</v>
      </c>
      <c r="AI56" s="2">
        <f>(Input!AI49*(0.1/0.2598)*1000)/1000</f>
        <v>1.9245573518090842E-3</v>
      </c>
      <c r="AJ56" s="2">
        <f>(Input!AJ49*(0.1/0.2598)*1000)/1000</f>
        <v>1.1547344110854505E-3</v>
      </c>
      <c r="AK56" s="2">
        <f>(Input!AK49*(0.1/0.2598)*1000)/1000</f>
        <v>7.5057736720554283E-2</v>
      </c>
      <c r="AL56" s="2">
        <f>(Input!AL49*(0.1/0.2598)*1000)/1000</f>
        <v>10.669745958429562</v>
      </c>
      <c r="AM56" s="2">
        <f>(Input!AM49*(0.1/0.2598)*1000)/1000</f>
        <v>5.0038491147036184E-3</v>
      </c>
      <c r="AN56" s="2">
        <f>(Input!AN49*(0.1/0.2598)*1000)/1000</f>
        <v>2.4634334103156279E-2</v>
      </c>
      <c r="AO56" s="2">
        <f>(Input!AO49*(0.1/0.2598)*1000)/1000</f>
        <v>0.13048498845265591</v>
      </c>
      <c r="AP56" s="2">
        <f>(Input!AP49*(0.1/0.2598)*1000)/1000</f>
        <v>0.12971516551193227</v>
      </c>
      <c r="AQ56" s="2">
        <f>(Input!AQ49*(0.1/0.2598)*1000)/1000</f>
        <v>0</v>
      </c>
      <c r="AR56" s="2">
        <f>(Input!AR49*(0.1/0.2598)*1000)/1000</f>
        <v>0</v>
      </c>
      <c r="AS56" s="2">
        <f>(Input!AS49*(0.1/0.2598)*1000)/1000</f>
        <v>0.10777521170130873</v>
      </c>
      <c r="AT56" s="2">
        <f>(Input!AT49*(0.1/0.2598)*1000)/1000</f>
        <v>3.8491147036181683E-3</v>
      </c>
      <c r="AU56" s="2">
        <f>(Input!AU49*(0.1/0.2598)*1000)/1000</f>
        <v>0.59853733641262519</v>
      </c>
      <c r="AV56" s="72">
        <v>0.98016000000000003</v>
      </c>
      <c r="AW56" s="72">
        <v>1.06029</v>
      </c>
      <c r="AX56" s="2">
        <f>(Input!AX49*(0.1/0.2598)*1000)/1000</f>
        <v>7.6982294072363367E-3</v>
      </c>
    </row>
    <row r="57" spans="1:50" x14ac:dyDescent="0.3">
      <c r="A57" s="2" t="s">
        <v>53</v>
      </c>
      <c r="B57" s="2">
        <f>(Input!B50*(0.1/0.2554)*1000)/1000</f>
        <v>7.6429130775254501</v>
      </c>
      <c r="C57" s="2">
        <f>(Input!C50*(0.1/0.2554)*1000)/1000</f>
        <v>175.60689115113547</v>
      </c>
      <c r="D57" s="2">
        <f>(Input!D50*(0.1/0.2554)*1000)/1000</f>
        <v>2502.7407987470633</v>
      </c>
      <c r="E57" s="2">
        <f>(Input!E50*(0.1/0.2554)*1000)/1000</f>
        <v>184.61237274862961</v>
      </c>
      <c r="F57" s="2">
        <f>(Input!F50*(0.1/0.2554)*1000)/1000</f>
        <v>498.43382928739231</v>
      </c>
      <c r="G57" s="2">
        <f>(Input!G50*(0.1/0.2554)*1000)/1000</f>
        <v>24240.407204385279</v>
      </c>
      <c r="H57" s="2">
        <f>(Input!H50*(0.1/0.2554)*1000)/1000</f>
        <v>21761.942051683633</v>
      </c>
      <c r="I57" s="2">
        <f>(Input!I50*(0.1/0.2554)*1000)/1000</f>
        <v>102.70164447924824</v>
      </c>
      <c r="J57" s="2">
        <f>(Input!J50*(0.1/0.2554)*1000)/1000</f>
        <v>1.2944400939702427</v>
      </c>
      <c r="K57" s="2">
        <f>(Input!K50*(0.1/0.2554)*1000)/1000</f>
        <v>1.1049334377447142</v>
      </c>
      <c r="L57" s="2">
        <f>(Input!L50*(0.1/0.2554)*1000)/1000</f>
        <v>74.275646045418952</v>
      </c>
      <c r="M57" s="2">
        <f>(Input!M50*(0.1/0.2554)*1000)/1000</f>
        <v>444.00939702427564</v>
      </c>
      <c r="N57" s="2">
        <f>(Input!N50*(0.1/0.2554)*1000)/1000</f>
        <v>0.29913860610806581</v>
      </c>
      <c r="O57" s="2">
        <f>(Input!O50*(0.1/0.2554)*1000)/1000</f>
        <v>2.4212999216914644</v>
      </c>
      <c r="P57" s="2">
        <f>(Input!P50*(0.1/0.2554)*1000)/1000</f>
        <v>6.7815191855912298</v>
      </c>
      <c r="Q57" s="2">
        <f>(Input!Q50*(0.1/0.2554)*1000)/1000</f>
        <v>9.2599843382928739</v>
      </c>
      <c r="R57" s="2">
        <f>(Input!R50*(0.1/0.2554)*1000)/1000</f>
        <v>0.19263899765074394</v>
      </c>
      <c r="S57" s="72">
        <v>0.88056999999999996</v>
      </c>
      <c r="T57" s="72">
        <v>0.88697999999999999</v>
      </c>
      <c r="U57" s="2">
        <f>(Input!U50*(0.1/0.2554)*1000)/1000</f>
        <v>0.12255285826155052</v>
      </c>
      <c r="V57" s="2">
        <f>(Input!V50*(0.1/0.2554)*1000)/1000</f>
        <v>5.9592795614722007</v>
      </c>
      <c r="W57" s="2">
        <f>(Input!W50*(0.1/0.2554)*1000)/1000</f>
        <v>9.2678151918559131</v>
      </c>
      <c r="X57" s="2">
        <f>(Input!X50*(0.1/0.2554)*1000)/1000</f>
        <v>59.82772122161316</v>
      </c>
      <c r="Y57" s="2">
        <f>(Input!Y50*(0.1/0.2554)*1000)/1000</f>
        <v>3.4455755677368832E-2</v>
      </c>
      <c r="Z57" s="2">
        <f>(Input!Z50*(0.1/0.2554)*1000)/1000</f>
        <v>0.29169929522317933</v>
      </c>
      <c r="AA57" s="2">
        <f>(Input!AA50*(0.1/0.2554)*1000)/1000</f>
        <v>7.8308535630383712E-4</v>
      </c>
      <c r="AB57" s="2">
        <f>(Input!AB50*(0.1/0.2554)*1000)/1000</f>
        <v>1.9577133907595929E-3</v>
      </c>
      <c r="AC57" s="2">
        <f>(Input!AC50*(0.1/0.2554)*1000)/1000</f>
        <v>3.2498042286609241E-2</v>
      </c>
      <c r="AD57" s="2">
        <f>(Input!AD50*(0.1/0.2554)*1000)/1000</f>
        <v>0.64565387627251369</v>
      </c>
      <c r="AE57" s="2">
        <f>(Input!AE50*(0.1/0.2554)*1000)/1000</f>
        <v>3.6805011746280349E-2</v>
      </c>
      <c r="AF57" s="72">
        <v>0.94003999999999999</v>
      </c>
      <c r="AG57" s="72">
        <v>1.1059300000000001</v>
      </c>
      <c r="AH57" s="2">
        <f>(Input!AH50*(0.1/0.2554)*1000)/1000</f>
        <v>3.2498042286609241E-2</v>
      </c>
      <c r="AI57" s="2">
        <f>(Input!AI50*(0.1/0.2554)*1000)/1000</f>
        <v>1.644479248238058E-2</v>
      </c>
      <c r="AJ57" s="2">
        <f>(Input!AJ50*(0.1/0.2554)*1000)/1000</f>
        <v>1.1746280344557558E-3</v>
      </c>
      <c r="AK57" s="2">
        <f>(Input!AK50*(0.1/0.2554)*1000)/1000</f>
        <v>0.11002349256068913</v>
      </c>
      <c r="AL57" s="2">
        <f>(Input!AL50*(0.1/0.2554)*1000)/1000</f>
        <v>4.5223179326546594</v>
      </c>
      <c r="AM57" s="2">
        <f>(Input!AM50*(0.1/0.2554)*1000)/1000</f>
        <v>4.6985121378230231E-3</v>
      </c>
      <c r="AN57" s="2">
        <f>(Input!AN50*(0.1/0.2554)*1000)/1000</f>
        <v>4.9725920125293657E-2</v>
      </c>
      <c r="AO57" s="2">
        <f>(Input!AO50*(0.1/0.2554)*1000)/1000</f>
        <v>0.19224745497259202</v>
      </c>
      <c r="AP57" s="2">
        <f>(Input!AP50*(0.1/0.2554)*1000)/1000</f>
        <v>0.19224745497259202</v>
      </c>
      <c r="AQ57" s="2">
        <f>(Input!AQ50*(0.1/0.2554)*1000)/1000</f>
        <v>0</v>
      </c>
      <c r="AR57" s="2">
        <f>(Input!AR50*(0.1/0.2554)*1000)/1000</f>
        <v>0</v>
      </c>
      <c r="AS57" s="2">
        <f>(Input!AS50*(0.1/0.2554)*1000)/1000</f>
        <v>0.12020360219263899</v>
      </c>
      <c r="AT57" s="2">
        <f>(Input!AT50*(0.1/0.2554)*1000)/1000</f>
        <v>3.9154267815191858E-3</v>
      </c>
      <c r="AU57" s="2">
        <f>(Input!AU50*(0.1/0.2554)*1000)/1000</f>
        <v>0.92364917776037592</v>
      </c>
      <c r="AV57" s="72">
        <v>0.92627999999999999</v>
      </c>
      <c r="AW57" s="72">
        <v>1.0484599999999999</v>
      </c>
      <c r="AX57" s="2">
        <f>(Input!AX50*(0.1/0.2554)*1000)/1000</f>
        <v>2.4275646045418951E-2</v>
      </c>
    </row>
    <row r="58" spans="1:50" x14ac:dyDescent="0.3">
      <c r="A58" s="2" t="s">
        <v>54</v>
      </c>
      <c r="B58" s="2">
        <f>(Input!B51*(0.1/0.2573)*1000)/1000</f>
        <v>16.066848037310535</v>
      </c>
      <c r="C58" s="2">
        <f>(Input!C51*(0.1/0.2573)*1000)/1000</f>
        <v>148.07617567042365</v>
      </c>
      <c r="D58" s="2">
        <f>(Input!D51*(0.1/0.2573)*1000)/1000</f>
        <v>2773.0275942479602</v>
      </c>
      <c r="E58" s="2">
        <f>(Input!E51*(0.1/0.2573)*1000)/1000</f>
        <v>129.77069568596971</v>
      </c>
      <c r="F58" s="2">
        <f>(Input!F51*(0.1/0.2573)*1000)/1000</f>
        <v>1239.4092499028375</v>
      </c>
      <c r="G58" s="2">
        <f>(Input!G51*(0.1/0.2573)*1000)/1000</f>
        <v>17877.96346677031</v>
      </c>
      <c r="H58" s="2">
        <f>(Input!H51*(0.1/0.2573)*1000)/1000</f>
        <v>17800.233190827832</v>
      </c>
      <c r="I58" s="2">
        <f>(Input!I51*(0.1/0.2573)*1000)/1000</f>
        <v>80.17877963466772</v>
      </c>
      <c r="J58" s="2">
        <f>(Input!J51*(0.1/0.2573)*1000)/1000</f>
        <v>0.86086280606296162</v>
      </c>
      <c r="K58" s="2">
        <f>(Input!K51*(0.1/0.2573)*1000)/1000</f>
        <v>0.83171395258453185</v>
      </c>
      <c r="L58" s="2">
        <f>(Input!L51*(0.1/0.2573)*1000)/1000</f>
        <v>42.751651768363786</v>
      </c>
      <c r="M58" s="2">
        <f>(Input!M51*(0.1/0.2573)*1000)/1000</f>
        <v>288.57364943645553</v>
      </c>
      <c r="N58" s="2">
        <f>(Input!N51*(0.1/0.2573)*1000)/1000</f>
        <v>0.16362223085891958</v>
      </c>
      <c r="O58" s="2">
        <f>(Input!O51*(0.1/0.2573)*1000)/1000</f>
        <v>1.4003109211037703</v>
      </c>
      <c r="P58" s="2">
        <f>(Input!P51*(0.1/0.2573)*1000)/1000</f>
        <v>22.110376991838326</v>
      </c>
      <c r="Q58" s="2">
        <f>(Input!Q51*(0.1/0.2573)*1000)/1000</f>
        <v>18.390983287990675</v>
      </c>
      <c r="R58" s="2">
        <f>(Input!R51*(0.1/0.2573)*1000)/1000</f>
        <v>0.60629615235134093</v>
      </c>
      <c r="S58" s="72">
        <v>0.89378999999999997</v>
      </c>
      <c r="T58" s="72">
        <v>0.89570000000000005</v>
      </c>
      <c r="U58" s="2">
        <f>(Input!U51*(0.1/0.2573)*1000)/1000</f>
        <v>0.11465215701515742</v>
      </c>
      <c r="V58" s="2">
        <f>(Input!V51*(0.1/0.2573)*1000)/1000</f>
        <v>1.560435289545278</v>
      </c>
      <c r="W58" s="2">
        <f>(Input!W51*(0.1/0.2573)*1000)/1000</f>
        <v>4.1002720559657995</v>
      </c>
      <c r="X58" s="2">
        <f>(Input!X51*(0.1/0.2573)*1000)/1000</f>
        <v>163.11698406529345</v>
      </c>
      <c r="Y58" s="2">
        <f>(Input!Y51*(0.1/0.2573)*1000)/1000</f>
        <v>1.4768752429071125E-2</v>
      </c>
      <c r="Z58" s="2">
        <f>(Input!Z51*(0.1/0.2573)*1000)/1000</f>
        <v>0.29071123202487376</v>
      </c>
      <c r="AA58" s="2">
        <f>(Input!AA51*(0.1/0.2573)*1000)/1000</f>
        <v>1.1659541391371942E-3</v>
      </c>
      <c r="AB58" s="2">
        <f>(Input!AB51*(0.1/0.2573)*1000)/1000</f>
        <v>5.4411193159735732E-3</v>
      </c>
      <c r="AC58" s="2">
        <f>(Input!AC51*(0.1/0.2573)*1000)/1000</f>
        <v>8.4337349397590369E-2</v>
      </c>
      <c r="AD58" s="2">
        <f>(Input!AD51*(0.1/0.2573)*1000)/1000</f>
        <v>1.0279828993392928</v>
      </c>
      <c r="AE58" s="2">
        <f>(Input!AE51*(0.1/0.2573)*1000)/1000</f>
        <v>4.0808394869801791E-2</v>
      </c>
      <c r="AF58" s="72">
        <v>0.95267000000000002</v>
      </c>
      <c r="AG58" s="72">
        <v>1.10941</v>
      </c>
      <c r="AH58" s="2">
        <f>(Input!AH51*(0.1/0.2573)*1000)/1000</f>
        <v>2.7205596579867866E-3</v>
      </c>
      <c r="AI58" s="2">
        <f>(Input!AI51*(0.1/0.2573)*1000)/1000</f>
        <v>4.663816556548777E-3</v>
      </c>
      <c r="AJ58" s="2">
        <f>(Input!AJ51*(0.1/0.2573)*1000)/1000</f>
        <v>1.5546055188495923E-3</v>
      </c>
      <c r="AK58" s="2">
        <f>(Input!AK51*(0.1/0.2573)*1000)/1000</f>
        <v>6.8013991449669658E-2</v>
      </c>
      <c r="AL58" s="2">
        <f>(Input!AL51*(0.1/0.2573)*1000)/1000</f>
        <v>20.959968907889628</v>
      </c>
      <c r="AM58" s="2">
        <f>(Input!AM51*(0.1/0.2573)*1000)/1000</f>
        <v>3.1092110376991847E-3</v>
      </c>
      <c r="AN58" s="2">
        <f>(Input!AN51*(0.1/0.2573)*1000)/1000</f>
        <v>3.5367275553828223E-2</v>
      </c>
      <c r="AO58" s="2">
        <f>(Input!AO51*(0.1/0.2573)*1000)/1000</f>
        <v>3.6533229692965415E-2</v>
      </c>
      <c r="AP58" s="2">
        <f>(Input!AP51*(0.1/0.2573)*1000)/1000</f>
        <v>3.6921881072677812E-2</v>
      </c>
      <c r="AQ58" s="2">
        <f>(Input!AQ51*(0.1/0.2573)*1000)/1000</f>
        <v>0</v>
      </c>
      <c r="AR58" s="2">
        <f>(Input!AR51*(0.1/0.2573)*1000)/1000</f>
        <v>0</v>
      </c>
      <c r="AS58" s="2">
        <f>(Input!AS51*(0.1/0.2573)*1000)/1000</f>
        <v>0.14768752429071125</v>
      </c>
      <c r="AT58" s="2">
        <f>(Input!AT51*(0.1/0.2573)*1000)/1000</f>
        <v>1.9432568985619902E-3</v>
      </c>
      <c r="AU58" s="2">
        <f>(Input!AU51*(0.1/0.2573)*1000)/1000</f>
        <v>0.64516129032258074</v>
      </c>
      <c r="AV58" s="72">
        <v>0.94967000000000001</v>
      </c>
      <c r="AW58" s="72">
        <v>1.0620099999999999</v>
      </c>
      <c r="AX58" s="2">
        <f>(Input!AX51*(0.1/0.2573)*1000)/1000</f>
        <v>1.0882238631947146E-2</v>
      </c>
    </row>
    <row r="59" spans="1:50" x14ac:dyDescent="0.3">
      <c r="A59" s="2" t="s">
        <v>55</v>
      </c>
      <c r="B59" s="2">
        <f>(Input!B52*(0.1/0.2586)*1000)/1000</f>
        <v>7.8924980665119877</v>
      </c>
      <c r="C59" s="2">
        <f>(Input!C52*(0.1/0.2586)*1000)/1000</f>
        <v>175.63805104408354</v>
      </c>
      <c r="D59" s="2">
        <f>(Input!D52*(0.1/0.2586)*1000)/1000</f>
        <v>2110.5955143078113</v>
      </c>
      <c r="E59" s="2">
        <f>(Input!E52*(0.1/0.2586)*1000)/1000</f>
        <v>148.02784222737822</v>
      </c>
      <c r="F59" s="2">
        <f>(Input!F52*(0.1/0.2586)*1000)/1000</f>
        <v>552.5908739365816</v>
      </c>
      <c r="G59" s="2">
        <f>(Input!G52*(0.1/0.2586)*1000)/1000</f>
        <v>11840.680587780356</v>
      </c>
      <c r="H59" s="2">
        <f>(Input!H52*(0.1/0.2586)*1000)/1000</f>
        <v>31237.432327919567</v>
      </c>
      <c r="I59" s="2">
        <f>(Input!I52*(0.1/0.2586)*1000)/1000</f>
        <v>139.01778808971386</v>
      </c>
      <c r="J59" s="2">
        <f>(Input!J52*(0.1/0.2586)*1000)/1000</f>
        <v>1.1245166279969063</v>
      </c>
      <c r="K59" s="2">
        <f>(Input!K52*(0.1/0.2586)*1000)/1000</f>
        <v>1.0831399845320959</v>
      </c>
      <c r="L59" s="2">
        <f>(Input!L52*(0.1/0.2586)*1000)/1000</f>
        <v>46.481051817478736</v>
      </c>
      <c r="M59" s="2">
        <f>(Input!M52*(0.1/0.2586)*1000)/1000</f>
        <v>347.5251353441609</v>
      </c>
      <c r="N59" s="2">
        <f>(Input!N52*(0.1/0.2586)*1000)/1000</f>
        <v>0.2080433101314772</v>
      </c>
      <c r="O59" s="2">
        <f>(Input!O52*(0.1/0.2586)*1000)/1000</f>
        <v>1.5649651972157772</v>
      </c>
      <c r="P59" s="2">
        <f>(Input!P52*(0.1/0.2586)*1000)/1000</f>
        <v>6.627996906419181</v>
      </c>
      <c r="Q59" s="2">
        <f>(Input!Q52*(0.1/0.2586)*1000)/1000</f>
        <v>13.932714617169374</v>
      </c>
      <c r="R59" s="2">
        <f>(Input!R52*(0.1/0.2586)*1000)/1000</f>
        <v>0.82057231245166284</v>
      </c>
      <c r="S59" s="72">
        <v>0.88097000000000003</v>
      </c>
      <c r="T59" s="72">
        <v>0.89625999999999995</v>
      </c>
      <c r="U59" s="2">
        <f>(Input!U52*(0.1/0.2586)*1000)/1000</f>
        <v>0.10827532869296212</v>
      </c>
      <c r="V59" s="2">
        <f>(Input!V52*(0.1/0.2586)*1000)/1000</f>
        <v>2.2536736272235114</v>
      </c>
      <c r="W59" s="2">
        <f>(Input!W52*(0.1/0.2586)*1000)/1000</f>
        <v>4.9226604795050273</v>
      </c>
      <c r="X59" s="2">
        <f>(Input!X52*(0.1/0.2586)*1000)/1000</f>
        <v>89.017788089713846</v>
      </c>
      <c r="Y59" s="2">
        <f>(Input!Y52*(0.1/0.2586)*1000)/1000</f>
        <v>2.1655065738592421E-2</v>
      </c>
      <c r="Z59" s="2">
        <f>(Input!Z52*(0.1/0.2586)*1000)/1000</f>
        <v>0.31245166279969067</v>
      </c>
      <c r="AA59" s="2">
        <f>(Input!AA52*(0.1/0.2586)*1000)/1000</f>
        <v>3.8669760247486468E-4</v>
      </c>
      <c r="AB59" s="2">
        <f>(Input!AB52*(0.1/0.2586)*1000)/1000</f>
        <v>3.0935808197989174E-3</v>
      </c>
      <c r="AC59" s="2">
        <f>(Input!AC52*(0.1/0.2586)*1000)/1000</f>
        <v>4.7177107501933491E-2</v>
      </c>
      <c r="AD59" s="2">
        <f>(Input!AD52*(0.1/0.2586)*1000)/1000</f>
        <v>0.69257540603248258</v>
      </c>
      <c r="AE59" s="2">
        <f>(Input!AE52*(0.1/0.2586)*1000)/1000</f>
        <v>3.2482598607888644E-2</v>
      </c>
      <c r="AF59" s="72">
        <v>0.94518999999999997</v>
      </c>
      <c r="AG59" s="72">
        <v>1.11605</v>
      </c>
      <c r="AH59" s="2">
        <f>(Input!AH52*(0.1/0.2586)*1000)/1000</f>
        <v>2.2041763341067288E-2</v>
      </c>
      <c r="AI59" s="2">
        <f>(Input!AI52*(0.1/0.2586)*1000)/1000</f>
        <v>2.0494972931167827E-2</v>
      </c>
      <c r="AJ59" s="2">
        <f>(Input!AJ52*(0.1/0.2586)*1000)/1000</f>
        <v>1.1600928074245941E-3</v>
      </c>
      <c r="AK59" s="2">
        <f>(Input!AK52*(0.1/0.2586)*1000)/1000</f>
        <v>9.1647331786542927E-2</v>
      </c>
      <c r="AL59" s="2">
        <f>(Input!AL52*(0.1/0.2586)*1000)/1000</f>
        <v>29.068058778035578</v>
      </c>
      <c r="AM59" s="2">
        <f>(Input!AM52*(0.1/0.2586)*1000)/1000</f>
        <v>4.2536736272235113E-3</v>
      </c>
      <c r="AN59" s="2">
        <f>(Input!AN52*(0.1/0.2586)*1000)/1000</f>
        <v>8.7006960556844551E-2</v>
      </c>
      <c r="AO59" s="2">
        <f>(Input!AO52*(0.1/0.2586)*1000)/1000</f>
        <v>0.1094354215003867</v>
      </c>
      <c r="AP59" s="2">
        <f>(Input!AP52*(0.1/0.2586)*1000)/1000</f>
        <v>0.10750193348801239</v>
      </c>
      <c r="AQ59" s="2">
        <f>(Input!AQ52*(0.1/0.2586)*1000)/1000</f>
        <v>0</v>
      </c>
      <c r="AR59" s="2">
        <f>(Input!AR52*(0.1/0.2586)*1000)/1000</f>
        <v>0</v>
      </c>
      <c r="AS59" s="2">
        <f>(Input!AS52*(0.1/0.2586)*1000)/1000</f>
        <v>0.10440835266821347</v>
      </c>
      <c r="AT59" s="2">
        <f>(Input!AT52*(0.1/0.2586)*1000)/1000</f>
        <v>2.7068832173240526E-3</v>
      </c>
      <c r="AU59" s="2">
        <f>(Input!AU52*(0.1/0.2586)*1000)/1000</f>
        <v>0.56805877803557625</v>
      </c>
      <c r="AV59" s="72">
        <v>0.88721000000000005</v>
      </c>
      <c r="AW59" s="72">
        <v>1.06416</v>
      </c>
      <c r="AX59" s="2">
        <f>(Input!AX52*(0.1/0.2586)*1000)/1000</f>
        <v>1.2761020881670535E-2</v>
      </c>
    </row>
    <row r="60" spans="1:50" x14ac:dyDescent="0.3">
      <c r="A60" s="2" t="s">
        <v>56</v>
      </c>
      <c r="B60" s="2">
        <f>(Input!B53*(0.1/0.2517)*1000)/1000</f>
        <v>8.0095351609058412</v>
      </c>
      <c r="C60" s="2">
        <f>(Input!C53*(0.1/0.2517)*1000)/1000</f>
        <v>189.98808104886771</v>
      </c>
      <c r="D60" s="2">
        <f>(Input!D53*(0.1/0.2517)*1000)/1000</f>
        <v>2020.2622169249109</v>
      </c>
      <c r="E60" s="2">
        <f>(Input!E53*(0.1/0.2517)*1000)/1000</f>
        <v>395.5105284068336</v>
      </c>
      <c r="F60" s="2">
        <f>(Input!F53*(0.1/0.2517)*1000)/1000</f>
        <v>1104.09217322209</v>
      </c>
      <c r="G60" s="2">
        <f>(Input!G53*(0.1/0.2517)*1000)/1000</f>
        <v>21136.273341279302</v>
      </c>
      <c r="H60" s="2">
        <f>(Input!H53*(0.1/0.2517)*1000)/1000</f>
        <v>22967.818831942794</v>
      </c>
      <c r="I60" s="2">
        <f>(Input!I53*(0.1/0.2517)*1000)/1000</f>
        <v>132.14143822010334</v>
      </c>
      <c r="J60" s="2">
        <f>(Input!J53*(0.1/0.2517)*1000)/1000</f>
        <v>1.4668255860150976</v>
      </c>
      <c r="K60" s="2">
        <f>(Input!K53*(0.1/0.2517)*1000)/1000</f>
        <v>1.0810488676996426</v>
      </c>
      <c r="L60" s="2">
        <f>(Input!L53*(0.1/0.2517)*1000)/1000</f>
        <v>47.914183551847444</v>
      </c>
      <c r="M60" s="2">
        <f>(Input!M53*(0.1/0.2517)*1000)/1000</f>
        <v>740.56416368692896</v>
      </c>
      <c r="N60" s="2">
        <f>(Input!N53*(0.1/0.2517)*1000)/1000</f>
        <v>0.3444576877234804</v>
      </c>
      <c r="O60" s="2">
        <f>(Input!O53*(0.1/0.2517)*1000)/1000</f>
        <v>1.636869288835916</v>
      </c>
      <c r="P60" s="2">
        <f>(Input!P53*(0.1/0.2517)*1000)/1000</f>
        <v>9.8927294398092975</v>
      </c>
      <c r="Q60" s="2">
        <f>(Input!Q53*(0.1/0.2517)*1000)/1000</f>
        <v>25.240365514501395</v>
      </c>
      <c r="R60" s="2">
        <f>(Input!R53*(0.1/0.2517)*1000)/1000</f>
        <v>0.62693682955899899</v>
      </c>
      <c r="S60" s="72">
        <v>0.88139000000000001</v>
      </c>
      <c r="T60" s="72">
        <v>0.87941999999999998</v>
      </c>
      <c r="U60" s="2">
        <f>(Input!U53*(0.1/0.2517)*1000)/1000</f>
        <v>0.17123559793404849</v>
      </c>
      <c r="V60" s="2">
        <f>(Input!V53*(0.1/0.2517)*1000)/1000</f>
        <v>0.58442590385379434</v>
      </c>
      <c r="W60" s="2">
        <f>(Input!W53*(0.1/0.2517)*1000)/1000</f>
        <v>5.8680969408025438</v>
      </c>
      <c r="X60" s="2">
        <f>(Input!X53*(0.1/0.2517)*1000)/1000</f>
        <v>110.88597536750102</v>
      </c>
      <c r="Y60" s="2">
        <f>(Input!Y53*(0.1/0.2517)*1000)/1000</f>
        <v>7.0321811680572111E-2</v>
      </c>
      <c r="Z60" s="2">
        <f>(Input!Z53*(0.1/0.2517)*1000)/1000</f>
        <v>0.28804131903059199</v>
      </c>
      <c r="AA60" s="2">
        <f>(Input!AA53*(0.1/0.2517)*1000)/1000</f>
        <v>7.9459674215335728E-4</v>
      </c>
      <c r="AB60" s="2">
        <f>(Input!AB53*(0.1/0.2517)*1000)/1000</f>
        <v>3.5756853396901075E-3</v>
      </c>
      <c r="AC60" s="2">
        <f>(Input!AC53*(0.1/0.2517)*1000)/1000</f>
        <v>5.3635280095351623E-2</v>
      </c>
      <c r="AD60" s="2">
        <f>(Input!AD53*(0.1/0.2517)*1000)/1000</f>
        <v>0.65474771553436639</v>
      </c>
      <c r="AE60" s="2">
        <f>(Input!AE53*(0.1/0.2517)*1000)/1000</f>
        <v>4.6086611044894726E-2</v>
      </c>
      <c r="AF60" s="72">
        <v>0.91927999999999999</v>
      </c>
      <c r="AG60" s="72">
        <v>1.0747899999999999</v>
      </c>
      <c r="AH60" s="2">
        <f>(Input!AH53*(0.1/0.2517)*1000)/1000</f>
        <v>0.13110846245530397</v>
      </c>
      <c r="AI60" s="2">
        <f>(Input!AI53*(0.1/0.2517)*1000)/1000</f>
        <v>5.6019070321811686E-2</v>
      </c>
      <c r="AJ60" s="2">
        <f>(Input!AJ53*(0.1/0.2517)*1000)/1000</f>
        <v>1.1918951132300359E-3</v>
      </c>
      <c r="AK60" s="2">
        <f>(Input!AK53*(0.1/0.2517)*1000)/1000</f>
        <v>0.14580850218514105</v>
      </c>
      <c r="AL60" s="2">
        <f>(Input!AL53*(0.1/0.2517)*1000)/1000</f>
        <v>16.599125943583633</v>
      </c>
      <c r="AM60" s="2">
        <f>(Input!AM53*(0.1/0.2517)*1000)/1000</f>
        <v>1.4700039729837109E-2</v>
      </c>
      <c r="AN60" s="2">
        <f>(Input!AN53*(0.1/0.2517)*1000)/1000</f>
        <v>6.3567739372268589E-2</v>
      </c>
      <c r="AO60" s="2">
        <f>(Input!AO53*(0.1/0.2517)*1000)/1000</f>
        <v>7.707588398887566E-2</v>
      </c>
      <c r="AP60" s="2">
        <f>(Input!AP53*(0.1/0.2517)*1000)/1000</f>
        <v>7.6678585617798986E-2</v>
      </c>
      <c r="AQ60" s="2">
        <f>(Input!AQ53*(0.1/0.2517)*1000)/1000</f>
        <v>0</v>
      </c>
      <c r="AR60" s="2">
        <f>(Input!AR53*(0.1/0.2517)*1000)/1000</f>
        <v>0</v>
      </c>
      <c r="AS60" s="2">
        <f>(Input!AS53*(0.1/0.2517)*1000)/1000</f>
        <v>0.15375446960667463</v>
      </c>
      <c r="AT60" s="2">
        <f>(Input!AT53*(0.1/0.2517)*1000)/1000</f>
        <v>6.3567739372268582E-3</v>
      </c>
      <c r="AU60" s="2">
        <f>(Input!AU53*(0.1/0.2517)*1000)/1000</f>
        <v>1.0035756853396902</v>
      </c>
      <c r="AV60" s="72">
        <v>0.93581000000000003</v>
      </c>
      <c r="AW60" s="72">
        <v>1.0416000000000001</v>
      </c>
      <c r="AX60" s="2">
        <f>(Input!AX53*(0.1/0.2517)*1000)/1000</f>
        <v>3.4564958283671038E-2</v>
      </c>
    </row>
    <row r="61" spans="1:50" x14ac:dyDescent="0.3">
      <c r="A61" s="2" t="s">
        <v>57</v>
      </c>
      <c r="B61" s="2">
        <f>(Input!B54*(0.1/0.2548)*1000)/1000</f>
        <v>8.9324960753532174</v>
      </c>
      <c r="C61" s="2">
        <f>(Input!C54*(0.1/0.2548)*1000)/1000</f>
        <v>75.470957613814747</v>
      </c>
      <c r="D61" s="2">
        <f>(Input!D54*(0.1/0.2548)*1000)/1000</f>
        <v>1509.4191522762949</v>
      </c>
      <c r="E61" s="2">
        <f>(Input!E54*(0.1/0.2548)*1000)/1000</f>
        <v>404.63108320251172</v>
      </c>
      <c r="F61" s="2">
        <f>(Input!F54*(0.1/0.2548)*1000)/1000</f>
        <v>1063.9717425431711</v>
      </c>
      <c r="G61" s="2">
        <f>(Input!G54*(0.1/0.2548)*1000)/1000</f>
        <v>13308.477237048664</v>
      </c>
      <c r="H61" s="2">
        <f>(Input!H54*(0.1/0.2548)*1000)/1000</f>
        <v>22551.020408163262</v>
      </c>
      <c r="I61" s="2">
        <f>(Input!I54*(0.1/0.2548)*1000)/1000</f>
        <v>129.55259026687597</v>
      </c>
      <c r="J61" s="2">
        <f>(Input!J54*(0.1/0.2548)*1000)/1000</f>
        <v>1.3602825745682887</v>
      </c>
      <c r="K61" s="2">
        <f>(Input!K54*(0.1/0.2548)*1000)/1000</f>
        <v>1.0804552590266876</v>
      </c>
      <c r="L61" s="2">
        <f>(Input!L54*(0.1/0.2548)*1000)/1000</f>
        <v>62.08791208791208</v>
      </c>
      <c r="M61" s="2">
        <f>(Input!M54*(0.1/0.2548)*1000)/1000</f>
        <v>683.28100470957611</v>
      </c>
      <c r="N61" s="2">
        <f>(Input!N54*(0.1/0.2548)*1000)/1000</f>
        <v>0.29945054945054944</v>
      </c>
      <c r="O61" s="2">
        <f>(Input!O54*(0.1/0.2548)*1000)/1000</f>
        <v>1.0706436420722134</v>
      </c>
      <c r="P61" s="2">
        <f>(Input!P54*(0.1/0.2548)*1000)/1000</f>
        <v>10.992935635792778</v>
      </c>
      <c r="Q61" s="2">
        <f>(Input!Q54*(0.1/0.2548)*1000)/1000</f>
        <v>21.69937205651491</v>
      </c>
      <c r="R61" s="2">
        <f>(Input!R54*(0.1/0.2548)*1000)/1000</f>
        <v>0.56868131868131866</v>
      </c>
      <c r="S61" s="72">
        <v>0.89800999999999997</v>
      </c>
      <c r="T61" s="72">
        <v>0.88719000000000003</v>
      </c>
      <c r="U61" s="2">
        <f>(Input!U54*(0.1/0.2548)*1000)/1000</f>
        <v>0.15894819466248036</v>
      </c>
      <c r="V61" s="2">
        <f>(Input!V54*(0.1/0.2548)*1000)/1000</f>
        <v>0.38069073783359492</v>
      </c>
      <c r="W61" s="2">
        <f>(Input!W54*(0.1/0.2548)*1000)/1000</f>
        <v>5.4395604395604389</v>
      </c>
      <c r="X61" s="2">
        <f>(Input!X54*(0.1/0.2548)*1000)/1000</f>
        <v>85.282574568288851</v>
      </c>
      <c r="Y61" s="2">
        <f>(Input!Y54*(0.1/0.2548)*1000)/1000</f>
        <v>6.789638932496074E-2</v>
      </c>
      <c r="Z61" s="2">
        <f>(Input!Z54*(0.1/0.2548)*1000)/1000</f>
        <v>0.30298273155416011</v>
      </c>
      <c r="AA61" s="2">
        <f>(Input!AA54*(0.1/0.2548)*1000)/1000</f>
        <v>3.9246467817896386E-4</v>
      </c>
      <c r="AB61" s="2">
        <f>(Input!AB54*(0.1/0.2548)*1000)/1000</f>
        <v>2.747252747252747E-3</v>
      </c>
      <c r="AC61" s="2">
        <f>(Input!AC54*(0.1/0.2548)*1000)/1000</f>
        <v>3.8069073783359497E-2</v>
      </c>
      <c r="AD61" s="2">
        <f>(Input!AD54*(0.1/0.2548)*1000)/1000</f>
        <v>0.66208791208791207</v>
      </c>
      <c r="AE61" s="2">
        <f>(Input!AE54*(0.1/0.2548)*1000)/1000</f>
        <v>2.4725274725274724E-2</v>
      </c>
      <c r="AF61" s="72">
        <v>0.93145</v>
      </c>
      <c r="AG61" s="72">
        <v>1.0758799999999999</v>
      </c>
      <c r="AH61" s="2">
        <f>(Input!AH54*(0.1/0.2548)*1000)/1000</f>
        <v>0.4152276295133438</v>
      </c>
      <c r="AI61" s="2">
        <f>(Input!AI54*(0.1/0.2548)*1000)/1000</f>
        <v>5.4945054945054944E-2</v>
      </c>
      <c r="AJ61" s="2">
        <f>(Input!AJ54*(0.1/0.2548)*1000)/1000</f>
        <v>1.1773940345368916E-3</v>
      </c>
      <c r="AK61" s="2">
        <f>(Input!AK54*(0.1/0.2548)*1000)/1000</f>
        <v>0.1683673469387755</v>
      </c>
      <c r="AL61" s="2">
        <f>(Input!AL54*(0.1/0.2548)*1000)/1000</f>
        <v>14.858712715855571</v>
      </c>
      <c r="AM61" s="2">
        <f>(Input!AM54*(0.1/0.2548)*1000)/1000</f>
        <v>1.4128728414442697E-2</v>
      </c>
      <c r="AN61" s="2">
        <f>(Input!AN54*(0.1/0.2548)*1000)/1000</f>
        <v>5.1412872841444267E-2</v>
      </c>
      <c r="AO61" s="2">
        <f>(Input!AO54*(0.1/0.2548)*1000)/1000</f>
        <v>3.6499215070643638E-2</v>
      </c>
      <c r="AP61" s="2">
        <f>(Input!AP54*(0.1/0.2548)*1000)/1000</f>
        <v>3.7676609105180531E-2</v>
      </c>
      <c r="AQ61" s="2">
        <f>(Input!AQ54*(0.1/0.2548)*1000)/1000</f>
        <v>0</v>
      </c>
      <c r="AR61" s="2">
        <f>(Input!AR54*(0.1/0.2548)*1000)/1000</f>
        <v>3.9246467817896386E-4</v>
      </c>
      <c r="AS61" s="2">
        <f>(Input!AS54*(0.1/0.2548)*1000)/1000</f>
        <v>0.10910518053375197</v>
      </c>
      <c r="AT61" s="2">
        <f>(Input!AT54*(0.1/0.2548)*1000)/1000</f>
        <v>5.8869701726844579E-3</v>
      </c>
      <c r="AU61" s="2">
        <f>(Input!AU54*(0.1/0.2548)*1000)/1000</f>
        <v>0.76334379905808469</v>
      </c>
      <c r="AV61" s="72">
        <v>0.97521999999999998</v>
      </c>
      <c r="AW61" s="72">
        <v>1.0498700000000001</v>
      </c>
      <c r="AX61" s="2">
        <f>(Input!AX54*(0.1/0.2548)*1000)/1000</f>
        <v>2.5117739403453687E-2</v>
      </c>
    </row>
    <row r="62" spans="1:50" x14ac:dyDescent="0.3">
      <c r="A62" s="2" t="s">
        <v>58</v>
      </c>
      <c r="B62" s="2">
        <f>(Input!B55*(0.1/0.255)*1000)/1000</f>
        <v>4.6352941176470592</v>
      </c>
      <c r="C62" s="2">
        <f>(Input!C55*(0.1/0.255)*1000)/1000</f>
        <v>37.196078431372548</v>
      </c>
      <c r="D62" s="2">
        <f>(Input!D55*(0.1/0.255)*1000)/1000</f>
        <v>1161.1764705882354</v>
      </c>
      <c r="E62" s="2">
        <f>(Input!E55*(0.1/0.255)*1000)/1000</f>
        <v>278.74509803921569</v>
      </c>
      <c r="F62" s="2">
        <f>(Input!F55*(0.1/0.255)*1000)/1000</f>
        <v>1583.1372549019607</v>
      </c>
      <c r="G62" s="2">
        <f>(Input!G55*(0.1/0.255)*1000)/1000</f>
        <v>20568.627450980392</v>
      </c>
      <c r="H62" s="2">
        <f>(Input!H55*(0.1/0.255)*1000)/1000</f>
        <v>13066.666666666666</v>
      </c>
      <c r="I62" s="2">
        <f>(Input!I55*(0.1/0.255)*1000)/1000</f>
        <v>78.862745098039213</v>
      </c>
      <c r="J62" s="2">
        <f>(Input!J55*(0.1/0.255)*1000)/1000</f>
        <v>1.027843137254902</v>
      </c>
      <c r="K62" s="2">
        <f>(Input!K55*(0.1/0.255)*1000)/1000</f>
        <v>0.82039215686274514</v>
      </c>
      <c r="L62" s="2">
        <f>(Input!L55*(0.1/0.255)*1000)/1000</f>
        <v>29.537254901960782</v>
      </c>
      <c r="M62" s="2">
        <f>(Input!M55*(0.1/0.255)*1000)/1000</f>
        <v>523.92156862745094</v>
      </c>
      <c r="N62" s="2">
        <f>(Input!N55*(0.1/0.255)*1000)/1000</f>
        <v>0.21607843137254903</v>
      </c>
      <c r="O62" s="2">
        <f>(Input!O55*(0.1/0.255)*1000)/1000</f>
        <v>1.9905882352941175</v>
      </c>
      <c r="P62" s="2">
        <f>(Input!P55*(0.1/0.255)*1000)/1000</f>
        <v>12.396078431372549</v>
      </c>
      <c r="Q62" s="2">
        <f>(Input!Q55*(0.1/0.255)*1000)/1000</f>
        <v>21.588235294117645</v>
      </c>
      <c r="R62" s="2">
        <f>(Input!R55*(0.1/0.255)*1000)/1000</f>
        <v>0.41647058823529415</v>
      </c>
      <c r="S62" s="72">
        <v>0.89537999999999995</v>
      </c>
      <c r="T62" s="72">
        <v>0.88607000000000002</v>
      </c>
      <c r="U62" s="2">
        <f>(Input!U55*(0.1/0.255)*1000)/1000</f>
        <v>0.15254901960784314</v>
      </c>
      <c r="V62" s="2">
        <f>(Input!V55*(0.1/0.255)*1000)/1000</f>
        <v>0.68901960784313721</v>
      </c>
      <c r="W62" s="2">
        <f>(Input!W55*(0.1/0.255)*1000)/1000</f>
        <v>3.8709803921568628</v>
      </c>
      <c r="X62" s="2">
        <f>(Input!X55*(0.1/0.255)*1000)/1000</f>
        <v>53.372549019607838</v>
      </c>
      <c r="Y62" s="2">
        <f>(Input!Y55*(0.1/0.255)*1000)/1000</f>
        <v>4.0784313725490191E-2</v>
      </c>
      <c r="Z62" s="2">
        <f>(Input!Z55*(0.1/0.255)*1000)/1000</f>
        <v>0.15176470588235294</v>
      </c>
      <c r="AA62" s="2">
        <f>(Input!AA55*(0.1/0.255)*1000)/1000</f>
        <v>3.9215686274509802E-4</v>
      </c>
      <c r="AB62" s="2">
        <f>(Input!AB55*(0.1/0.255)*1000)/1000</f>
        <v>1.9607843137254902E-3</v>
      </c>
      <c r="AC62" s="2">
        <f>(Input!AC55*(0.1/0.255)*1000)/1000</f>
        <v>2.5098039215686273E-2</v>
      </c>
      <c r="AD62" s="2">
        <f>(Input!AD55*(0.1/0.255)*1000)/1000</f>
        <v>0.62392156862745096</v>
      </c>
      <c r="AE62" s="2">
        <f>(Input!AE55*(0.1/0.255)*1000)/1000</f>
        <v>3.4901960784313721E-2</v>
      </c>
      <c r="AF62" s="72">
        <v>0.93079999999999996</v>
      </c>
      <c r="AG62" s="72">
        <v>1.0720099999999999</v>
      </c>
      <c r="AH62" s="2">
        <f>(Input!AH55*(0.1/0.255)*1000)/1000</f>
        <v>0.1007843137254902</v>
      </c>
      <c r="AI62" s="2">
        <f>(Input!AI55*(0.1/0.255)*1000)/1000</f>
        <v>4.3921568627450981E-2</v>
      </c>
      <c r="AJ62" s="2">
        <f>(Input!AJ55*(0.1/0.255)*1000)/1000</f>
        <v>7.8431372549019605E-4</v>
      </c>
      <c r="AK62" s="2">
        <f>(Input!AK55*(0.1/0.255)*1000)/1000</f>
        <v>8.3921568627450982E-2</v>
      </c>
      <c r="AL62" s="2">
        <f>(Input!AL55*(0.1/0.255)*1000)/1000</f>
        <v>10.799999999999999</v>
      </c>
      <c r="AM62" s="2">
        <f>(Input!AM55*(0.1/0.255)*1000)/1000</f>
        <v>5.4901960784313726E-3</v>
      </c>
      <c r="AN62" s="2">
        <f>(Input!AN55*(0.1/0.255)*1000)/1000</f>
        <v>3.3333333333333333E-2</v>
      </c>
      <c r="AO62" s="2">
        <f>(Input!AO55*(0.1/0.255)*1000)/1000</f>
        <v>2.1568627450980392E-2</v>
      </c>
      <c r="AP62" s="2">
        <f>(Input!AP55*(0.1/0.255)*1000)/1000</f>
        <v>2.1176470588235293E-2</v>
      </c>
      <c r="AQ62" s="2">
        <f>(Input!AQ55*(0.1/0.255)*1000)/1000</f>
        <v>0</v>
      </c>
      <c r="AR62" s="2">
        <f>(Input!AR55*(0.1/0.255)*1000)/1000</f>
        <v>0</v>
      </c>
      <c r="AS62" s="2">
        <f>(Input!AS55*(0.1/0.255)*1000)/1000</f>
        <v>0.10784313725490197</v>
      </c>
      <c r="AT62" s="2">
        <f>(Input!AT55*(0.1/0.255)*1000)/1000</f>
        <v>4.3137254901960782E-3</v>
      </c>
      <c r="AU62" s="2">
        <f>(Input!AU55*(0.1/0.255)*1000)/1000</f>
        <v>0.56274509803921569</v>
      </c>
      <c r="AV62" s="72">
        <v>0.98253999999999997</v>
      </c>
      <c r="AW62" s="72">
        <v>1.0495000000000001</v>
      </c>
      <c r="AX62" s="2">
        <f>(Input!AX55*(0.1/0.255)*1000)/1000</f>
        <v>2.3921568627450981E-2</v>
      </c>
    </row>
    <row r="63" spans="1:50" x14ac:dyDescent="0.3">
      <c r="A63" s="2" t="s">
        <v>59</v>
      </c>
      <c r="B63" s="2">
        <f>(Input!B56*(0.1/0.2569)*1000)/1000</f>
        <v>3.3974309069676916</v>
      </c>
      <c r="C63" s="2">
        <f>(Input!C56*(0.1/0.2569)*1000)/1000</f>
        <v>61.891786687427015</v>
      </c>
      <c r="D63" s="2">
        <f>(Input!D56*(0.1/0.2569)*1000)/1000</f>
        <v>2313.3514986376022</v>
      </c>
      <c r="E63" s="2">
        <f>(Input!E56*(0.1/0.2569)*1000)/1000</f>
        <v>185.441806150253</v>
      </c>
      <c r="F63" s="2">
        <f>(Input!F56*(0.1/0.2569)*1000)/1000</f>
        <v>1967.6917088361231</v>
      </c>
      <c r="G63" s="2">
        <f>(Input!G56*(0.1/0.2569)*1000)/1000</f>
        <v>14912.417282989491</v>
      </c>
      <c r="H63" s="2">
        <f>(Input!H56*(0.1/0.2569)*1000)/1000</f>
        <v>16882.055274425846</v>
      </c>
      <c r="I63" s="2">
        <f>(Input!I56*(0.1/0.2569)*1000)/1000</f>
        <v>87.504865706500595</v>
      </c>
      <c r="J63" s="2">
        <f>(Input!J56*(0.1/0.2569)*1000)/1000</f>
        <v>0.74776177500973151</v>
      </c>
      <c r="K63" s="2">
        <f>(Input!K56*(0.1/0.2569)*1000)/1000</f>
        <v>0.7154534838458545</v>
      </c>
      <c r="L63" s="2">
        <f>(Input!L56*(0.1/0.2569)*1000)/1000</f>
        <v>59.984429739198134</v>
      </c>
      <c r="M63" s="2">
        <f>(Input!M56*(0.1/0.2569)*1000)/1000</f>
        <v>360.87971973530557</v>
      </c>
      <c r="N63" s="2">
        <f>(Input!N56*(0.1/0.2569)*1000)/1000</f>
        <v>0.17866874270144026</v>
      </c>
      <c r="O63" s="2">
        <f>(Input!O56*(0.1/0.2569)*1000)/1000</f>
        <v>2.2226547294667185</v>
      </c>
      <c r="P63" s="2">
        <f>(Input!P56*(0.1/0.2569)*1000)/1000</f>
        <v>10.945893343713507</v>
      </c>
      <c r="Q63" s="2">
        <f>(Input!Q56*(0.1/0.2569)*1000)/1000</f>
        <v>16.57065005838848</v>
      </c>
      <c r="R63" s="2">
        <f>(Input!R56*(0.1/0.2569)*1000)/1000</f>
        <v>0.43596730245231613</v>
      </c>
      <c r="S63" s="72">
        <v>0.89532</v>
      </c>
      <c r="T63" s="72">
        <v>0.88112999999999997</v>
      </c>
      <c r="U63" s="2">
        <f>(Input!U56*(0.1/0.2569)*1000)/1000</f>
        <v>0.10860256909303233</v>
      </c>
      <c r="V63" s="2">
        <f>(Input!V56*(0.1/0.2569)*1000)/1000</f>
        <v>0.41533670688984042</v>
      </c>
      <c r="W63" s="2">
        <f>(Input!W56*(0.1/0.2569)*1000)/1000</f>
        <v>6.874270144024913</v>
      </c>
      <c r="X63" s="2">
        <f>(Input!X56*(0.1/0.2569)*1000)/1000</f>
        <v>73.880887504865711</v>
      </c>
      <c r="Y63" s="2">
        <f>(Input!Y56*(0.1/0.2569)*1000)/1000</f>
        <v>2.0630595562475672E-2</v>
      </c>
      <c r="Z63" s="2">
        <f>(Input!Z56*(0.1/0.2569)*1000)/1000</f>
        <v>0.22888283378746593</v>
      </c>
      <c r="AA63" s="2">
        <f>(Input!AA56*(0.1/0.2569)*1000)/1000</f>
        <v>3.8925652004671081E-4</v>
      </c>
      <c r="AB63" s="2">
        <f>(Input!AB56*(0.1/0.2569)*1000)/1000</f>
        <v>2.3355391202802647E-3</v>
      </c>
      <c r="AC63" s="2">
        <f>(Input!AC56*(0.1/0.2569)*1000)/1000</f>
        <v>3.7757882444530946E-2</v>
      </c>
      <c r="AD63" s="2">
        <f>(Input!AD56*(0.1/0.2569)*1000)/1000</f>
        <v>0.77345270533281441</v>
      </c>
      <c r="AE63" s="2">
        <f>(Input!AE56*(0.1/0.2569)*1000)/1000</f>
        <v>1.2845465161541458E-2</v>
      </c>
      <c r="AF63" s="72">
        <v>0.93908000000000003</v>
      </c>
      <c r="AG63" s="72">
        <v>1.0806800000000001</v>
      </c>
      <c r="AH63" s="2">
        <f>(Input!AH56*(0.1/0.2569)*1000)/1000</f>
        <v>8.9528999610743482E-2</v>
      </c>
      <c r="AI63" s="2">
        <f>(Input!AI56*(0.1/0.2569)*1000)/1000</f>
        <v>3.5033086804203968E-3</v>
      </c>
      <c r="AJ63" s="2">
        <f>(Input!AJ56*(0.1/0.2569)*1000)/1000</f>
        <v>1.1677695601401323E-3</v>
      </c>
      <c r="AK63" s="2">
        <f>(Input!AK56*(0.1/0.2569)*1000)/1000</f>
        <v>9.6146360451537571E-2</v>
      </c>
      <c r="AL63" s="2">
        <f>(Input!AL56*(0.1/0.2569)*1000)/1000</f>
        <v>12.444530945893344</v>
      </c>
      <c r="AM63" s="2">
        <f>(Input!AM56*(0.1/0.2569)*1000)/1000</f>
        <v>3.8925652004671079E-3</v>
      </c>
      <c r="AN63" s="2">
        <f>(Input!AN56*(0.1/0.2569)*1000)/1000</f>
        <v>4.048267808485792E-2</v>
      </c>
      <c r="AO63" s="2">
        <f>(Input!AO56*(0.1/0.2569)*1000)/1000</f>
        <v>5.1381860646165831E-2</v>
      </c>
      <c r="AP63" s="2">
        <f>(Input!AP56*(0.1/0.2569)*1000)/1000</f>
        <v>5.0992604126119119E-2</v>
      </c>
      <c r="AQ63" s="2">
        <f>(Input!AQ56*(0.1/0.2569)*1000)/1000</f>
        <v>0</v>
      </c>
      <c r="AR63" s="2">
        <f>(Input!AR56*(0.1/0.2569)*1000)/1000</f>
        <v>0</v>
      </c>
      <c r="AS63" s="2">
        <f>(Input!AS56*(0.1/0.2569)*1000)/1000</f>
        <v>0.11521992993382639</v>
      </c>
      <c r="AT63" s="2">
        <f>(Input!AT56*(0.1/0.2569)*1000)/1000</f>
        <v>3.1140521603736865E-3</v>
      </c>
      <c r="AU63" s="2">
        <f>(Input!AU56*(0.1/0.2569)*1000)/1000</f>
        <v>0.64966913195796039</v>
      </c>
      <c r="AV63" s="72">
        <v>0.97641999999999995</v>
      </c>
      <c r="AW63" s="72">
        <v>1.0519700000000001</v>
      </c>
      <c r="AX63" s="2">
        <f>(Input!AX56*(0.1/0.2569)*1000)/1000</f>
        <v>1.2456208641494746E-2</v>
      </c>
    </row>
    <row r="64" spans="1:50" x14ac:dyDescent="0.3">
      <c r="A64" s="2" t="s">
        <v>60</v>
      </c>
      <c r="B64" s="2">
        <f>(Input!B57*(0.1/0.2517)*1000)/1000</f>
        <v>8.3869686134286852</v>
      </c>
      <c r="C64" s="2">
        <f>(Input!C57*(0.1/0.2517)*1000)/1000</f>
        <v>96.503774334525247</v>
      </c>
      <c r="D64" s="2">
        <f>(Input!D57*(0.1/0.2517)*1000)/1000</f>
        <v>1794.1994437822807</v>
      </c>
      <c r="E64" s="2">
        <f>(Input!E57*(0.1/0.2517)*1000)/1000</f>
        <v>470.40127135478753</v>
      </c>
      <c r="F64" s="2">
        <f>(Input!F57*(0.1/0.2517)*1000)/1000</f>
        <v>471.99046483909422</v>
      </c>
      <c r="G64" s="2">
        <f>(Input!G57*(0.1/0.2517)*1000)/1000</f>
        <v>15756.853396901075</v>
      </c>
      <c r="H64" s="2">
        <f>(Input!H57*(0.1/0.2517)*1000)/1000</f>
        <v>25208.581644815262</v>
      </c>
      <c r="I64" s="2">
        <f>(Input!I57*(0.1/0.2517)*1000)/1000</f>
        <v>158.00556217719509</v>
      </c>
      <c r="J64" s="2">
        <f>(Input!J57*(0.1/0.2517)*1000)/1000</f>
        <v>1.9356376638855783</v>
      </c>
      <c r="K64" s="2">
        <f>(Input!K57*(0.1/0.2517)*1000)/1000</f>
        <v>1.3106873261819627</v>
      </c>
      <c r="L64" s="2">
        <f>(Input!L57*(0.1/0.2517)*1000)/1000</f>
        <v>47.794994040524443</v>
      </c>
      <c r="M64" s="2">
        <f>(Input!M57*(0.1/0.2517)*1000)/1000</f>
        <v>982.12157330154957</v>
      </c>
      <c r="N64" s="2">
        <f>(Input!N57*(0.1/0.2517)*1000)/1000</f>
        <v>0.39014700039729844</v>
      </c>
      <c r="O64" s="2">
        <f>(Input!O57*(0.1/0.2517)*1000)/1000</f>
        <v>1.4167659912594359</v>
      </c>
      <c r="P64" s="2">
        <f>(Input!P57*(0.1/0.2517)*1000)/1000</f>
        <v>9.1179976162097738</v>
      </c>
      <c r="Q64" s="2">
        <f>(Input!Q57*(0.1/0.2517)*1000)/1000</f>
        <v>24.497417560588005</v>
      </c>
      <c r="R64" s="2">
        <f>(Input!R57*(0.1/0.2517)*1000)/1000</f>
        <v>0.56853396901072717</v>
      </c>
      <c r="S64" s="72">
        <v>0.88595999999999997</v>
      </c>
      <c r="T64" s="72">
        <v>0.88256999999999997</v>
      </c>
      <c r="U64" s="2">
        <f>(Input!U57*(0.1/0.2517)*1000)/1000</f>
        <v>0.22804926499801353</v>
      </c>
      <c r="V64" s="2">
        <f>(Input!V57*(0.1/0.2517)*1000)/1000</f>
        <v>0.92252681764004785</v>
      </c>
      <c r="W64" s="2">
        <f>(Input!W57*(0.1/0.2517)*1000)/1000</f>
        <v>8.7922129519268974</v>
      </c>
      <c r="X64" s="2">
        <f>(Input!X57*(0.1/0.2517)*1000)/1000</f>
        <v>86.531585220500617</v>
      </c>
      <c r="Y64" s="2">
        <f>(Input!Y57*(0.1/0.2517)*1000)/1000</f>
        <v>0.1005164878823997</v>
      </c>
      <c r="Z64" s="2">
        <f>(Input!Z57*(0.1/0.2517)*1000)/1000</f>
        <v>0.39809296781883197</v>
      </c>
      <c r="AA64" s="2">
        <f>(Input!AA57*(0.1/0.2517)*1000)/1000</f>
        <v>7.9459674215335728E-4</v>
      </c>
      <c r="AB64" s="2">
        <f>(Input!AB57*(0.1/0.2517)*1000)/1000</f>
        <v>2.7810885975367507E-3</v>
      </c>
      <c r="AC64" s="2">
        <f>(Input!AC57*(0.1/0.2517)*1000)/1000</f>
        <v>4.131903059197458E-2</v>
      </c>
      <c r="AD64" s="2">
        <f>(Input!AD57*(0.1/0.2517)*1000)/1000</f>
        <v>0.66468017481128339</v>
      </c>
      <c r="AE64" s="2">
        <f>(Input!AE57*(0.1/0.2517)*1000)/1000</f>
        <v>2.2248708780294005E-2</v>
      </c>
      <c r="AF64" s="72">
        <v>0.91842000000000001</v>
      </c>
      <c r="AG64" s="72">
        <v>1.0729299999999999</v>
      </c>
      <c r="AH64" s="2">
        <f>(Input!AH57*(0.1/0.2517)*1000)/1000</f>
        <v>0.17441398490266194</v>
      </c>
      <c r="AI64" s="2">
        <f>(Input!AI57*(0.1/0.2517)*1000)/1000</f>
        <v>5.6416368692888366E-2</v>
      </c>
      <c r="AJ64" s="2">
        <f>(Input!AJ57*(0.1/0.2517)*1000)/1000</f>
        <v>1.9864918553833934E-3</v>
      </c>
      <c r="AK64" s="2">
        <f>(Input!AK57*(0.1/0.2517)*1000)/1000</f>
        <v>0.21096543504171636</v>
      </c>
      <c r="AL64" s="2">
        <f>(Input!AL57*(0.1/0.2517)*1000)/1000</f>
        <v>14.008740564163688</v>
      </c>
      <c r="AM64" s="2">
        <f>(Input!AM57*(0.1/0.2517)*1000)/1000</f>
        <v>1.9467620182757255E-2</v>
      </c>
      <c r="AN64" s="2">
        <f>(Input!AN57*(0.1/0.2517)*1000)/1000</f>
        <v>4.8073102900278115E-2</v>
      </c>
      <c r="AO64" s="2">
        <f>(Input!AO57*(0.1/0.2517)*1000)/1000</f>
        <v>3.7743345252284469E-2</v>
      </c>
      <c r="AP64" s="2">
        <f>(Input!AP57*(0.1/0.2517)*1000)/1000</f>
        <v>3.7346046881207795E-2</v>
      </c>
      <c r="AQ64" s="2">
        <f>(Input!AQ57*(0.1/0.2517)*1000)/1000</f>
        <v>0</v>
      </c>
      <c r="AR64" s="2">
        <f>(Input!AR57*(0.1/0.2517)*1000)/1000</f>
        <v>3.9729837107667864E-4</v>
      </c>
      <c r="AS64" s="2">
        <f>(Input!AS57*(0.1/0.2517)*1000)/1000</f>
        <v>0.15097338100913787</v>
      </c>
      <c r="AT64" s="2">
        <f>(Input!AT57*(0.1/0.2517)*1000)/1000</f>
        <v>1.3110846245530395E-2</v>
      </c>
      <c r="AU64" s="2">
        <f>(Input!AU57*(0.1/0.2517)*1000)/1000</f>
        <v>1.4592769169646407</v>
      </c>
      <c r="AV64" s="72">
        <v>0.93916999999999995</v>
      </c>
      <c r="AW64" s="72">
        <v>1.0404800000000001</v>
      </c>
      <c r="AX64" s="2">
        <f>(Input!AX57*(0.1/0.2517)*1000)/1000</f>
        <v>4.0524433849821219E-2</v>
      </c>
    </row>
    <row r="65" spans="1:66" x14ac:dyDescent="0.3">
      <c r="A65" s="2" t="s">
        <v>61</v>
      </c>
      <c r="B65" s="2">
        <f>(Input!B58*(0.1/0.255)*1000)/1000</f>
        <v>4.2431372549019608</v>
      </c>
      <c r="C65" s="2">
        <f>(Input!C58*(0.1/0.255)*1000)/1000</f>
        <v>108.70588235294117</v>
      </c>
      <c r="D65" s="2">
        <f>(Input!D58*(0.1/0.255)*1000)/1000</f>
        <v>2694.1176470588234</v>
      </c>
      <c r="E65" s="2">
        <f>(Input!E58*(0.1/0.255)*1000)/1000</f>
        <v>197.21568627450978</v>
      </c>
      <c r="F65" s="2">
        <f>(Input!F58*(0.1/0.255)*1000)/1000</f>
        <v>1838.4313725490197</v>
      </c>
      <c r="G65" s="2">
        <f>(Input!G58*(0.1/0.255)*1000)/1000</f>
        <v>18388.235294117647</v>
      </c>
      <c r="H65" s="2">
        <f>(Input!H58*(0.1/0.255)*1000)/1000</f>
        <v>18913.725490196077</v>
      </c>
      <c r="I65" s="2">
        <f>(Input!I58*(0.1/0.255)*1000)/1000</f>
        <v>93.215686274509792</v>
      </c>
      <c r="J65" s="2">
        <f>(Input!J58*(0.1/0.255)*1000)/1000</f>
        <v>0.84392156862745105</v>
      </c>
      <c r="K65" s="2">
        <f>(Input!K58*(0.1/0.255)*1000)/1000</f>
        <v>0.83921568627450982</v>
      </c>
      <c r="L65" s="2">
        <f>(Input!L58*(0.1/0.255)*1000)/1000</f>
        <v>61.803921568627445</v>
      </c>
      <c r="M65" s="2">
        <f>(Input!M58*(0.1/0.255)*1000)/1000</f>
        <v>420.78431372549016</v>
      </c>
      <c r="N65" s="2">
        <f>(Input!N58*(0.1/0.255)*1000)/1000</f>
        <v>0.1984313725490196</v>
      </c>
      <c r="O65" s="2">
        <f>(Input!O58*(0.1/0.255)*1000)/1000</f>
        <v>1.2231372549019608</v>
      </c>
      <c r="P65" s="2">
        <f>(Input!P58*(0.1/0.255)*1000)/1000</f>
        <v>5.113725490196078</v>
      </c>
      <c r="Q65" s="2">
        <f>(Input!Q58*(0.1/0.255)*1000)/1000</f>
        <v>10.152941176470588</v>
      </c>
      <c r="R65" s="2">
        <f>(Input!R58*(0.1/0.255)*1000)/1000</f>
        <v>0.5996078431372549</v>
      </c>
      <c r="S65" s="72">
        <v>0.88722000000000001</v>
      </c>
      <c r="T65" s="72">
        <v>0.8891</v>
      </c>
      <c r="U65" s="2">
        <f>(Input!U58*(0.1/0.255)*1000)/1000</f>
        <v>0.10039215686274509</v>
      </c>
      <c r="V65" s="2">
        <f>(Input!V58*(0.1/0.255)*1000)/1000</f>
        <v>1.575294117647059</v>
      </c>
      <c r="W65" s="2">
        <f>(Input!W58*(0.1/0.255)*1000)/1000</f>
        <v>5.7490196078431373</v>
      </c>
      <c r="X65" s="2">
        <f>(Input!X58*(0.1/0.255)*1000)/1000</f>
        <v>109.96078431372548</v>
      </c>
      <c r="Y65" s="2">
        <f>(Input!Y58*(0.1/0.255)*1000)/1000</f>
        <v>2.9019607843137254E-2</v>
      </c>
      <c r="Z65" s="2">
        <f>(Input!Z58*(0.1/0.255)*1000)/1000</f>
        <v>0.39960784313725484</v>
      </c>
      <c r="AA65" s="2">
        <f>(Input!AA58*(0.1/0.255)*1000)/1000</f>
        <v>3.9215686274509802E-4</v>
      </c>
      <c r="AB65" s="2">
        <f>(Input!AB58*(0.1/0.255)*1000)/1000</f>
        <v>3.529411764705882E-3</v>
      </c>
      <c r="AC65" s="2">
        <f>(Input!AC58*(0.1/0.255)*1000)/1000</f>
        <v>5.2156862745098044E-2</v>
      </c>
      <c r="AD65" s="2">
        <f>(Input!AD58*(0.1/0.255)*1000)/1000</f>
        <v>0.63764705882352934</v>
      </c>
      <c r="AE65" s="2">
        <f>(Input!AE58*(0.1/0.255)*1000)/1000</f>
        <v>2.5882352941176471E-2</v>
      </c>
      <c r="AF65" s="72">
        <v>0.94103000000000003</v>
      </c>
      <c r="AG65" s="72">
        <v>1.0972200000000001</v>
      </c>
      <c r="AH65" s="2">
        <f>(Input!AH58*(0.1/0.255)*1000)/1000</f>
        <v>0.17019607843137255</v>
      </c>
      <c r="AI65" s="2">
        <f>(Input!AI58*(0.1/0.255)*1000)/1000</f>
        <v>-5.8823529411764705E-3</v>
      </c>
      <c r="AJ65" s="2">
        <f>(Input!AJ58*(0.1/0.255)*1000)/1000</f>
        <v>7.8431372549019605E-4</v>
      </c>
      <c r="AK65" s="2">
        <f>(Input!AK58*(0.1/0.255)*1000)/1000</f>
        <v>9.0980392156862752E-2</v>
      </c>
      <c r="AL65" s="2">
        <f>(Input!AL58*(0.1/0.255)*1000)/1000</f>
        <v>19.290196078431372</v>
      </c>
      <c r="AM65" s="2">
        <f>(Input!AM58*(0.1/0.255)*1000)/1000</f>
        <v>8.2352941176470594E-3</v>
      </c>
      <c r="AN65" s="2">
        <f>(Input!AN58*(0.1/0.255)*1000)/1000</f>
        <v>4.5882352941176471E-2</v>
      </c>
      <c r="AO65" s="2">
        <f>(Input!AO58*(0.1/0.255)*1000)/1000</f>
        <v>6.1568627450980393E-2</v>
      </c>
      <c r="AP65" s="2">
        <f>(Input!AP58*(0.1/0.255)*1000)/1000</f>
        <v>6.117647058823529E-2</v>
      </c>
      <c r="AQ65" s="2">
        <f>(Input!AQ58*(0.1/0.255)*1000)/1000</f>
        <v>0</v>
      </c>
      <c r="AR65" s="2">
        <f>(Input!AR58*(0.1/0.255)*1000)/1000</f>
        <v>0</v>
      </c>
      <c r="AS65" s="2">
        <f>(Input!AS58*(0.1/0.255)*1000)/1000</f>
        <v>0.13215686274509802</v>
      </c>
      <c r="AT65" s="2">
        <f>(Input!AT58*(0.1/0.255)*1000)/1000</f>
        <v>4.3137254901960782E-3</v>
      </c>
      <c r="AU65" s="2">
        <f>(Input!AU58*(0.1/0.255)*1000)/1000</f>
        <v>0.28117647058823531</v>
      </c>
      <c r="AV65" s="72">
        <v>0.96462000000000003</v>
      </c>
      <c r="AW65" s="72">
        <v>1.05341</v>
      </c>
      <c r="AX65" s="2">
        <f>(Input!AX58*(0.1/0.255)*1000)/1000</f>
        <v>1.4509803921568627E-2</v>
      </c>
    </row>
    <row r="66" spans="1:66" x14ac:dyDescent="0.3">
      <c r="A66" s="2" t="s">
        <v>62</v>
      </c>
      <c r="B66" s="2">
        <f>(Input!B59*(0.1/0.255)*1000)/1000</f>
        <v>3.8682352941176474</v>
      </c>
      <c r="C66" s="2">
        <f>(Input!C59*(0.1/0.255)*1000)/1000</f>
        <v>74.509803921568633</v>
      </c>
      <c r="D66" s="2">
        <f>(Input!D59*(0.1/0.255)*1000)/1000</f>
        <v>2444.705882352941</v>
      </c>
      <c r="E66" s="2">
        <f>(Input!E59*(0.1/0.255)*1000)/1000</f>
        <v>276.03921568627447</v>
      </c>
      <c r="F66" s="2">
        <f>(Input!F59*(0.1/0.255)*1000)/1000</f>
        <v>1624.313725490196</v>
      </c>
      <c r="G66" s="2">
        <f>(Input!G59*(0.1/0.255)*1000)/1000</f>
        <v>20411.764705882353</v>
      </c>
      <c r="H66" s="2">
        <f>(Input!H59*(0.1/0.255)*1000)/1000</f>
        <v>18780.392156862745</v>
      </c>
      <c r="I66" s="2">
        <f>(Input!I59*(0.1/0.255)*1000)/1000</f>
        <v>95.254901960784309</v>
      </c>
      <c r="J66" s="2">
        <f>(Input!J59*(0.1/0.255)*1000)/1000</f>
        <v>1.216470588235294</v>
      </c>
      <c r="K66" s="2">
        <f>(Input!K59*(0.1/0.255)*1000)/1000</f>
        <v>1.1137254901960782</v>
      </c>
      <c r="L66" s="2">
        <f>(Input!L59*(0.1/0.255)*1000)/1000</f>
        <v>54.901960784313722</v>
      </c>
      <c r="M66" s="2">
        <f>(Input!M59*(0.1/0.255)*1000)/1000</f>
        <v>629.01960784313724</v>
      </c>
      <c r="N66" s="2">
        <f>(Input!N59*(0.1/0.255)*1000)/1000</f>
        <v>0.29450980392156861</v>
      </c>
      <c r="O66" s="2">
        <f>(Input!O59*(0.1/0.255)*1000)/1000</f>
        <v>1.2988235294117647</v>
      </c>
      <c r="P66" s="2">
        <f>(Input!P59*(0.1/0.255)*1000)/1000</f>
        <v>6.4117647058823533</v>
      </c>
      <c r="Q66" s="2">
        <f>(Input!Q59*(0.1/0.255)*1000)/1000</f>
        <v>11.333333333333332</v>
      </c>
      <c r="R66" s="2">
        <f>(Input!R59*(0.1/0.255)*1000)/1000</f>
        <v>0.48</v>
      </c>
      <c r="S66" s="72">
        <v>0.87156999999999996</v>
      </c>
      <c r="T66" s="72">
        <v>0.88227</v>
      </c>
      <c r="U66" s="2">
        <f>(Input!U59*(0.1/0.255)*1000)/1000</f>
        <v>0.14039215686274509</v>
      </c>
      <c r="V66" s="2">
        <f>(Input!V59*(0.1/0.255)*1000)/1000</f>
        <v>0.9898039215686274</v>
      </c>
      <c r="W66" s="2">
        <f>(Input!W59*(0.1/0.255)*1000)/1000</f>
        <v>7.8980392156862749</v>
      </c>
      <c r="X66" s="2">
        <f>(Input!X59*(0.1/0.255)*1000)/1000</f>
        <v>109.01960784313725</v>
      </c>
      <c r="Y66" s="2">
        <f>(Input!Y59*(0.1/0.255)*1000)/1000</f>
        <v>3.2549019607843135E-2</v>
      </c>
      <c r="Z66" s="2">
        <f>(Input!Z59*(0.1/0.255)*1000)/1000</f>
        <v>0.57725490196078433</v>
      </c>
      <c r="AA66" s="2">
        <f>(Input!AA59*(0.1/0.255)*1000)/1000</f>
        <v>7.8431372549019605E-4</v>
      </c>
      <c r="AB66" s="2">
        <f>(Input!AB59*(0.1/0.255)*1000)/1000</f>
        <v>3.529411764705882E-3</v>
      </c>
      <c r="AC66" s="2">
        <f>(Input!AC59*(0.1/0.255)*1000)/1000</f>
        <v>5.1372549019607847E-2</v>
      </c>
      <c r="AD66" s="2">
        <f>(Input!AD59*(0.1/0.255)*1000)/1000</f>
        <v>0.67490196078431375</v>
      </c>
      <c r="AE66" s="2">
        <f>(Input!AE59*(0.1/0.255)*1000)/1000</f>
        <v>3.0980392156862744E-2</v>
      </c>
      <c r="AF66" s="72">
        <v>0.93354999999999999</v>
      </c>
      <c r="AG66" s="72">
        <v>1.1000099999999999</v>
      </c>
      <c r="AH66" s="2">
        <f>(Input!AH59*(0.1/0.255)*1000)/1000</f>
        <v>0.30823529411764705</v>
      </c>
      <c r="AI66" s="2">
        <f>(Input!AI59*(0.1/0.255)*1000)/1000</f>
        <v>-4.3137254901960782E-3</v>
      </c>
      <c r="AJ66" s="2">
        <f>(Input!AJ59*(0.1/0.255)*1000)/1000</f>
        <v>7.8431372549019605E-4</v>
      </c>
      <c r="AK66" s="2">
        <f>(Input!AK59*(0.1/0.255)*1000)/1000</f>
        <v>0.12980392156862747</v>
      </c>
      <c r="AL66" s="2">
        <f>(Input!AL59*(0.1/0.255)*1000)/1000</f>
        <v>13.243137254901962</v>
      </c>
      <c r="AM66" s="2">
        <f>(Input!AM59*(0.1/0.255)*1000)/1000</f>
        <v>5.4901960784313726E-3</v>
      </c>
      <c r="AN66" s="2">
        <f>(Input!AN59*(0.1/0.255)*1000)/1000</f>
        <v>5.1764705882352942E-2</v>
      </c>
      <c r="AO66" s="2">
        <f>(Input!AO59*(0.1/0.255)*1000)/1000</f>
        <v>5.4117647058823534E-2</v>
      </c>
      <c r="AP66" s="2">
        <f>(Input!AP59*(0.1/0.255)*1000)/1000</f>
        <v>5.529411764705882E-2</v>
      </c>
      <c r="AQ66" s="2">
        <f>(Input!AQ59*(0.1/0.255)*1000)/1000</f>
        <v>0</v>
      </c>
      <c r="AR66" s="2">
        <f>(Input!AR59*(0.1/0.255)*1000)/1000</f>
        <v>0</v>
      </c>
      <c r="AS66" s="2">
        <f>(Input!AS59*(0.1/0.255)*1000)/1000</f>
        <v>0.1419607843137255</v>
      </c>
      <c r="AT66" s="2">
        <f>(Input!AT59*(0.1/0.255)*1000)/1000</f>
        <v>6.6666666666666671E-3</v>
      </c>
      <c r="AU66" s="2">
        <f>(Input!AU59*(0.1/0.255)*1000)/1000</f>
        <v>0.38705882352941173</v>
      </c>
      <c r="AV66" s="72">
        <v>0.88092000000000004</v>
      </c>
      <c r="AW66" s="72">
        <v>1.0521499999999999</v>
      </c>
      <c r="AX66" s="2">
        <f>(Input!AX59*(0.1/0.255)*1000)/1000</f>
        <v>1.9607843137254902E-2</v>
      </c>
    </row>
    <row r="67" spans="1:66" x14ac:dyDescent="0.3">
      <c r="A67" s="2" t="s">
        <v>63</v>
      </c>
      <c r="B67" s="2">
        <f>(Input!B60*(0.1/0.2586)*1000)/1000</f>
        <v>4.7795823665893273</v>
      </c>
      <c r="C67" s="2">
        <f>(Input!C60*(0.1/0.2586)*1000)/1000</f>
        <v>46.171693735498842</v>
      </c>
      <c r="D67" s="2">
        <f>(Input!D60*(0.1/0.2586)*1000)/1000</f>
        <v>2061.8716163959784</v>
      </c>
      <c r="E67" s="2">
        <f>(Input!E60*(0.1/0.2586)*1000)/1000</f>
        <v>217.40139211136895</v>
      </c>
      <c r="F67" s="2">
        <f>(Input!F60*(0.1/0.2586)*1000)/1000</f>
        <v>1914.1531322505803</v>
      </c>
      <c r="G67" s="2">
        <f>(Input!G60*(0.1/0.2586)*1000)/1000</f>
        <v>21160.092807424597</v>
      </c>
      <c r="H67" s="2">
        <f>(Input!H60*(0.1/0.2586)*1000)/1000</f>
        <v>15854.601701469452</v>
      </c>
      <c r="I67" s="2">
        <f>(Input!I60*(0.1/0.2586)*1000)/1000</f>
        <v>83.023975251353448</v>
      </c>
      <c r="J67" s="2">
        <f>(Input!J60*(0.1/0.2586)*1000)/1000</f>
        <v>1.2412993039443156</v>
      </c>
      <c r="K67" s="2">
        <f>(Input!K60*(0.1/0.2586)*1000)/1000</f>
        <v>1.1894818252126838</v>
      </c>
      <c r="L67" s="2">
        <f>(Input!L60*(0.1/0.2586)*1000)/1000</f>
        <v>61.716937354988403</v>
      </c>
      <c r="M67" s="2">
        <f>(Input!M60*(0.1/0.2586)*1000)/1000</f>
        <v>508.50734725444704</v>
      </c>
      <c r="N67" s="2">
        <f>(Input!N60*(0.1/0.2586)*1000)/1000</f>
        <v>0.4207269914926528</v>
      </c>
      <c r="O67" s="2">
        <f>(Input!O60*(0.1/0.2586)*1000)/1000</f>
        <v>2.9017788089713843</v>
      </c>
      <c r="P67" s="2">
        <f>(Input!P60*(0.1/0.2586)*1000)/1000</f>
        <v>10.146945088940448</v>
      </c>
      <c r="Q67" s="2">
        <f>(Input!Q60*(0.1/0.2586)*1000)/1000</f>
        <v>7.1964423820572314</v>
      </c>
      <c r="R67" s="2">
        <f>(Input!R60*(0.1/0.2586)*1000)/1000</f>
        <v>0.57733952049497306</v>
      </c>
      <c r="S67" s="72">
        <v>0.88402999999999998</v>
      </c>
      <c r="T67" s="72">
        <v>0.88590999999999998</v>
      </c>
      <c r="U67" s="2">
        <f>(Input!U60*(0.1/0.2586)*1000)/1000</f>
        <v>0.11252900232018562</v>
      </c>
      <c r="V67" s="2">
        <f>(Input!V60*(0.1/0.2586)*1000)/1000</f>
        <v>2.3681361175560713</v>
      </c>
      <c r="W67" s="2">
        <f>(Input!W60*(0.1/0.2586)*1000)/1000</f>
        <v>10.08894044856922</v>
      </c>
      <c r="X67" s="2">
        <f>(Input!X60*(0.1/0.2586)*1000)/1000</f>
        <v>123.39520494972933</v>
      </c>
      <c r="Y67" s="2">
        <f>(Input!Y60*(0.1/0.2586)*1000)/1000</f>
        <v>2.7455529775715391E-2</v>
      </c>
      <c r="Z67" s="2">
        <f>(Input!Z60*(0.1/0.2586)*1000)/1000</f>
        <v>0.35228151585460171</v>
      </c>
      <c r="AA67" s="2">
        <f>(Input!AA60*(0.1/0.2586)*1000)/1000</f>
        <v>1.1600928074245941E-3</v>
      </c>
      <c r="AB67" s="2">
        <f>(Input!AB60*(0.1/0.2586)*1000)/1000</f>
        <v>3.866976024748647E-3</v>
      </c>
      <c r="AC67" s="2">
        <f>(Input!AC60*(0.1/0.2586)*1000)/1000</f>
        <v>6.1871616395978352E-2</v>
      </c>
      <c r="AD67" s="2">
        <f>(Input!AD60*(0.1/0.2586)*1000)/1000</f>
        <v>0.6214230471771075</v>
      </c>
      <c r="AE67" s="2">
        <f>(Input!AE60*(0.1/0.2586)*1000)/1000</f>
        <v>3.2482598607888644E-2</v>
      </c>
      <c r="AF67" s="72">
        <v>0.93732000000000004</v>
      </c>
      <c r="AG67" s="72">
        <v>1.0994600000000001</v>
      </c>
      <c r="AH67" s="2">
        <f>(Input!AH60*(0.1/0.2586)*1000)/1000</f>
        <v>8.6233565351894831E-2</v>
      </c>
      <c r="AI67" s="2">
        <f>(Input!AI60*(0.1/0.2586)*1000)/1000</f>
        <v>-3.866976024748647E-3</v>
      </c>
      <c r="AJ67" s="2">
        <f>(Input!AJ60*(0.1/0.2586)*1000)/1000</f>
        <v>1.1600928074245941E-3</v>
      </c>
      <c r="AK67" s="2">
        <f>(Input!AK60*(0.1/0.2586)*1000)/1000</f>
        <v>0.10170146945088941</v>
      </c>
      <c r="AL67" s="2">
        <f>(Input!AL60*(0.1/0.2586)*1000)/1000</f>
        <v>18.012374323279197</v>
      </c>
      <c r="AM67" s="2">
        <f>(Input!AM60*(0.1/0.2586)*1000)/1000</f>
        <v>4.6403712296983765E-3</v>
      </c>
      <c r="AN67" s="2">
        <f>(Input!AN60*(0.1/0.2586)*1000)/1000</f>
        <v>4.0603248259860787E-2</v>
      </c>
      <c r="AO67" s="2">
        <f>(Input!AO60*(0.1/0.2586)*1000)/1000</f>
        <v>9.0873936581593193E-2</v>
      </c>
      <c r="AP67" s="2">
        <f>(Input!AP60*(0.1/0.2586)*1000)/1000</f>
        <v>8.9327146171693739E-2</v>
      </c>
      <c r="AQ67" s="2">
        <f>(Input!AQ60*(0.1/0.2586)*1000)/1000</f>
        <v>0</v>
      </c>
      <c r="AR67" s="2">
        <f>(Input!AR60*(0.1/0.2586)*1000)/1000</f>
        <v>0</v>
      </c>
      <c r="AS67" s="2">
        <f>(Input!AS60*(0.1/0.2586)*1000)/1000</f>
        <v>0.12142304717710752</v>
      </c>
      <c r="AT67" s="2">
        <f>(Input!AT60*(0.1/0.2586)*1000)/1000</f>
        <v>5.4137664346481052E-3</v>
      </c>
      <c r="AU67" s="2">
        <f>(Input!AU60*(0.1/0.2586)*1000)/1000</f>
        <v>0.3855375096674401</v>
      </c>
      <c r="AV67" s="72">
        <v>0.96597999999999995</v>
      </c>
      <c r="AW67" s="72">
        <v>1.05643</v>
      </c>
      <c r="AX67" s="2">
        <f>(Input!AX60*(0.1/0.2586)*1000)/1000</f>
        <v>1.7788089713843776E-2</v>
      </c>
    </row>
    <row r="68" spans="1:66" x14ac:dyDescent="0.3">
      <c r="A68" s="2" t="s">
        <v>64</v>
      </c>
      <c r="B68" s="2">
        <f>(Input!B61*(0.1/0.2576)*1000)/1000</f>
        <v>6.362577639751553</v>
      </c>
      <c r="C68" s="2">
        <f>(Input!C61*(0.1/0.2576)*1000)/1000</f>
        <v>153.10559006211179</v>
      </c>
      <c r="D68" s="2">
        <f>(Input!D61*(0.1/0.2576)*1000)/1000</f>
        <v>2112.189440993789</v>
      </c>
      <c r="E68" s="2">
        <f>(Input!E61*(0.1/0.2576)*1000)/1000</f>
        <v>304.69720496894411</v>
      </c>
      <c r="F68" s="2">
        <f>(Input!F61*(0.1/0.2576)*1000)/1000</f>
        <v>1854.0372670807453</v>
      </c>
      <c r="G68" s="2">
        <f>(Input!G61*(0.1/0.2576)*1000)/1000</f>
        <v>19875.776397515529</v>
      </c>
      <c r="H68" s="2">
        <f>(Input!H61*(0.1/0.2576)*1000)/1000</f>
        <v>19968.944099378881</v>
      </c>
      <c r="I68" s="2">
        <f>(Input!I61*(0.1/0.2576)*1000)/1000</f>
        <v>109.27795031055901</v>
      </c>
      <c r="J68" s="2">
        <f>(Input!J61*(0.1/0.2576)*1000)/1000</f>
        <v>1.2333074534161492</v>
      </c>
      <c r="K68" s="2">
        <f>(Input!K61*(0.1/0.2576)*1000)/1000</f>
        <v>1.0597826086956521</v>
      </c>
      <c r="L68" s="2">
        <f>(Input!L61*(0.1/0.2576)*1000)/1000</f>
        <v>64.790372670807457</v>
      </c>
      <c r="M68" s="2">
        <f>(Input!M61*(0.1/0.2576)*1000)/1000</f>
        <v>584.23913043478262</v>
      </c>
      <c r="N68" s="2">
        <f>(Input!N61*(0.1/0.2576)*1000)/1000</f>
        <v>0.38043478260869568</v>
      </c>
      <c r="O68" s="2">
        <f>(Input!O61*(0.1/0.2576)*1000)/1000</f>
        <v>2.3012422360248448</v>
      </c>
      <c r="P68" s="2">
        <f>(Input!P61*(0.1/0.2576)*1000)/1000</f>
        <v>8.29192546583851</v>
      </c>
      <c r="Q68" s="2">
        <f>(Input!Q61*(0.1/0.2576)*1000)/1000</f>
        <v>9.029503105590063</v>
      </c>
      <c r="R68" s="2">
        <f>(Input!R61*(0.1/0.2576)*1000)/1000</f>
        <v>0.72088509316770188</v>
      </c>
      <c r="S68" s="72">
        <v>0.87483</v>
      </c>
      <c r="T68" s="72">
        <v>0.87514000000000003</v>
      </c>
      <c r="U68" s="2">
        <f>(Input!U61*(0.1/0.2576)*1000)/1000</f>
        <v>0.16537267080745341</v>
      </c>
      <c r="V68" s="2">
        <f>(Input!V61*(0.1/0.2576)*1000)/1000</f>
        <v>1.2360248447204969</v>
      </c>
      <c r="W68" s="2">
        <f>(Input!W61*(0.1/0.2576)*1000)/1000</f>
        <v>7.8222049689440993</v>
      </c>
      <c r="X68" s="2">
        <f>(Input!X61*(0.1/0.2576)*1000)/1000</f>
        <v>95.26397515527951</v>
      </c>
      <c r="Y68" s="2">
        <f>(Input!Y61*(0.1/0.2576)*1000)/1000</f>
        <v>5.3959627329192551E-2</v>
      </c>
      <c r="Z68" s="2">
        <f>(Input!Z61*(0.1/0.2576)*1000)/1000</f>
        <v>0.22864906832298135</v>
      </c>
      <c r="AA68" s="2">
        <f>(Input!AA61*(0.1/0.2576)*1000)/1000</f>
        <v>1.5527950310559007E-3</v>
      </c>
      <c r="AB68" s="2">
        <f>(Input!AB61*(0.1/0.2576)*1000)/1000</f>
        <v>3.1055900621118015E-3</v>
      </c>
      <c r="AC68" s="2">
        <f>(Input!AC61*(0.1/0.2576)*1000)/1000</f>
        <v>5.1630434782608703E-2</v>
      </c>
      <c r="AD68" s="2">
        <f>(Input!AD61*(0.1/0.2576)*1000)/1000</f>
        <v>0.63082298136645965</v>
      </c>
      <c r="AE68" s="2">
        <f>(Input!AE61*(0.1/0.2576)*1000)/1000</f>
        <v>2.096273291925466E-2</v>
      </c>
      <c r="AF68" s="72">
        <v>0.92105000000000004</v>
      </c>
      <c r="AG68" s="72">
        <v>1.0841400000000001</v>
      </c>
      <c r="AH68" s="2">
        <f>(Input!AH61*(0.1/0.2576)*1000)/1000</f>
        <v>0.22204968944099376</v>
      </c>
      <c r="AI68" s="2">
        <f>(Input!AI61*(0.1/0.2576)*1000)/1000</f>
        <v>4.270186335403727E-3</v>
      </c>
      <c r="AJ68" s="2">
        <f>(Input!AJ61*(0.1/0.2576)*1000)/1000</f>
        <v>7.7639751552795037E-4</v>
      </c>
      <c r="AK68" s="2">
        <f>(Input!AK61*(0.1/0.2576)*1000)/1000</f>
        <v>0.12111801242236025</v>
      </c>
      <c r="AL68" s="2">
        <f>(Input!AL61*(0.1/0.2576)*1000)/1000</f>
        <v>22.616459627329192</v>
      </c>
      <c r="AM68" s="2">
        <f>(Input!AM61*(0.1/0.2576)*1000)/1000</f>
        <v>1.203416149068323E-2</v>
      </c>
      <c r="AN68" s="2">
        <f>(Input!AN61*(0.1/0.2576)*1000)/1000</f>
        <v>4.0372670807453416E-2</v>
      </c>
      <c r="AO68" s="2">
        <f>(Input!AO61*(0.1/0.2576)*1000)/1000</f>
        <v>4.6583850931677009E-2</v>
      </c>
      <c r="AP68" s="2">
        <f>(Input!AP61*(0.1/0.2576)*1000)/1000</f>
        <v>4.6583850931677009E-2</v>
      </c>
      <c r="AQ68" s="2">
        <f>(Input!AQ61*(0.1/0.2576)*1000)/1000</f>
        <v>0</v>
      </c>
      <c r="AR68" s="2">
        <f>(Input!AR61*(0.1/0.2576)*1000)/1000</f>
        <v>3.8819875776397518E-4</v>
      </c>
      <c r="AS68" s="2">
        <f>(Input!AS61*(0.1/0.2576)*1000)/1000</f>
        <v>0.11917701863354037</v>
      </c>
      <c r="AT68" s="2">
        <f>(Input!AT61*(0.1/0.2576)*1000)/1000</f>
        <v>7.375776397515528E-3</v>
      </c>
      <c r="AU68" s="2">
        <f>(Input!AU61*(0.1/0.2576)*1000)/1000</f>
        <v>0.53726708074534157</v>
      </c>
      <c r="AV68" s="72">
        <v>0.90039999999999998</v>
      </c>
      <c r="AW68" s="72">
        <v>1.0428999999999999</v>
      </c>
      <c r="AX68" s="2">
        <f>(Input!AX61*(0.1/0.2576)*1000)/1000</f>
        <v>2.096273291925466E-2</v>
      </c>
    </row>
    <row r="69" spans="1:66" x14ac:dyDescent="0.3">
      <c r="A69" s="2" t="s">
        <v>65</v>
      </c>
      <c r="B69" s="2">
        <f>(Input!B62*(0.1/0.2559)*1000)/1000</f>
        <v>9.5935912465806954</v>
      </c>
      <c r="C69" s="2">
        <f>(Input!C62*(0.1/0.2559)*1000)/1000</f>
        <v>250.91832747166862</v>
      </c>
      <c r="D69" s="2">
        <f>(Input!D62*(0.1/0.2559)*1000)/1000</f>
        <v>1902.3055881203595</v>
      </c>
      <c r="E69" s="2">
        <f>(Input!E62*(0.1/0.2559)*1000)/1000</f>
        <v>381.98515044939427</v>
      </c>
      <c r="F69" s="2">
        <f>(Input!F62*(0.1/0.2559)*1000)/1000</f>
        <v>1201.2504884720593</v>
      </c>
      <c r="G69" s="2">
        <f>(Input!G62*(0.1/0.2559)*1000)/1000</f>
        <v>20769.831965611567</v>
      </c>
      <c r="H69" s="2">
        <f>(Input!H62*(0.1/0.2559)*1000)/1000</f>
        <v>24810.472840953495</v>
      </c>
      <c r="I69" s="2">
        <f>(Input!I62*(0.1/0.2559)*1000)/1000</f>
        <v>144.62680734661978</v>
      </c>
      <c r="J69" s="2">
        <f>(Input!J62*(0.1/0.2559)*1000)/1000</f>
        <v>1.5740523642047672</v>
      </c>
      <c r="K69" s="2">
        <f>(Input!K62*(0.1/0.2559)*1000)/1000</f>
        <v>1.3114497850722937</v>
      </c>
      <c r="L69" s="2">
        <f>(Input!L62*(0.1/0.2559)*1000)/1000</f>
        <v>96.873778819851509</v>
      </c>
      <c r="M69" s="2">
        <f>(Input!M62*(0.1/0.2559)*1000)/1000</f>
        <v>781.55529503712387</v>
      </c>
      <c r="N69" s="2">
        <f>(Input!N62*(0.1/0.2559)*1000)/1000</f>
        <v>0.45017584994138332</v>
      </c>
      <c r="O69" s="2">
        <f>(Input!O62*(0.1/0.2559)*1000)/1000</f>
        <v>1.520125048847206</v>
      </c>
      <c r="P69" s="2">
        <f>(Input!P62*(0.1/0.2559)*1000)/1000</f>
        <v>7.874169597499022</v>
      </c>
      <c r="Q69" s="2">
        <f>(Input!Q62*(0.1/0.2559)*1000)/1000</f>
        <v>9.8983978116451734</v>
      </c>
      <c r="R69" s="2">
        <f>(Input!R62*(0.1/0.2559)*1000)/1000</f>
        <v>0.83274716686205541</v>
      </c>
      <c r="S69" s="72">
        <v>0.87341999999999997</v>
      </c>
      <c r="T69" s="72">
        <v>0.88063000000000002</v>
      </c>
      <c r="U69" s="2">
        <f>(Input!U62*(0.1/0.2559)*1000)/1000</f>
        <v>0.14185228604923797</v>
      </c>
      <c r="V69" s="2">
        <f>(Input!V62*(0.1/0.2559)*1000)/1000</f>
        <v>1.5353653771004296</v>
      </c>
      <c r="W69" s="2">
        <f>(Input!W62*(0.1/0.2559)*1000)/1000</f>
        <v>12.01641266119578</v>
      </c>
      <c r="X69" s="2">
        <f>(Input!X62*(0.1/0.2559)*1000)/1000</f>
        <v>98.827667057444316</v>
      </c>
      <c r="Y69" s="2">
        <f>(Input!Y62*(0.1/0.2559)*1000)/1000</f>
        <v>8.6752637749120745E-2</v>
      </c>
      <c r="Z69" s="2">
        <f>(Input!Z62*(0.1/0.2559)*1000)/1000</f>
        <v>0.25556858147713951</v>
      </c>
      <c r="AA69" s="2">
        <f>(Input!AA62*(0.1/0.2559)*1000)/1000</f>
        <v>1.9538882375928096E-3</v>
      </c>
      <c r="AB69" s="2">
        <f>(Input!AB62*(0.1/0.2559)*1000)/1000</f>
        <v>3.1262211801484953E-3</v>
      </c>
      <c r="AC69" s="2">
        <f>(Input!AC62*(0.1/0.2559)*1000)/1000</f>
        <v>4.9628761234857363E-2</v>
      </c>
      <c r="AD69" s="2">
        <f>(Input!AD62*(0.1/0.2559)*1000)/1000</f>
        <v>0.65494333724110976</v>
      </c>
      <c r="AE69" s="2">
        <f>(Input!AE62*(0.1/0.2559)*1000)/1000</f>
        <v>6.6822977725674096E-2</v>
      </c>
      <c r="AF69" s="72">
        <v>0.91617000000000004</v>
      </c>
      <c r="AG69" s="72">
        <v>1.08107</v>
      </c>
      <c r="AH69" s="2">
        <f>(Input!AH62*(0.1/0.2559)*1000)/1000</f>
        <v>0.23563892145369283</v>
      </c>
      <c r="AI69" s="2">
        <f>(Input!AI62*(0.1/0.2559)*1000)/1000</f>
        <v>5.8616647127784282E-3</v>
      </c>
      <c r="AJ69" s="2">
        <f>(Input!AJ62*(0.1/0.2559)*1000)/1000</f>
        <v>1.5631105900742476E-3</v>
      </c>
      <c r="AK69" s="2">
        <f>(Input!AK62*(0.1/0.2559)*1000)/1000</f>
        <v>0.15865572489253615</v>
      </c>
      <c r="AL69" s="2">
        <f>(Input!AL62*(0.1/0.2559)*1000)/1000</f>
        <v>26.400937866354045</v>
      </c>
      <c r="AM69" s="2">
        <f>(Input!AM62*(0.1/0.2559)*1000)/1000</f>
        <v>1.1723329425556856E-2</v>
      </c>
      <c r="AN69" s="2">
        <f>(Input!AN62*(0.1/0.2559)*1000)/1000</f>
        <v>6.2915201250488467E-2</v>
      </c>
      <c r="AO69" s="2">
        <f>(Input!AO62*(0.1/0.2559)*1000)/1000</f>
        <v>6.7604533020711205E-2</v>
      </c>
      <c r="AP69" s="2">
        <f>(Input!AP62*(0.1/0.2559)*1000)/1000</f>
        <v>6.7213755373192643E-2</v>
      </c>
      <c r="AQ69" s="2">
        <f>(Input!AQ62*(0.1/0.2559)*1000)/1000</f>
        <v>0</v>
      </c>
      <c r="AR69" s="2">
        <f>(Input!AR62*(0.1/0.2559)*1000)/1000</f>
        <v>0</v>
      </c>
      <c r="AS69" s="2">
        <f>(Input!AS62*(0.1/0.2559)*1000)/1000</f>
        <v>0.12543962485345839</v>
      </c>
      <c r="AT69" s="2">
        <f>(Input!AT62*(0.1/0.2559)*1000)/1000</f>
        <v>6.2524423602969906E-3</v>
      </c>
      <c r="AU69" s="2">
        <f>(Input!AU62*(0.1/0.2559)*1000)/1000</f>
        <v>0.67018366549433372</v>
      </c>
      <c r="AV69" s="72">
        <v>0.90361999999999998</v>
      </c>
      <c r="AW69" s="72">
        <v>1.0430900000000001</v>
      </c>
      <c r="AX69" s="2">
        <f>(Input!AX62*(0.1/0.2559)*1000)/1000</f>
        <v>2.6963657678780773E-2</v>
      </c>
    </row>
    <row r="70" spans="1:66" x14ac:dyDescent="0.3">
      <c r="A70" s="2" t="s">
        <v>70</v>
      </c>
      <c r="B70" s="2">
        <v>-1.2110000000000001</v>
      </c>
      <c r="C70" s="2">
        <v>-0.21099999999999999</v>
      </c>
      <c r="D70" s="2">
        <v>0.78900000000000003</v>
      </c>
      <c r="E70" s="2">
        <v>1.7889999999999999</v>
      </c>
      <c r="F70" s="2">
        <v>2.7890000000000001</v>
      </c>
      <c r="G70" s="2">
        <v>3.7890000000000001</v>
      </c>
      <c r="H70" s="2">
        <v>4.7889999999999997</v>
      </c>
      <c r="I70" s="2">
        <v>5.7889999999999997</v>
      </c>
      <c r="J70" s="2">
        <v>6.7889999999999997</v>
      </c>
      <c r="K70" s="2">
        <v>7.7889999999999997</v>
      </c>
      <c r="L70" s="2">
        <v>8.7889999999999997</v>
      </c>
      <c r="M70" s="2">
        <v>9.7889999999999997</v>
      </c>
      <c r="N70" s="2">
        <v>10.789</v>
      </c>
      <c r="O70" s="2">
        <v>11.789</v>
      </c>
      <c r="P70" s="2">
        <v>12.789</v>
      </c>
      <c r="Q70" s="2">
        <v>13.789</v>
      </c>
      <c r="R70" s="2">
        <v>14.789</v>
      </c>
      <c r="S70" s="72">
        <v>0.93567999999999996</v>
      </c>
      <c r="T70" s="72">
        <v>0.90888999999999998</v>
      </c>
      <c r="U70" s="2">
        <v>14.789</v>
      </c>
      <c r="V70" s="2">
        <v>15.789</v>
      </c>
      <c r="W70" s="2">
        <v>16.789000000000001</v>
      </c>
      <c r="X70" s="2">
        <v>17.789000000000001</v>
      </c>
      <c r="Y70" s="2">
        <v>18.789000000000001</v>
      </c>
      <c r="Z70" s="2">
        <v>19.789000000000001</v>
      </c>
      <c r="AA70" s="2">
        <v>20.789000000000001</v>
      </c>
      <c r="AB70" s="2">
        <v>21.789000000000001</v>
      </c>
      <c r="AC70" s="2">
        <v>22.789000000000001</v>
      </c>
      <c r="AD70" s="2">
        <v>23.789000000000001</v>
      </c>
      <c r="AE70" s="2">
        <v>24.789000000000001</v>
      </c>
      <c r="AF70" s="72">
        <v>0.96887000000000001</v>
      </c>
      <c r="AG70" s="72">
        <v>1.12161</v>
      </c>
      <c r="AH70" s="2">
        <v>24.789000000000001</v>
      </c>
      <c r="AI70" s="2">
        <v>25.789000000000001</v>
      </c>
      <c r="AJ70" s="2">
        <v>26.789000000000001</v>
      </c>
      <c r="AK70" s="2">
        <v>27.789000000000001</v>
      </c>
      <c r="AL70" s="2">
        <v>28.789000000000001</v>
      </c>
      <c r="AM70" s="2">
        <v>29.789000000000001</v>
      </c>
      <c r="AN70" s="2">
        <v>30.789000000000001</v>
      </c>
      <c r="AO70" s="2">
        <v>31.789000000000001</v>
      </c>
      <c r="AP70" s="2">
        <v>32.789000000000001</v>
      </c>
      <c r="AQ70" s="2">
        <v>33.789000000000001</v>
      </c>
      <c r="AR70" s="2">
        <v>34.789000000000001</v>
      </c>
      <c r="AS70" s="2">
        <v>35.789000000000001</v>
      </c>
      <c r="AT70" s="2">
        <v>36.789000000000001</v>
      </c>
      <c r="AU70" s="2">
        <v>37.789000000000001</v>
      </c>
      <c r="AV70" s="72">
        <v>1.07589</v>
      </c>
      <c r="AW70" s="72">
        <v>1.1354500000000001</v>
      </c>
      <c r="AX70" s="2">
        <v>37.789000000000001</v>
      </c>
    </row>
    <row r="71" spans="1:66" x14ac:dyDescent="0.3">
      <c r="A71" s="2" t="s">
        <v>157</v>
      </c>
      <c r="B71" s="2">
        <f>(Input!B64*(0.1/0.255)*1000)/1000</f>
        <v>2.4278431372549019</v>
      </c>
      <c r="C71" s="2">
        <f>(Input!C64*(0.1/0.255)*1000)/1000</f>
        <v>9.5490196078431371</v>
      </c>
      <c r="D71" s="2">
        <f>(Input!D64*(0.1/0.255)*1000)/1000</f>
        <v>4729.411764705882</v>
      </c>
      <c r="E71" s="2">
        <f>(Input!E64*(0.1/0.255)*1000)/1000</f>
        <v>145.76470588235293</v>
      </c>
      <c r="F71" s="2">
        <f>(Input!F64*(0.1/0.255)*1000)/1000</f>
        <v>1312.1568627450981</v>
      </c>
      <c r="G71" s="2">
        <f>(Input!G64*(0.1/0.255)*1000)/1000</f>
        <v>25729.411764705881</v>
      </c>
      <c r="H71" s="2">
        <f>(Input!H64*(0.1/0.255)*1000)/1000</f>
        <v>17231.372549019608</v>
      </c>
      <c r="I71" s="2">
        <f>(Input!I64*(0.1/0.255)*1000)/1000</f>
        <v>82.941176470588232</v>
      </c>
      <c r="J71" s="2">
        <f>(Input!J64*(0.1/0.255)*1000)/1000</f>
        <v>0.68470588235294116</v>
      </c>
      <c r="K71" s="2">
        <f>(Input!K64*(0.1/0.255)*1000)/1000</f>
        <v>1.2941176470588234</v>
      </c>
      <c r="L71" s="2">
        <f>(Input!L64*(0.1/0.255)*1000)/1000</f>
        <v>104.90196078431373</v>
      </c>
      <c r="M71" s="2">
        <f>(Input!M64*(0.1/0.255)*1000)/1000</f>
        <v>264.11764705882354</v>
      </c>
      <c r="N71" s="2">
        <f>(Input!N64*(0.1/0.255)*1000)/1000</f>
        <v>8.4705882352941173E-2</v>
      </c>
      <c r="O71" s="2">
        <f>(Input!O64*(0.1/0.255)*1000)/1000</f>
        <v>0.4054901960784314</v>
      </c>
      <c r="P71" s="2">
        <f>(Input!P64*(0.1/0.255)*1000)/1000</f>
        <v>3.4278431372549019</v>
      </c>
      <c r="Q71" s="2">
        <f>(Input!Q64*(0.1/0.255)*1000)/1000</f>
        <v>15.192156862745099</v>
      </c>
      <c r="R71" s="2">
        <f>(Input!R64*(0.1/0.255)*1000)/1000</f>
        <v>3.2945098039215686</v>
      </c>
      <c r="S71" s="72">
        <v>0.91054999999999997</v>
      </c>
      <c r="T71" s="72">
        <v>0.90239999999999998</v>
      </c>
      <c r="U71" s="2">
        <f>(Input!U64*(0.1/0.255)*1000)/1000</f>
        <v>0.43568627450980391</v>
      </c>
      <c r="V71" s="2">
        <f>(Input!V64*(0.1/0.255)*1000)/1000</f>
        <v>0.74588235294117644</v>
      </c>
      <c r="W71" s="2">
        <f>(Input!W64*(0.1/0.255)*1000)/1000</f>
        <v>18.788235294117644</v>
      </c>
      <c r="X71" s="2">
        <f>(Input!X64*(0.1/0.255)*1000)/1000</f>
        <v>58.980392156862749</v>
      </c>
      <c r="Y71" s="2">
        <f>(Input!Y64*(0.1/0.255)*1000)/1000</f>
        <v>1.803921568627451E-2</v>
      </c>
      <c r="Z71" s="2">
        <f>(Input!Z64*(0.1/0.255)*1000)/1000</f>
        <v>5.1372549019607847E-2</v>
      </c>
      <c r="AA71" s="2">
        <f>(Input!AA64*(0.1/0.255)*1000)/1000</f>
        <v>3.9215686274509802E-4</v>
      </c>
      <c r="AB71" s="2">
        <f>(Input!AB64*(0.1/0.255)*1000)/1000</f>
        <v>1.9607843137254902E-3</v>
      </c>
      <c r="AC71" s="2">
        <f>(Input!AC64*(0.1/0.255)*1000)/1000</f>
        <v>2.9803921568627451E-2</v>
      </c>
      <c r="AD71" s="2">
        <f>(Input!AD64*(0.1/0.255)*1000)/1000</f>
        <v>0.6011764705882352</v>
      </c>
      <c r="AE71" s="2">
        <f>(Input!AE64*(0.1/0.255)*1000)/1000</f>
        <v>2.0392156862745096E-2</v>
      </c>
      <c r="AF71" s="72">
        <v>0.94279999999999997</v>
      </c>
      <c r="AG71" s="72">
        <v>1.10117</v>
      </c>
      <c r="AH71" s="2">
        <f>(Input!AH64*(0.1/0.255)*1000)/1000</f>
        <v>0.26980392156862743</v>
      </c>
      <c r="AI71" s="2">
        <f>(Input!AI64*(0.1/0.255)*1000)/1000</f>
        <v>-7.8431372549019605E-4</v>
      </c>
      <c r="AJ71" s="2">
        <f>(Input!AJ64*(0.1/0.255)*1000)/1000</f>
        <v>-3.9215686274509802E-4</v>
      </c>
      <c r="AK71" s="2">
        <f>(Input!AK64*(0.1/0.255)*1000)/1000</f>
        <v>7.0980392156862748E-2</v>
      </c>
      <c r="AL71" s="2">
        <f>(Input!AL64*(0.1/0.255)*1000)/1000</f>
        <v>120.35294117647058</v>
      </c>
      <c r="AM71" s="2">
        <f>(Input!AM64*(0.1/0.255)*1000)/1000</f>
        <v>7.8431372549019607E-3</v>
      </c>
      <c r="AN71" s="2">
        <f>(Input!AN64*(0.1/0.255)*1000)/1000</f>
        <v>1.6862745098039214E-2</v>
      </c>
      <c r="AO71" s="2">
        <f>(Input!AO64*(0.1/0.255)*1000)/1000</f>
        <v>0</v>
      </c>
      <c r="AP71" s="2">
        <f>(Input!AP64*(0.1/0.255)*1000)/1000</f>
        <v>0</v>
      </c>
      <c r="AQ71" s="2">
        <f>(Input!AQ64*(0.1/0.255)*1000)/1000</f>
        <v>0</v>
      </c>
      <c r="AR71" s="2">
        <f>(Input!AR64*(0.1/0.255)*1000)/1000</f>
        <v>0</v>
      </c>
      <c r="AS71" s="2">
        <f>(Input!AS64*(0.1/0.255)*1000)/1000</f>
        <v>0.10470588235294118</v>
      </c>
      <c r="AT71" s="2">
        <f>(Input!AT64*(0.1/0.255)*1000)/1000</f>
        <v>1.8823529411764708E-2</v>
      </c>
      <c r="AU71" s="2">
        <f>(Input!AU64*(0.1/0.255)*1000)/1000</f>
        <v>0.83843137254901956</v>
      </c>
      <c r="AV71" s="72">
        <v>0.94762999999999997</v>
      </c>
      <c r="AW71" s="72">
        <v>1.0467</v>
      </c>
      <c r="AX71" s="2">
        <f>(Input!AX64*(0.1/0.255)*1000)/1000</f>
        <v>1.0588235294117647E-2</v>
      </c>
    </row>
    <row r="73" spans="1:66" s="1" customFormat="1" x14ac:dyDescent="0.3">
      <c r="B73" s="1" t="s">
        <v>159</v>
      </c>
      <c r="D73" s="1" t="s">
        <v>160</v>
      </c>
      <c r="E73" s="1" t="s">
        <v>159</v>
      </c>
      <c r="F73" s="1" t="s">
        <v>160</v>
      </c>
      <c r="G73" s="1" t="s">
        <v>160</v>
      </c>
      <c r="H73" s="1" t="s">
        <v>160</v>
      </c>
      <c r="J73" s="1" t="s">
        <v>159</v>
      </c>
      <c r="L73" s="1" t="s">
        <v>159</v>
      </c>
      <c r="M73" s="1" t="s">
        <v>159</v>
      </c>
      <c r="O73" s="1" t="s">
        <v>159</v>
      </c>
      <c r="P73" s="1" t="s">
        <v>159</v>
      </c>
      <c r="Q73" s="1" t="s">
        <v>159</v>
      </c>
      <c r="U73" s="1" t="s">
        <v>159</v>
      </c>
      <c r="V73" s="1" t="s">
        <v>159</v>
      </c>
      <c r="W73" s="1" t="s">
        <v>159</v>
      </c>
      <c r="X73" s="1" t="s">
        <v>159</v>
      </c>
      <c r="Z73" s="1" t="s">
        <v>159</v>
      </c>
      <c r="AE73" s="1" t="s">
        <v>159</v>
      </c>
      <c r="AK73" s="1" t="s">
        <v>161</v>
      </c>
      <c r="AL73" s="1" t="s">
        <v>159</v>
      </c>
      <c r="AU73" s="1" t="s">
        <v>159</v>
      </c>
      <c r="BJ73" s="1" t="s">
        <v>161</v>
      </c>
      <c r="BN73" s="1" t="s">
        <v>161</v>
      </c>
    </row>
    <row r="74" spans="1:66" ht="34.5" customHeight="1" x14ac:dyDescent="0.3">
      <c r="A74" s="70" t="s">
        <v>158</v>
      </c>
      <c r="B74" s="2">
        <v>29</v>
      </c>
      <c r="D74" s="2">
        <v>0.432</v>
      </c>
      <c r="E74" s="2">
        <v>249</v>
      </c>
      <c r="F74" s="2">
        <v>0.13700000000000001</v>
      </c>
      <c r="G74" s="2">
        <v>2.4300000000000002</v>
      </c>
      <c r="H74" s="2">
        <v>1.56</v>
      </c>
      <c r="J74" s="2">
        <v>0.37</v>
      </c>
      <c r="L74" s="2">
        <v>98</v>
      </c>
      <c r="M74" s="2">
        <v>218</v>
      </c>
      <c r="O74" s="2">
        <v>0.69</v>
      </c>
      <c r="P74" s="2">
        <v>3.7</v>
      </c>
      <c r="Q74" s="2">
        <v>17.899999999999999</v>
      </c>
      <c r="U74" s="2">
        <v>0.06</v>
      </c>
      <c r="V74" s="2">
        <v>0.12</v>
      </c>
      <c r="W74" s="2">
        <v>19.7</v>
      </c>
      <c r="X74" s="2">
        <v>53</v>
      </c>
      <c r="Z74" s="2">
        <v>0.06</v>
      </c>
      <c r="AE74" s="2">
        <v>2.5999999999999999E-2</v>
      </c>
      <c r="AL74" s="2">
        <v>124</v>
      </c>
      <c r="AU74" s="2">
        <v>0.87</v>
      </c>
    </row>
    <row r="75" spans="1:66" ht="34.5" customHeight="1" x14ac:dyDescent="0.3">
      <c r="A75" s="70"/>
    </row>
    <row r="76" spans="1:66" x14ac:dyDescent="0.3">
      <c r="B76" s="1" t="s">
        <v>91</v>
      </c>
      <c r="C76" s="1" t="s">
        <v>91</v>
      </c>
      <c r="D76" s="1" t="s">
        <v>91</v>
      </c>
      <c r="E76" s="1" t="s">
        <v>91</v>
      </c>
      <c r="F76" s="1" t="s">
        <v>91</v>
      </c>
      <c r="G76" s="1" t="s">
        <v>91</v>
      </c>
      <c r="H76" s="1" t="s">
        <v>91</v>
      </c>
      <c r="I76" s="1" t="s">
        <v>91</v>
      </c>
      <c r="J76" s="1" t="s">
        <v>91</v>
      </c>
      <c r="K76" s="1" t="s">
        <v>91</v>
      </c>
      <c r="L76" s="1" t="s">
        <v>91</v>
      </c>
      <c r="M76" s="1" t="s">
        <v>91</v>
      </c>
      <c r="N76" s="1" t="s">
        <v>91</v>
      </c>
      <c r="O76" s="1" t="s">
        <v>91</v>
      </c>
      <c r="P76" s="1" t="s">
        <v>91</v>
      </c>
      <c r="Q76" s="1" t="s">
        <v>91</v>
      </c>
      <c r="R76" s="1" t="s">
        <v>91</v>
      </c>
      <c r="S76" s="71" t="s">
        <v>163</v>
      </c>
      <c r="T76" s="71" t="s">
        <v>163</v>
      </c>
      <c r="U76" s="1" t="s">
        <v>91</v>
      </c>
      <c r="V76" s="1" t="s">
        <v>91</v>
      </c>
      <c r="W76" s="1" t="s">
        <v>91</v>
      </c>
      <c r="X76" s="1" t="s">
        <v>91</v>
      </c>
      <c r="Y76" s="1" t="s">
        <v>91</v>
      </c>
      <c r="Z76" s="1" t="s">
        <v>91</v>
      </c>
      <c r="AA76" s="1" t="s">
        <v>91</v>
      </c>
      <c r="AB76" s="1" t="s">
        <v>91</v>
      </c>
      <c r="AC76" s="1" t="s">
        <v>91</v>
      </c>
      <c r="AD76" s="1" t="s">
        <v>91</v>
      </c>
      <c r="AE76" s="1" t="s">
        <v>91</v>
      </c>
      <c r="AF76" s="71" t="s">
        <v>163</v>
      </c>
      <c r="AG76" s="71" t="s">
        <v>163</v>
      </c>
      <c r="AH76" s="1" t="s">
        <v>91</v>
      </c>
      <c r="AI76" s="1" t="s">
        <v>91</v>
      </c>
      <c r="AJ76" s="1" t="s">
        <v>91</v>
      </c>
      <c r="AK76" s="1" t="s">
        <v>91</v>
      </c>
      <c r="AL76" s="1" t="s">
        <v>91</v>
      </c>
      <c r="AM76" s="1" t="s">
        <v>91</v>
      </c>
      <c r="AN76" s="1" t="s">
        <v>91</v>
      </c>
      <c r="AO76" s="1" t="s">
        <v>91</v>
      </c>
      <c r="AP76" s="1" t="s">
        <v>91</v>
      </c>
      <c r="AQ76" s="1" t="s">
        <v>91</v>
      </c>
      <c r="AR76" s="1" t="s">
        <v>91</v>
      </c>
      <c r="AS76" s="1" t="s">
        <v>91</v>
      </c>
      <c r="AT76" s="1" t="s">
        <v>91</v>
      </c>
      <c r="AU76" s="1" t="s">
        <v>91</v>
      </c>
      <c r="AV76" s="71" t="s">
        <v>163</v>
      </c>
      <c r="AW76" s="71" t="s">
        <v>163</v>
      </c>
      <c r="AX76" s="1" t="s">
        <v>91</v>
      </c>
    </row>
    <row r="77" spans="1:66" x14ac:dyDescent="0.3">
      <c r="A77" s="2" t="s">
        <v>72</v>
      </c>
      <c r="B77" s="2">
        <v>0.34</v>
      </c>
      <c r="C77" s="2">
        <v>175.6</v>
      </c>
      <c r="D77" s="2">
        <v>382.9</v>
      </c>
      <c r="E77" s="2">
        <v>337.1</v>
      </c>
      <c r="F77" s="2">
        <v>160</v>
      </c>
      <c r="G77" s="2">
        <v>367.5</v>
      </c>
      <c r="H77" s="2">
        <v>220.8</v>
      </c>
      <c r="I77" s="2">
        <v>171.5</v>
      </c>
      <c r="J77" s="2">
        <v>8.3829999999999991</v>
      </c>
      <c r="K77" s="2">
        <v>3.403</v>
      </c>
      <c r="L77" s="2">
        <v>32.47</v>
      </c>
      <c r="M77" s="2">
        <v>417.3</v>
      </c>
      <c r="N77" s="2">
        <v>3.4830000000000001</v>
      </c>
      <c r="O77" s="2">
        <v>3.0529999999999999</v>
      </c>
      <c r="P77" s="2">
        <v>3.407</v>
      </c>
      <c r="Q77" s="2">
        <v>3.3650000000000002</v>
      </c>
      <c r="R77" s="2">
        <v>1.405</v>
      </c>
      <c r="S77" s="72">
        <v>0.98501000000000005</v>
      </c>
      <c r="T77" s="72">
        <v>0.92123999999999995</v>
      </c>
      <c r="U77" s="2">
        <v>1.5980000000000001</v>
      </c>
      <c r="V77" s="2">
        <v>2.2909999999999999</v>
      </c>
      <c r="W77" s="2">
        <v>8.2070000000000007</v>
      </c>
      <c r="X77" s="2">
        <v>3.286</v>
      </c>
      <c r="Y77" s="2">
        <v>1.2809999999999999</v>
      </c>
      <c r="Z77" s="2">
        <v>3.3250000000000002</v>
      </c>
      <c r="AA77" s="2">
        <v>0.26400000000000001</v>
      </c>
      <c r="AB77" s="2">
        <v>0.25700000000000001</v>
      </c>
      <c r="AC77" s="2">
        <v>0.183</v>
      </c>
      <c r="AD77" s="2">
        <v>8.4390000000000001</v>
      </c>
      <c r="AE77" s="2">
        <v>3.3559999999999999</v>
      </c>
      <c r="AF77" s="72">
        <v>0.96870000000000001</v>
      </c>
      <c r="AG77" s="72">
        <v>1.07856</v>
      </c>
      <c r="AH77" s="2">
        <v>0.252</v>
      </c>
      <c r="AI77" s="2">
        <v>0.315</v>
      </c>
      <c r="AJ77" s="2">
        <v>0.251</v>
      </c>
      <c r="AK77" s="2">
        <v>1.611</v>
      </c>
      <c r="AL77" s="2">
        <v>15.12</v>
      </c>
      <c r="AM77" s="2">
        <v>3.3109999999999999</v>
      </c>
      <c r="AN77" s="2">
        <v>1.5780000000000001</v>
      </c>
      <c r="AO77" s="2">
        <v>1.663</v>
      </c>
      <c r="AP77" s="2">
        <v>1.64</v>
      </c>
      <c r="AQ77" s="2">
        <v>0.24199999999999999</v>
      </c>
      <c r="AR77" s="2">
        <v>0.245</v>
      </c>
      <c r="AS77" s="2">
        <v>0.28599999999999998</v>
      </c>
      <c r="AT77" s="2">
        <v>11.84</v>
      </c>
      <c r="AU77" s="2">
        <v>1.6990000000000001</v>
      </c>
      <c r="AV77" s="72">
        <v>1.1110899999999999</v>
      </c>
      <c r="AW77" s="72">
        <v>1.1365400000000001</v>
      </c>
      <c r="AX77" s="2">
        <v>1.9830000000000001</v>
      </c>
    </row>
    <row r="78" spans="1:66" x14ac:dyDescent="0.3">
      <c r="A78" s="2" t="s">
        <v>73</v>
      </c>
      <c r="B78" s="2">
        <v>-0.91500000000000004</v>
      </c>
      <c r="C78" s="2">
        <v>-37.92</v>
      </c>
      <c r="D78" s="2">
        <v>0.45</v>
      </c>
      <c r="E78" s="2">
        <v>-4.2999999999999997E-2</v>
      </c>
      <c r="F78" s="2">
        <v>-11.38</v>
      </c>
      <c r="G78" s="2">
        <v>-0.13200000000000001</v>
      </c>
      <c r="H78" s="2">
        <v>-30.76</v>
      </c>
      <c r="I78" s="2">
        <v>9.7000000000000003E-2</v>
      </c>
      <c r="J78" s="2">
        <v>3.1E-2</v>
      </c>
      <c r="K78" s="2">
        <v>-0.126</v>
      </c>
      <c r="L78" s="2">
        <v>3.2000000000000001E-2</v>
      </c>
      <c r="M78" s="2">
        <v>0.224</v>
      </c>
      <c r="N78" s="2">
        <v>1E-3</v>
      </c>
      <c r="O78" s="2">
        <v>-0.871</v>
      </c>
      <c r="P78" s="2">
        <v>-0.23499999999999999</v>
      </c>
      <c r="Q78" s="2">
        <v>-0.98199999999999998</v>
      </c>
      <c r="R78" s="2">
        <v>-2.1000000000000001E-2</v>
      </c>
      <c r="S78" s="72">
        <v>0.97982999999999998</v>
      </c>
      <c r="T78" s="72">
        <v>0.93418999999999996</v>
      </c>
      <c r="U78" s="2">
        <v>4.0000000000000001E-3</v>
      </c>
      <c r="V78" s="2">
        <v>-0.21</v>
      </c>
      <c r="W78" s="2">
        <v>6.0000000000000001E-3</v>
      </c>
      <c r="X78" s="2">
        <v>1.6E-2</v>
      </c>
      <c r="Y78" s="2">
        <v>4.0000000000000001E-3</v>
      </c>
      <c r="Z78" s="2">
        <v>5.0000000000000001E-3</v>
      </c>
      <c r="AA78" s="2">
        <v>0</v>
      </c>
      <c r="AB78" s="2">
        <v>0</v>
      </c>
      <c r="AC78" s="2">
        <v>0</v>
      </c>
      <c r="AD78" s="2">
        <v>1.4810000000000001</v>
      </c>
      <c r="AE78" s="2">
        <v>0</v>
      </c>
      <c r="AF78" s="72">
        <v>0.95694000000000001</v>
      </c>
      <c r="AG78" s="72">
        <v>1.08097</v>
      </c>
      <c r="AH78" s="2">
        <v>-0.06</v>
      </c>
      <c r="AI78" s="2">
        <v>-5.0000000000000001E-3</v>
      </c>
      <c r="AJ78" s="2">
        <v>1E-3</v>
      </c>
      <c r="AK78" s="2">
        <v>1E-3</v>
      </c>
      <c r="AL78" s="2">
        <v>-0.97599999999999998</v>
      </c>
      <c r="AM78" s="2">
        <v>1E-3</v>
      </c>
      <c r="AN78" s="2">
        <v>2E-3</v>
      </c>
      <c r="AO78" s="2">
        <v>1E-3</v>
      </c>
      <c r="AP78" s="2">
        <v>1E-3</v>
      </c>
      <c r="AQ78" s="2">
        <v>0</v>
      </c>
      <c r="AR78" s="2">
        <v>0</v>
      </c>
      <c r="AS78" s="2">
        <v>0.26600000000000001</v>
      </c>
      <c r="AT78" s="2">
        <v>3.0000000000000001E-3</v>
      </c>
      <c r="AU78" s="2">
        <v>-1E-3</v>
      </c>
      <c r="AV78" s="72">
        <v>1.11578</v>
      </c>
      <c r="AW78" s="72">
        <v>1.14401</v>
      </c>
      <c r="AX78" s="2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66"/>
  <sheetViews>
    <sheetView zoomScale="85" zoomScaleNormal="85" workbookViewId="0">
      <selection activeCell="A13" sqref="A13:XFD13"/>
    </sheetView>
  </sheetViews>
  <sheetFormatPr defaultRowHeight="18.75" x14ac:dyDescent="0.3"/>
  <cols>
    <col min="1" max="1" width="28.85546875" style="2" bestFit="1" customWidth="1"/>
    <col min="2" max="7" width="9.28515625" style="2" bestFit="1" customWidth="1"/>
    <col min="8" max="8" width="9.85546875" style="2" bestFit="1" customWidth="1"/>
    <col min="9" max="50" width="9.28515625" style="2" bestFit="1" customWidth="1"/>
    <col min="51" max="16384" width="9.140625" style="2"/>
  </cols>
  <sheetData>
    <row r="1" spans="1:50" s="1" customFormat="1" x14ac:dyDescent="0.3">
      <c r="A1" s="1" t="s">
        <v>120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</row>
    <row r="2" spans="1:50" s="1" customFormat="1" x14ac:dyDescent="0.3">
      <c r="B2" s="1" t="s">
        <v>91</v>
      </c>
      <c r="C2" s="1" t="s">
        <v>91</v>
      </c>
      <c r="D2" s="1" t="s">
        <v>91</v>
      </c>
      <c r="E2" s="1" t="s">
        <v>91</v>
      </c>
      <c r="F2" s="1" t="s">
        <v>91</v>
      </c>
      <c r="G2" s="1" t="s">
        <v>91</v>
      </c>
      <c r="H2" s="1" t="s">
        <v>91</v>
      </c>
      <c r="I2" s="1" t="s">
        <v>91</v>
      </c>
      <c r="J2" s="1" t="s">
        <v>91</v>
      </c>
      <c r="K2" s="1" t="s">
        <v>91</v>
      </c>
      <c r="L2" s="1" t="s">
        <v>91</v>
      </c>
      <c r="M2" s="1" t="s">
        <v>91</v>
      </c>
      <c r="N2" s="1" t="s">
        <v>91</v>
      </c>
      <c r="O2" s="1" t="s">
        <v>91</v>
      </c>
      <c r="P2" s="1" t="s">
        <v>91</v>
      </c>
      <c r="Q2" s="1" t="s">
        <v>91</v>
      </c>
      <c r="R2" s="1" t="s">
        <v>91</v>
      </c>
      <c r="S2" s="1" t="s">
        <v>91</v>
      </c>
      <c r="T2" s="1" t="s">
        <v>91</v>
      </c>
      <c r="U2" s="1" t="s">
        <v>91</v>
      </c>
      <c r="V2" s="1" t="s">
        <v>91</v>
      </c>
      <c r="W2" s="1" t="s">
        <v>91</v>
      </c>
      <c r="X2" s="1" t="s">
        <v>91</v>
      </c>
      <c r="Y2" s="1" t="s">
        <v>91</v>
      </c>
      <c r="Z2" s="1" t="s">
        <v>91</v>
      </c>
      <c r="AA2" s="1" t="s">
        <v>91</v>
      </c>
      <c r="AB2" s="1" t="s">
        <v>91</v>
      </c>
      <c r="AC2" s="1" t="s">
        <v>91</v>
      </c>
      <c r="AD2" s="1" t="s">
        <v>91</v>
      </c>
      <c r="AE2" s="1" t="s">
        <v>91</v>
      </c>
      <c r="AF2" s="1" t="s">
        <v>91</v>
      </c>
      <c r="AG2" s="1" t="s">
        <v>91</v>
      </c>
      <c r="AH2" s="1" t="s">
        <v>91</v>
      </c>
      <c r="AI2" s="1" t="s">
        <v>91</v>
      </c>
      <c r="AJ2" s="1" t="s">
        <v>91</v>
      </c>
      <c r="AK2" s="1" t="s">
        <v>91</v>
      </c>
      <c r="AL2" s="1" t="s">
        <v>91</v>
      </c>
      <c r="AM2" s="1" t="s">
        <v>91</v>
      </c>
      <c r="AN2" s="1" t="s">
        <v>91</v>
      </c>
      <c r="AO2" s="1" t="s">
        <v>91</v>
      </c>
      <c r="AP2" s="1" t="s">
        <v>91</v>
      </c>
      <c r="AQ2" s="1" t="s">
        <v>91</v>
      </c>
      <c r="AR2" s="1" t="s">
        <v>91</v>
      </c>
      <c r="AS2" s="1" t="s">
        <v>91</v>
      </c>
      <c r="AT2" s="1" t="s">
        <v>91</v>
      </c>
      <c r="AU2" s="1" t="s">
        <v>91</v>
      </c>
      <c r="AV2" s="1" t="s">
        <v>91</v>
      </c>
      <c r="AW2" s="1" t="s">
        <v>91</v>
      </c>
      <c r="AX2" s="1" t="s">
        <v>91</v>
      </c>
    </row>
    <row r="3" spans="1:50" x14ac:dyDescent="0.3">
      <c r="A3" s="2" t="s">
        <v>49</v>
      </c>
      <c r="B3" s="2">
        <v>-0.6</v>
      </c>
      <c r="C3" s="2">
        <v>-35.380000000000003</v>
      </c>
      <c r="D3" s="2">
        <v>3.7999999999999999E-2</v>
      </c>
      <c r="E3" s="2">
        <v>5.5E-2</v>
      </c>
      <c r="F3" s="2">
        <v>-12.24</v>
      </c>
      <c r="G3" s="2">
        <v>-8.6120000000000001</v>
      </c>
      <c r="H3" s="2">
        <v>-31.96</v>
      </c>
      <c r="I3" s="2">
        <v>5.0000000000000001E-3</v>
      </c>
      <c r="J3" s="2">
        <v>0</v>
      </c>
      <c r="K3" s="2">
        <v>-0.14499999999999999</v>
      </c>
      <c r="L3" s="2">
        <v>0</v>
      </c>
      <c r="M3" s="2">
        <v>0.105</v>
      </c>
      <c r="N3" s="2">
        <v>0</v>
      </c>
      <c r="O3" s="2">
        <v>-0.85799999999999998</v>
      </c>
      <c r="P3" s="2">
        <v>-7.6999999999999999E-2</v>
      </c>
      <c r="Q3" s="2">
        <v>-0.96399999999999997</v>
      </c>
      <c r="R3" s="2">
        <v>-2.1000000000000001E-2</v>
      </c>
      <c r="S3" s="2">
        <v>1</v>
      </c>
      <c r="T3" s="2">
        <v>1</v>
      </c>
      <c r="U3" s="2">
        <v>0.02</v>
      </c>
      <c r="V3" s="2">
        <v>8.0000000000000002E-3</v>
      </c>
      <c r="W3" s="2">
        <v>0</v>
      </c>
      <c r="X3" s="2">
        <v>-1E-3</v>
      </c>
      <c r="Y3" s="2">
        <v>0</v>
      </c>
      <c r="Z3" s="2">
        <v>-2E-3</v>
      </c>
      <c r="AA3" s="2">
        <v>0</v>
      </c>
      <c r="AB3" s="2">
        <v>0</v>
      </c>
      <c r="AC3" s="2">
        <v>0</v>
      </c>
      <c r="AD3" s="2">
        <v>1.4930000000000001</v>
      </c>
      <c r="AE3" s="2">
        <v>1E-3</v>
      </c>
      <c r="AF3" s="2">
        <v>1</v>
      </c>
      <c r="AG3" s="2">
        <v>1</v>
      </c>
      <c r="AH3" s="2">
        <v>-5.7000000000000002E-2</v>
      </c>
      <c r="AI3" s="2">
        <v>-1E-3</v>
      </c>
      <c r="AJ3" s="2">
        <v>0</v>
      </c>
      <c r="AK3" s="2">
        <v>0</v>
      </c>
      <c r="AL3" s="2">
        <v>-0.97399999999999998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0.26700000000000002</v>
      </c>
      <c r="AT3" s="2">
        <v>1E-3</v>
      </c>
      <c r="AU3" s="2">
        <v>0</v>
      </c>
      <c r="AV3" s="2">
        <v>1</v>
      </c>
      <c r="AW3" s="2">
        <v>1</v>
      </c>
      <c r="AX3" s="2">
        <v>0</v>
      </c>
    </row>
    <row r="4" spans="1:50" x14ac:dyDescent="0.3">
      <c r="A4" s="2" t="s">
        <v>49</v>
      </c>
      <c r="B4" s="2">
        <v>-0.64800000000000002</v>
      </c>
      <c r="C4" s="2">
        <v>-35.9</v>
      </c>
      <c r="D4" s="2">
        <v>0</v>
      </c>
      <c r="E4" s="2">
        <v>0</v>
      </c>
      <c r="F4" s="2">
        <v>-13.77</v>
      </c>
      <c r="G4" s="2">
        <v>-8.6609999999999996</v>
      </c>
      <c r="H4" s="2">
        <v>-31.26</v>
      </c>
      <c r="I4" s="2">
        <v>0</v>
      </c>
      <c r="J4" s="2">
        <v>0</v>
      </c>
      <c r="K4" s="2">
        <v>-0.14000000000000001</v>
      </c>
      <c r="L4" s="2">
        <v>0</v>
      </c>
      <c r="M4" s="2">
        <v>0</v>
      </c>
      <c r="N4" s="2">
        <v>0</v>
      </c>
      <c r="O4" s="2">
        <v>-0.86199999999999999</v>
      </c>
      <c r="P4" s="2">
        <v>-9.8000000000000004E-2</v>
      </c>
      <c r="Q4" s="2">
        <v>-0.94299999999999995</v>
      </c>
      <c r="R4" s="2">
        <v>-2.1000000000000001E-2</v>
      </c>
      <c r="S4" s="2">
        <v>1</v>
      </c>
      <c r="T4" s="2">
        <v>1</v>
      </c>
      <c r="U4" s="2">
        <v>1.2E-2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1.504</v>
      </c>
      <c r="AE4" s="2">
        <v>0</v>
      </c>
      <c r="AF4" s="2">
        <v>1</v>
      </c>
      <c r="AG4" s="2">
        <v>1</v>
      </c>
      <c r="AH4" s="2">
        <v>-5.8000000000000003E-2</v>
      </c>
      <c r="AI4" s="2">
        <v>0</v>
      </c>
      <c r="AJ4" s="2">
        <v>0</v>
      </c>
      <c r="AK4" s="2">
        <v>0</v>
      </c>
      <c r="AL4" s="2">
        <v>-0.96899999999999997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0.26500000000000001</v>
      </c>
      <c r="AT4" s="2">
        <v>0</v>
      </c>
      <c r="AU4" s="2">
        <v>0</v>
      </c>
      <c r="AV4" s="2">
        <v>1</v>
      </c>
      <c r="AW4" s="2">
        <v>1</v>
      </c>
      <c r="AX4" s="2">
        <v>0</v>
      </c>
    </row>
    <row r="5" spans="1:50" x14ac:dyDescent="0.3">
      <c r="A5" s="3" t="s">
        <v>121</v>
      </c>
      <c r="B5" s="2">
        <v>0.17799999999999999</v>
      </c>
      <c r="C5" s="2">
        <v>-3.5539999999999998</v>
      </c>
      <c r="D5" s="2">
        <v>14.9</v>
      </c>
      <c r="E5" s="2">
        <v>126.1</v>
      </c>
      <c r="F5" s="2">
        <v>10.27</v>
      </c>
      <c r="G5" s="2">
        <v>6.7759999999999998</v>
      </c>
      <c r="H5" s="2">
        <v>-8.8000000000000007</v>
      </c>
      <c r="I5" s="2">
        <v>7.8150000000000004</v>
      </c>
      <c r="J5" s="2">
        <v>0.40699999999999997</v>
      </c>
      <c r="K5" s="2">
        <v>0.223</v>
      </c>
      <c r="L5" s="2">
        <v>1.2869999999999999</v>
      </c>
      <c r="M5" s="2">
        <v>18.22</v>
      </c>
      <c r="N5" s="2">
        <v>0.14199999999999999</v>
      </c>
      <c r="O5" s="2">
        <v>-0.30199999999999999</v>
      </c>
      <c r="P5" s="2">
        <v>0.14899999999999999</v>
      </c>
      <c r="Q5" s="2">
        <v>-0.19600000000000001</v>
      </c>
      <c r="R5" s="2">
        <v>8.2000000000000003E-2</v>
      </c>
      <c r="S5" s="2">
        <v>0.97194000000000003</v>
      </c>
      <c r="T5" s="2">
        <v>1.0022800000000001</v>
      </c>
      <c r="U5" s="2">
        <v>6.3E-2</v>
      </c>
      <c r="V5" s="2">
        <v>0.22500000000000001</v>
      </c>
      <c r="W5" s="2">
        <v>0.308</v>
      </c>
      <c r="X5" s="2">
        <v>0.16400000000000001</v>
      </c>
      <c r="Y5" s="2">
        <v>5.0999999999999997E-2</v>
      </c>
      <c r="Z5" s="2">
        <v>0.14399999999999999</v>
      </c>
      <c r="AA5" s="2">
        <v>0.01</v>
      </c>
      <c r="AB5" s="2">
        <v>1.0999999999999999E-2</v>
      </c>
      <c r="AC5" s="2">
        <v>7.0000000000000001E-3</v>
      </c>
      <c r="AD5" s="2">
        <v>1.581</v>
      </c>
      <c r="AE5" s="2">
        <v>0.13200000000000001</v>
      </c>
      <c r="AF5" s="2">
        <v>0.98121999999999998</v>
      </c>
      <c r="AG5" s="2">
        <v>1.02214</v>
      </c>
      <c r="AH5" s="2">
        <v>2.1999999999999999E-2</v>
      </c>
      <c r="AI5" s="2">
        <v>7.3999999999999996E-2</v>
      </c>
      <c r="AJ5" s="2">
        <v>1.2999999999999999E-2</v>
      </c>
      <c r="AK5" s="2">
        <v>6.8000000000000005E-2</v>
      </c>
      <c r="AL5" s="2">
        <v>0.68600000000000005</v>
      </c>
      <c r="AM5" s="2">
        <v>8.8999999999999996E-2</v>
      </c>
      <c r="AN5" s="2">
        <v>6.3E-2</v>
      </c>
      <c r="AO5" s="2">
        <v>6.6000000000000003E-2</v>
      </c>
      <c r="AP5" s="2">
        <v>6.4000000000000001E-2</v>
      </c>
      <c r="AQ5" s="2">
        <v>8.9999999999999993E-3</v>
      </c>
      <c r="AR5" s="2">
        <v>0.01</v>
      </c>
      <c r="AS5" s="2">
        <v>0.26500000000000001</v>
      </c>
      <c r="AT5" s="2">
        <v>0.47399999999999998</v>
      </c>
      <c r="AU5" s="2">
        <v>0.107</v>
      </c>
      <c r="AV5" s="2">
        <v>0.98172999999999999</v>
      </c>
      <c r="AW5" s="2">
        <v>1.0098400000000001</v>
      </c>
      <c r="AX5" s="2">
        <v>7.8E-2</v>
      </c>
    </row>
    <row r="6" spans="1:50" x14ac:dyDescent="0.3">
      <c r="A6" s="3" t="s">
        <v>122</v>
      </c>
      <c r="B6" s="2">
        <v>0.29799999999999999</v>
      </c>
      <c r="C6" s="2">
        <v>29.94</v>
      </c>
      <c r="D6" s="2">
        <v>72.72</v>
      </c>
      <c r="E6" s="2">
        <v>194.8</v>
      </c>
      <c r="F6" s="2">
        <v>37.590000000000003</v>
      </c>
      <c r="G6" s="2">
        <v>49.24</v>
      </c>
      <c r="H6" s="2">
        <v>35.229999999999997</v>
      </c>
      <c r="I6" s="2">
        <v>34.57</v>
      </c>
      <c r="J6" s="2">
        <v>1.7569999999999999</v>
      </c>
      <c r="K6" s="2">
        <v>0.74</v>
      </c>
      <c r="L6" s="2">
        <v>6.62</v>
      </c>
      <c r="M6" s="2">
        <v>85.4</v>
      </c>
      <c r="N6" s="2">
        <v>0.73499999999999999</v>
      </c>
      <c r="O6" s="2">
        <v>0.41099999999999998</v>
      </c>
      <c r="P6" s="2">
        <v>0.76100000000000001</v>
      </c>
      <c r="Q6" s="2">
        <v>0.65200000000000002</v>
      </c>
      <c r="R6" s="2">
        <v>0.31</v>
      </c>
      <c r="S6" s="2">
        <v>0.98665999999999998</v>
      </c>
      <c r="T6" s="2">
        <v>1.0094399999999999</v>
      </c>
      <c r="U6" s="2">
        <v>0.28799999999999998</v>
      </c>
      <c r="V6" s="2">
        <v>0.64200000000000002</v>
      </c>
      <c r="W6" s="2">
        <v>1.611</v>
      </c>
      <c r="X6" s="2">
        <v>0.69799999999999995</v>
      </c>
      <c r="Y6" s="2">
        <v>0.27100000000000002</v>
      </c>
      <c r="Z6" s="2">
        <v>0.71899999999999997</v>
      </c>
      <c r="AA6" s="2">
        <v>5.0999999999999997E-2</v>
      </c>
      <c r="AB6" s="2">
        <v>5.5E-2</v>
      </c>
      <c r="AC6" s="2">
        <v>3.6999999999999998E-2</v>
      </c>
      <c r="AD6" s="2">
        <v>2.3839999999999999</v>
      </c>
      <c r="AE6" s="2">
        <v>0.70199999999999996</v>
      </c>
      <c r="AF6" s="2">
        <v>0.99963000000000002</v>
      </c>
      <c r="AG6" s="2">
        <v>1.02562</v>
      </c>
      <c r="AH6" s="2">
        <v>5.5E-2</v>
      </c>
      <c r="AI6" s="2">
        <v>0.122</v>
      </c>
      <c r="AJ6" s="2">
        <v>5.8999999999999997E-2</v>
      </c>
      <c r="AK6" s="2">
        <v>0.34399999999999997</v>
      </c>
      <c r="AL6" s="2">
        <v>3.4980000000000002</v>
      </c>
      <c r="AM6" s="2">
        <v>0.65</v>
      </c>
      <c r="AN6" s="2">
        <v>0.32100000000000001</v>
      </c>
      <c r="AO6" s="2">
        <v>0.34100000000000003</v>
      </c>
      <c r="AP6" s="2">
        <v>0.34200000000000003</v>
      </c>
      <c r="AQ6" s="2">
        <v>0.05</v>
      </c>
      <c r="AR6" s="2">
        <v>5.0999999999999997E-2</v>
      </c>
      <c r="AS6" s="2">
        <v>0.26600000000000001</v>
      </c>
      <c r="AT6" s="2">
        <v>2.4969999999999999</v>
      </c>
      <c r="AU6" s="2">
        <v>0.39800000000000002</v>
      </c>
      <c r="AV6" s="2">
        <v>0.99346999999999996</v>
      </c>
      <c r="AW6" s="2">
        <v>1.0154799999999999</v>
      </c>
      <c r="AX6" s="2">
        <v>0.40500000000000003</v>
      </c>
    </row>
    <row r="7" spans="1:50" x14ac:dyDescent="0.3">
      <c r="A7" s="3" t="s">
        <v>123</v>
      </c>
      <c r="B7" s="2">
        <v>0.35299999999999998</v>
      </c>
      <c r="C7" s="2">
        <v>63.04</v>
      </c>
      <c r="D7" s="2">
        <v>141.80000000000001</v>
      </c>
      <c r="E7" s="2">
        <v>245.2</v>
      </c>
      <c r="F7" s="2">
        <v>68.87</v>
      </c>
      <c r="G7" s="2">
        <v>137.9</v>
      </c>
      <c r="H7" s="2">
        <v>82.74</v>
      </c>
      <c r="I7" s="2">
        <v>65.95</v>
      </c>
      <c r="J7" s="2">
        <v>3.4060000000000001</v>
      </c>
      <c r="K7" s="2">
        <v>1.472</v>
      </c>
      <c r="L7" s="2">
        <v>12.87</v>
      </c>
      <c r="M7" s="2">
        <v>164.4</v>
      </c>
      <c r="N7" s="2">
        <v>1.4279999999999999</v>
      </c>
      <c r="O7" s="2">
        <v>1.127</v>
      </c>
      <c r="P7" s="2">
        <v>1.4370000000000001</v>
      </c>
      <c r="Q7" s="2">
        <v>1.4279999999999999</v>
      </c>
      <c r="R7" s="2">
        <v>0.57899999999999996</v>
      </c>
      <c r="S7" s="2">
        <v>0.98902999999999996</v>
      </c>
      <c r="T7" s="2">
        <v>1.00254</v>
      </c>
      <c r="U7" s="2">
        <v>0.72199999999999998</v>
      </c>
      <c r="V7" s="2">
        <v>0.83499999999999996</v>
      </c>
      <c r="W7" s="2">
        <v>3.161</v>
      </c>
      <c r="X7" s="2">
        <v>1.3160000000000001</v>
      </c>
      <c r="Y7" s="2">
        <v>0.52600000000000002</v>
      </c>
      <c r="Z7" s="2">
        <v>1.363</v>
      </c>
      <c r="AA7" s="2">
        <v>0.105</v>
      </c>
      <c r="AB7" s="2">
        <v>0.106</v>
      </c>
      <c r="AC7" s="2">
        <v>7.4999999999999997E-2</v>
      </c>
      <c r="AD7" s="2">
        <v>2.0110000000000001</v>
      </c>
      <c r="AE7" s="2">
        <v>1.381</v>
      </c>
      <c r="AF7" s="2">
        <v>0.999</v>
      </c>
      <c r="AG7" s="2">
        <v>1.02427</v>
      </c>
      <c r="AH7" s="2">
        <v>0.109</v>
      </c>
      <c r="AI7" s="2">
        <v>0.17</v>
      </c>
      <c r="AJ7" s="2">
        <v>0.104</v>
      </c>
      <c r="AK7" s="2">
        <v>0.66400000000000003</v>
      </c>
      <c r="AL7" s="2">
        <v>6.4210000000000003</v>
      </c>
      <c r="AM7" s="2">
        <v>1.304</v>
      </c>
      <c r="AN7" s="2">
        <v>0.625</v>
      </c>
      <c r="AO7" s="2">
        <v>0.67300000000000004</v>
      </c>
      <c r="AP7" s="2">
        <v>0.67300000000000004</v>
      </c>
      <c r="AQ7" s="2">
        <v>9.9000000000000005E-2</v>
      </c>
      <c r="AR7" s="2">
        <v>0.10100000000000001</v>
      </c>
      <c r="AS7" s="2">
        <v>0.27</v>
      </c>
      <c r="AT7" s="2">
        <v>4.8520000000000003</v>
      </c>
      <c r="AU7" s="2">
        <v>0.72</v>
      </c>
      <c r="AV7" s="2">
        <v>0.99168999999999996</v>
      </c>
      <c r="AW7" s="2">
        <v>1.0146999999999999</v>
      </c>
      <c r="AX7" s="2">
        <v>0.78700000000000003</v>
      </c>
    </row>
    <row r="8" spans="1:50" x14ac:dyDescent="0.3">
      <c r="A8" s="4">
        <v>6.9444444444444434E-2</v>
      </c>
      <c r="B8" s="2">
        <v>0.63600000000000001</v>
      </c>
      <c r="C8" s="2">
        <v>163.6</v>
      </c>
      <c r="D8" s="2">
        <v>362.7</v>
      </c>
      <c r="E8" s="2">
        <v>321.10000000000002</v>
      </c>
      <c r="F8" s="2">
        <v>164.8</v>
      </c>
      <c r="G8" s="2">
        <v>326.2</v>
      </c>
      <c r="H8" s="2">
        <v>204.4</v>
      </c>
      <c r="I8" s="2">
        <v>161.9</v>
      </c>
      <c r="J8" s="2">
        <v>8.4149999999999991</v>
      </c>
      <c r="K8" s="2">
        <v>3.44</v>
      </c>
      <c r="L8" s="2">
        <v>32.28</v>
      </c>
      <c r="M8" s="2">
        <v>411</v>
      </c>
      <c r="N8" s="2">
        <v>3.577</v>
      </c>
      <c r="O8" s="2">
        <v>3.2320000000000002</v>
      </c>
      <c r="P8" s="2">
        <v>3.5920000000000001</v>
      </c>
      <c r="Q8" s="2">
        <v>3.2090000000000001</v>
      </c>
      <c r="R8" s="2">
        <v>1.391</v>
      </c>
      <c r="S8" s="2">
        <v>0.99138000000000004</v>
      </c>
      <c r="T8" s="2">
        <v>0.99463000000000001</v>
      </c>
      <c r="U8" s="2">
        <v>1.6060000000000001</v>
      </c>
      <c r="V8" s="2">
        <v>2.0169999999999999</v>
      </c>
      <c r="W8" s="2">
        <v>8.0169999999999995</v>
      </c>
      <c r="X8" s="2">
        <v>3.238</v>
      </c>
      <c r="Y8" s="2">
        <v>1.3149999999999999</v>
      </c>
      <c r="Z8" s="2">
        <v>3.4540000000000002</v>
      </c>
      <c r="AA8" s="2">
        <v>0.26</v>
      </c>
      <c r="AB8" s="2">
        <v>0.26600000000000001</v>
      </c>
      <c r="AC8" s="2">
        <v>0.191</v>
      </c>
      <c r="AD8" s="2">
        <v>10.42</v>
      </c>
      <c r="AE8" s="2">
        <v>3.4910000000000001</v>
      </c>
      <c r="AF8" s="2">
        <v>1.00583</v>
      </c>
      <c r="AG8" s="2">
        <v>1.0177700000000001</v>
      </c>
      <c r="AH8" s="2">
        <v>0.26200000000000001</v>
      </c>
      <c r="AI8" s="2">
        <v>0.33700000000000002</v>
      </c>
      <c r="AJ8" s="2">
        <v>0.26500000000000001</v>
      </c>
      <c r="AK8" s="2">
        <v>1.6719999999999999</v>
      </c>
      <c r="AL8" s="2">
        <v>15.44</v>
      </c>
      <c r="AM8" s="2">
        <v>3.3519999999999999</v>
      </c>
      <c r="AN8" s="2">
        <v>1.601</v>
      </c>
      <c r="AO8" s="2">
        <v>1.6950000000000001</v>
      </c>
      <c r="AP8" s="2">
        <v>1.6919999999999999</v>
      </c>
      <c r="AQ8" s="2">
        <v>0.252</v>
      </c>
      <c r="AR8" s="2">
        <v>0.251</v>
      </c>
      <c r="AS8" s="2">
        <v>0.27800000000000002</v>
      </c>
      <c r="AT8" s="2">
        <v>12.26</v>
      </c>
      <c r="AU8" s="2">
        <v>1.7569999999999999</v>
      </c>
      <c r="AV8" s="2">
        <v>0.99861</v>
      </c>
      <c r="AW8" s="2">
        <v>1.01172</v>
      </c>
      <c r="AX8" s="2">
        <v>2.0049999999999999</v>
      </c>
    </row>
    <row r="9" spans="1:50" x14ac:dyDescent="0.3">
      <c r="A9" s="4">
        <v>5.5555555555555552E-2</v>
      </c>
      <c r="B9" s="2">
        <v>1.157</v>
      </c>
      <c r="C9" s="2">
        <v>340</v>
      </c>
      <c r="D9" s="2">
        <v>723.9</v>
      </c>
      <c r="E9" s="2">
        <v>533.29999999999995</v>
      </c>
      <c r="F9" s="2">
        <v>323.60000000000002</v>
      </c>
      <c r="G9" s="2">
        <v>656.9</v>
      </c>
      <c r="H9" s="2">
        <v>428.6</v>
      </c>
      <c r="I9" s="2">
        <v>343.7</v>
      </c>
      <c r="J9" s="2">
        <v>16.73</v>
      </c>
      <c r="K9" s="2">
        <v>6.7519999999999998</v>
      </c>
      <c r="L9" s="2">
        <v>63.99</v>
      </c>
      <c r="M9" s="2">
        <v>820</v>
      </c>
      <c r="N9" s="2">
        <v>7.1109999999999998</v>
      </c>
      <c r="O9" s="2">
        <v>6.8710000000000004</v>
      </c>
      <c r="P9" s="2">
        <v>7.2450000000000001</v>
      </c>
      <c r="Q9" s="2">
        <v>7.202</v>
      </c>
      <c r="R9" s="2">
        <v>2.734</v>
      </c>
      <c r="S9" s="2">
        <v>0.97550999999999999</v>
      </c>
      <c r="T9" s="2">
        <v>0.98068</v>
      </c>
      <c r="U9" s="2">
        <v>3.2410000000000001</v>
      </c>
      <c r="V9" s="2">
        <v>2.8639999999999999</v>
      </c>
      <c r="W9" s="2">
        <v>16.010000000000002</v>
      </c>
      <c r="X9" s="2">
        <v>6.4320000000000004</v>
      </c>
      <c r="Y9" s="2">
        <v>2.645</v>
      </c>
      <c r="Z9" s="2">
        <v>6.806</v>
      </c>
      <c r="AA9" s="2">
        <v>0.52800000000000002</v>
      </c>
      <c r="AB9" s="2">
        <v>0.53400000000000003</v>
      </c>
      <c r="AC9" s="2">
        <v>0.376</v>
      </c>
      <c r="AD9" s="2">
        <v>22.9</v>
      </c>
      <c r="AE9" s="2">
        <v>6.92</v>
      </c>
      <c r="AF9" s="2">
        <v>0.99492999999999998</v>
      </c>
      <c r="AG9" s="2">
        <v>1.0088699999999999</v>
      </c>
      <c r="AH9" s="2">
        <v>0.52300000000000002</v>
      </c>
      <c r="AI9" s="2">
        <v>0.59899999999999998</v>
      </c>
      <c r="AJ9" s="2">
        <v>0.52200000000000002</v>
      </c>
      <c r="AK9" s="2">
        <v>3.3319999999999999</v>
      </c>
      <c r="AL9" s="2">
        <v>30.91</v>
      </c>
      <c r="AM9" s="2">
        <v>6.7229999999999999</v>
      </c>
      <c r="AN9" s="2">
        <v>3.2229999999999999</v>
      </c>
      <c r="AO9" s="2">
        <v>3.3919999999999999</v>
      </c>
      <c r="AP9" s="2">
        <v>3.3889999999999998</v>
      </c>
      <c r="AQ9" s="2">
        <v>0.505</v>
      </c>
      <c r="AR9" s="2">
        <v>0.48199999999999998</v>
      </c>
      <c r="AS9" s="2">
        <v>0.33</v>
      </c>
      <c r="AT9" s="2">
        <v>24.32</v>
      </c>
      <c r="AU9" s="2">
        <v>3.4460000000000002</v>
      </c>
      <c r="AV9" s="2">
        <v>0.98107999999999995</v>
      </c>
      <c r="AW9" s="2">
        <v>1.0066600000000001</v>
      </c>
      <c r="AX9" s="2">
        <v>3.9980000000000002</v>
      </c>
    </row>
    <row r="10" spans="1:50" x14ac:dyDescent="0.3">
      <c r="A10" s="4">
        <v>4.8611111111111112E-2</v>
      </c>
      <c r="B10" s="2">
        <v>2.16</v>
      </c>
      <c r="C10" s="2">
        <v>700.1</v>
      </c>
      <c r="D10" s="2">
        <v>1425</v>
      </c>
      <c r="E10" s="2">
        <v>1396</v>
      </c>
      <c r="F10" s="2">
        <v>646.9</v>
      </c>
      <c r="G10" s="2">
        <v>1407</v>
      </c>
      <c r="H10" s="2">
        <v>852.2</v>
      </c>
      <c r="I10" s="2">
        <v>682.2</v>
      </c>
      <c r="J10" s="2">
        <v>32.94</v>
      </c>
      <c r="K10" s="2">
        <v>13.55</v>
      </c>
      <c r="L10" s="2">
        <v>133.4</v>
      </c>
      <c r="M10" s="2">
        <v>1587</v>
      </c>
      <c r="N10" s="2">
        <v>14.03</v>
      </c>
      <c r="O10" s="2">
        <v>15.34</v>
      </c>
      <c r="P10" s="2">
        <v>14.03</v>
      </c>
      <c r="Q10" s="2">
        <v>14.55</v>
      </c>
      <c r="R10" s="2">
        <v>5.4420000000000002</v>
      </c>
      <c r="S10" s="2">
        <v>0.97826000000000002</v>
      </c>
      <c r="T10" s="2">
        <v>0.96326000000000001</v>
      </c>
      <c r="U10" s="2">
        <v>6.5380000000000003</v>
      </c>
      <c r="V10" s="2">
        <v>6.9450000000000003</v>
      </c>
      <c r="W10" s="2">
        <v>31.35</v>
      </c>
      <c r="X10" s="2">
        <v>12.74</v>
      </c>
      <c r="Y10" s="2">
        <v>5.2359999999999998</v>
      </c>
      <c r="Z10" s="2">
        <v>13.49</v>
      </c>
      <c r="AA10" s="2">
        <v>1.018</v>
      </c>
      <c r="AB10" s="2">
        <v>1.054</v>
      </c>
      <c r="AC10" s="2">
        <v>0.88200000000000001</v>
      </c>
      <c r="AD10" s="2">
        <v>51.18</v>
      </c>
      <c r="AE10" s="2">
        <v>13.68</v>
      </c>
      <c r="AF10" s="2">
        <v>0.98731000000000002</v>
      </c>
      <c r="AG10" s="2">
        <v>0.99680000000000002</v>
      </c>
      <c r="AH10" s="2">
        <v>1.006</v>
      </c>
      <c r="AI10" s="2">
        <v>1.079</v>
      </c>
      <c r="AJ10" s="2">
        <v>1.1080000000000001</v>
      </c>
      <c r="AK10" s="2">
        <v>6.5380000000000003</v>
      </c>
      <c r="AL10" s="2">
        <v>63.28</v>
      </c>
      <c r="AM10" s="2">
        <v>13.28</v>
      </c>
      <c r="AN10" s="2">
        <v>6.3739999999999997</v>
      </c>
      <c r="AO10" s="2">
        <v>6.6779999999999999</v>
      </c>
      <c r="AP10" s="2">
        <v>6.7069999999999999</v>
      </c>
      <c r="AQ10" s="2">
        <v>0.99399999999999999</v>
      </c>
      <c r="AR10" s="2">
        <v>0.94899999999999995</v>
      </c>
      <c r="AS10" s="2">
        <v>0.67500000000000004</v>
      </c>
      <c r="AT10" s="2">
        <v>47.39</v>
      </c>
      <c r="AU10" s="2">
        <v>6.7359999999999998</v>
      </c>
      <c r="AV10" s="2">
        <v>0.98112999999999995</v>
      </c>
      <c r="AW10" s="2">
        <v>0.99860000000000004</v>
      </c>
      <c r="AX10" s="2">
        <v>7.8490000000000002</v>
      </c>
    </row>
    <row r="11" spans="1:50" x14ac:dyDescent="0.3">
      <c r="A11" s="3" t="s">
        <v>119</v>
      </c>
      <c r="B11" s="2">
        <v>19.79</v>
      </c>
      <c r="C11" s="2">
        <v>6551</v>
      </c>
      <c r="D11" s="2">
        <v>13640</v>
      </c>
      <c r="E11" s="2">
        <v>8119</v>
      </c>
      <c r="F11" s="2">
        <v>6434</v>
      </c>
      <c r="G11" s="2">
        <v>12550</v>
      </c>
      <c r="H11" s="2">
        <v>8155</v>
      </c>
      <c r="I11" s="2">
        <v>6595</v>
      </c>
      <c r="J11" s="2">
        <v>326.3</v>
      </c>
      <c r="K11" s="2">
        <v>125.1</v>
      </c>
      <c r="L11" s="2">
        <v>1285</v>
      </c>
      <c r="M11" s="2">
        <v>14530</v>
      </c>
      <c r="N11" s="2">
        <v>131</v>
      </c>
      <c r="O11" s="2">
        <v>133.9</v>
      </c>
      <c r="P11" s="2">
        <v>129.6</v>
      </c>
      <c r="Q11" s="2">
        <v>134.80000000000001</v>
      </c>
      <c r="R11" s="2">
        <v>49.91</v>
      </c>
      <c r="S11" s="2">
        <v>0.93598999999999999</v>
      </c>
      <c r="T11" s="2">
        <v>0.87319999999999998</v>
      </c>
      <c r="U11" s="2">
        <v>62.96</v>
      </c>
      <c r="V11" s="2">
        <v>64.239999999999995</v>
      </c>
      <c r="W11" s="2">
        <v>322.10000000000002</v>
      </c>
      <c r="X11" s="2">
        <v>129.4</v>
      </c>
      <c r="Y11" s="2">
        <v>51.33</v>
      </c>
      <c r="Z11" s="2">
        <v>132.19999999999999</v>
      </c>
      <c r="AA11" s="2">
        <v>10.029999999999999</v>
      </c>
      <c r="AB11" s="2">
        <v>10.029999999999999</v>
      </c>
      <c r="AC11" s="2">
        <v>10.06</v>
      </c>
      <c r="AD11" s="2">
        <v>71.2</v>
      </c>
      <c r="AE11" s="2">
        <v>131.6</v>
      </c>
      <c r="AF11" s="2">
        <v>0.94391000000000003</v>
      </c>
      <c r="AG11" s="2">
        <v>0.90647999999999995</v>
      </c>
      <c r="AH11" s="2">
        <v>10.029999999999999</v>
      </c>
      <c r="AI11" s="2">
        <v>10</v>
      </c>
      <c r="AJ11" s="2">
        <v>10.02</v>
      </c>
      <c r="AK11" s="2">
        <v>63.33</v>
      </c>
      <c r="AL11" s="2">
        <v>627.79999999999995</v>
      </c>
      <c r="AM11" s="2">
        <v>144.69999999999999</v>
      </c>
      <c r="AN11" s="2">
        <v>66.150000000000006</v>
      </c>
      <c r="AO11" s="2">
        <v>67.599999999999994</v>
      </c>
      <c r="AP11" s="2">
        <v>67.599999999999994</v>
      </c>
      <c r="AQ11" s="2">
        <v>10.039999999999999</v>
      </c>
      <c r="AR11" s="2">
        <v>10.039999999999999</v>
      </c>
      <c r="AS11" s="2">
        <v>10.08</v>
      </c>
      <c r="AT11" s="2">
        <v>513.79999999999995</v>
      </c>
      <c r="AU11" s="2">
        <v>66.459999999999994</v>
      </c>
      <c r="AV11" s="2">
        <v>0.91259999999999997</v>
      </c>
      <c r="AW11" s="2">
        <v>0.91913</v>
      </c>
      <c r="AX11" s="2">
        <v>86.6</v>
      </c>
    </row>
    <row r="12" spans="1:50" x14ac:dyDescent="0.3">
      <c r="A12" s="2" t="s">
        <v>50</v>
      </c>
      <c r="B12" s="2">
        <v>-0.70099999999999996</v>
      </c>
      <c r="C12" s="2">
        <v>-35.21</v>
      </c>
      <c r="D12" s="2">
        <v>1.4430000000000001</v>
      </c>
      <c r="E12" s="2">
        <v>0.93200000000000005</v>
      </c>
      <c r="F12" s="2">
        <v>-16.36</v>
      </c>
      <c r="G12" s="2">
        <v>-13.8</v>
      </c>
      <c r="H12" s="2">
        <v>-32.28</v>
      </c>
      <c r="I12" s="2">
        <v>0.67700000000000005</v>
      </c>
      <c r="J12" s="2">
        <v>3.1E-2</v>
      </c>
      <c r="K12" s="2">
        <v>-0.155</v>
      </c>
      <c r="L12" s="2">
        <v>0.13800000000000001</v>
      </c>
      <c r="M12" s="2">
        <v>1.454</v>
      </c>
      <c r="N12" s="2">
        <v>1.4999999999999999E-2</v>
      </c>
      <c r="O12" s="2">
        <v>-0.85099999999999998</v>
      </c>
      <c r="P12" s="2">
        <v>-0.112</v>
      </c>
      <c r="Q12" s="2">
        <v>-0.96699999999999997</v>
      </c>
      <c r="R12" s="2">
        <v>-1.7000000000000001E-2</v>
      </c>
      <c r="S12" s="2">
        <v>0.91071999999999997</v>
      </c>
      <c r="T12" s="2">
        <v>0.89092000000000005</v>
      </c>
      <c r="U12" s="2">
        <v>0.05</v>
      </c>
      <c r="V12" s="2">
        <v>-5.0000000000000001E-3</v>
      </c>
      <c r="W12" s="2">
        <v>3.7999999999999999E-2</v>
      </c>
      <c r="X12" s="2">
        <v>1.6E-2</v>
      </c>
      <c r="Y12" s="2">
        <v>5.0000000000000001E-3</v>
      </c>
      <c r="Z12" s="2">
        <v>0.126</v>
      </c>
      <c r="AA12" s="2">
        <v>1E-3</v>
      </c>
      <c r="AB12" s="2">
        <v>1E-3</v>
      </c>
      <c r="AC12" s="2">
        <v>2E-3</v>
      </c>
      <c r="AD12" s="2">
        <v>1.532</v>
      </c>
      <c r="AE12" s="2">
        <v>1.6E-2</v>
      </c>
      <c r="AF12" s="2">
        <v>0.92240999999999995</v>
      </c>
      <c r="AG12" s="2">
        <v>0.94413000000000002</v>
      </c>
      <c r="AH12" s="2">
        <v>-5.6000000000000001E-2</v>
      </c>
      <c r="AI12" s="2">
        <v>-2E-3</v>
      </c>
      <c r="AJ12" s="2">
        <v>0</v>
      </c>
      <c r="AK12" s="2">
        <v>8.0000000000000002E-3</v>
      </c>
      <c r="AL12" s="2">
        <v>-0.89100000000000001</v>
      </c>
      <c r="AM12" s="2">
        <v>8.0000000000000002E-3</v>
      </c>
      <c r="AN12" s="2">
        <v>2.7E-2</v>
      </c>
      <c r="AO12" s="2">
        <v>8.9999999999999993E-3</v>
      </c>
      <c r="AP12" s="2">
        <v>8.0000000000000002E-3</v>
      </c>
      <c r="AQ12" s="2">
        <v>1E-3</v>
      </c>
      <c r="AR12" s="2">
        <v>2E-3</v>
      </c>
      <c r="AS12" s="2">
        <v>0.27800000000000002</v>
      </c>
      <c r="AT12" s="2">
        <v>5.8999999999999997E-2</v>
      </c>
      <c r="AU12" s="2">
        <v>6.0000000000000001E-3</v>
      </c>
      <c r="AV12" s="2">
        <v>0.97491000000000005</v>
      </c>
      <c r="AW12" s="2">
        <v>0.98728000000000005</v>
      </c>
      <c r="AX12" s="2">
        <v>8.9999999999999993E-3</v>
      </c>
    </row>
    <row r="13" spans="1:50" x14ac:dyDescent="0.3">
      <c r="A13" s="2" t="s">
        <v>51</v>
      </c>
      <c r="B13" s="2">
        <v>14.54</v>
      </c>
      <c r="C13" s="2">
        <v>342.3</v>
      </c>
      <c r="D13" s="2">
        <v>6532</v>
      </c>
      <c r="E13" s="2">
        <v>440.9</v>
      </c>
      <c r="F13" s="2">
        <v>1489</v>
      </c>
      <c r="G13" s="2">
        <v>35250</v>
      </c>
      <c r="H13" s="2">
        <v>63600</v>
      </c>
      <c r="I13" s="2">
        <v>298.39999999999998</v>
      </c>
      <c r="J13" s="2">
        <v>3.0419999999999998</v>
      </c>
      <c r="K13" s="2">
        <v>2.1669999999999998</v>
      </c>
      <c r="L13" s="2">
        <v>127.5</v>
      </c>
      <c r="M13" s="2">
        <v>916.1</v>
      </c>
      <c r="N13" s="2">
        <v>0.53300000000000003</v>
      </c>
      <c r="O13" s="2">
        <v>1.907</v>
      </c>
      <c r="P13" s="2">
        <v>35.29</v>
      </c>
      <c r="Q13" s="2">
        <v>63.27</v>
      </c>
      <c r="R13" s="2">
        <v>1.4059999999999999</v>
      </c>
      <c r="S13" s="2">
        <v>0.89607000000000003</v>
      </c>
      <c r="T13" s="2">
        <v>0.92940999999999996</v>
      </c>
      <c r="U13" s="2">
        <v>0.32600000000000001</v>
      </c>
      <c r="V13" s="2">
        <v>4.0309999999999997</v>
      </c>
      <c r="W13" s="2">
        <v>18.09</v>
      </c>
      <c r="X13" s="2">
        <v>207.9</v>
      </c>
      <c r="Y13" s="2">
        <v>9.4E-2</v>
      </c>
      <c r="Z13" s="2">
        <v>1.74</v>
      </c>
      <c r="AA13" s="2">
        <v>1E-3</v>
      </c>
      <c r="AB13" s="2">
        <v>8.0000000000000002E-3</v>
      </c>
      <c r="AC13" s="2">
        <v>0.111</v>
      </c>
      <c r="AD13" s="2">
        <v>5.0590000000000002</v>
      </c>
      <c r="AE13" s="2">
        <v>0.19600000000000001</v>
      </c>
      <c r="AF13" s="2">
        <v>0.95623000000000002</v>
      </c>
      <c r="AG13" s="2">
        <v>1.0237000000000001</v>
      </c>
      <c r="AH13" s="2">
        <v>0.47199999999999998</v>
      </c>
      <c r="AI13" s="2">
        <v>2.3E-2</v>
      </c>
      <c r="AJ13" s="2">
        <v>4.0000000000000001E-3</v>
      </c>
      <c r="AK13" s="2">
        <v>0.41899999999999998</v>
      </c>
      <c r="AL13" s="2">
        <v>42.97</v>
      </c>
      <c r="AM13" s="2">
        <v>3.5999999999999997E-2</v>
      </c>
      <c r="AN13" s="2">
        <v>0.17799999999999999</v>
      </c>
      <c r="AO13" s="2">
        <v>0.61899999999999999</v>
      </c>
      <c r="AP13" s="2">
        <v>0.627</v>
      </c>
      <c r="AQ13" s="2">
        <v>1E-3</v>
      </c>
      <c r="AR13" s="2">
        <v>2E-3</v>
      </c>
      <c r="AS13" s="2">
        <v>0.33300000000000002</v>
      </c>
      <c r="AT13" s="2">
        <v>3.3000000000000002E-2</v>
      </c>
      <c r="AU13" s="2">
        <v>2.2589999999999999</v>
      </c>
      <c r="AV13" s="2">
        <v>0.85509999999999997</v>
      </c>
      <c r="AW13" s="2">
        <v>0.93888000000000005</v>
      </c>
      <c r="AX13" s="2">
        <v>4.2999999999999997E-2</v>
      </c>
    </row>
    <row r="14" spans="1:50" x14ac:dyDescent="0.3">
      <c r="A14" s="2" t="s">
        <v>52</v>
      </c>
      <c r="B14" s="2">
        <v>10.87</v>
      </c>
      <c r="C14" s="2">
        <v>176.5</v>
      </c>
      <c r="D14" s="2">
        <v>6042</v>
      </c>
      <c r="E14" s="2">
        <v>342.8</v>
      </c>
      <c r="F14" s="2">
        <v>3064</v>
      </c>
      <c r="G14" s="2">
        <v>47840</v>
      </c>
      <c r="H14" s="2">
        <v>62560</v>
      </c>
      <c r="I14" s="2">
        <v>283.3</v>
      </c>
      <c r="J14" s="2">
        <v>2.593</v>
      </c>
      <c r="K14" s="2">
        <v>1.847</v>
      </c>
      <c r="L14" s="2">
        <v>144.69999999999999</v>
      </c>
      <c r="M14" s="2">
        <v>733.7</v>
      </c>
      <c r="N14" s="2">
        <v>0.47399999999999998</v>
      </c>
      <c r="O14" s="2">
        <v>2.8849999999999998</v>
      </c>
      <c r="P14" s="2">
        <v>13.33</v>
      </c>
      <c r="Q14" s="2">
        <v>26.34</v>
      </c>
      <c r="R14" s="2">
        <v>1.208</v>
      </c>
      <c r="S14" s="2">
        <v>0.88832</v>
      </c>
      <c r="T14" s="2">
        <v>0.91288999999999998</v>
      </c>
      <c r="U14" s="2">
        <v>0.22900000000000001</v>
      </c>
      <c r="V14" s="2">
        <v>9.69</v>
      </c>
      <c r="W14" s="2">
        <v>13.09</v>
      </c>
      <c r="X14" s="2">
        <v>175</v>
      </c>
      <c r="Y14" s="2">
        <v>5.8000000000000003E-2</v>
      </c>
      <c r="Z14" s="2">
        <v>1.153</v>
      </c>
      <c r="AA14" s="2">
        <v>1E-3</v>
      </c>
      <c r="AB14" s="2">
        <v>7.0000000000000001E-3</v>
      </c>
      <c r="AC14" s="2">
        <v>9.1999999999999998E-2</v>
      </c>
      <c r="AD14" s="2">
        <v>4.12</v>
      </c>
      <c r="AE14" s="2">
        <v>6.7000000000000004E-2</v>
      </c>
      <c r="AF14" s="2">
        <v>0.94611999999999996</v>
      </c>
      <c r="AG14" s="2">
        <v>1.00989</v>
      </c>
      <c r="AH14" s="2">
        <v>7.3999999999999996E-2</v>
      </c>
      <c r="AI14" s="2">
        <v>2.9000000000000001E-2</v>
      </c>
      <c r="AJ14" s="2">
        <v>1E-3</v>
      </c>
      <c r="AK14" s="2">
        <v>0.25700000000000001</v>
      </c>
      <c r="AL14" s="2">
        <v>37.700000000000003</v>
      </c>
      <c r="AM14" s="2">
        <v>1.2999999999999999E-2</v>
      </c>
      <c r="AN14" s="2">
        <v>0.121</v>
      </c>
      <c r="AO14" s="2">
        <v>0.40799999999999997</v>
      </c>
      <c r="AP14" s="2">
        <v>0.41599999999999998</v>
      </c>
      <c r="AQ14" s="2">
        <v>0</v>
      </c>
      <c r="AR14" s="2">
        <v>1E-3</v>
      </c>
      <c r="AS14" s="2">
        <v>0.33</v>
      </c>
      <c r="AT14" s="2">
        <v>1.2999999999999999E-2</v>
      </c>
      <c r="AU14" s="2">
        <v>1.796</v>
      </c>
      <c r="AV14" s="2">
        <v>0.84972000000000003</v>
      </c>
      <c r="AW14" s="2">
        <v>0.93591999999999997</v>
      </c>
      <c r="AX14" s="2">
        <v>3.1E-2</v>
      </c>
    </row>
    <row r="15" spans="1:50" x14ac:dyDescent="0.3">
      <c r="A15" s="2" t="s">
        <v>53</v>
      </c>
      <c r="B15" s="2">
        <v>8.1310000000000002</v>
      </c>
      <c r="C15" s="2">
        <v>287.39999999999998</v>
      </c>
      <c r="D15" s="2">
        <v>6396</v>
      </c>
      <c r="E15" s="2">
        <v>360.1</v>
      </c>
      <c r="F15" s="2">
        <v>2988</v>
      </c>
      <c r="G15" s="2">
        <v>59080</v>
      </c>
      <c r="H15" s="2">
        <v>55640</v>
      </c>
      <c r="I15" s="2">
        <v>250.4</v>
      </c>
      <c r="J15" s="2">
        <v>2.3530000000000002</v>
      </c>
      <c r="K15" s="2">
        <v>2.234</v>
      </c>
      <c r="L15" s="2">
        <v>188.3</v>
      </c>
      <c r="M15" s="2">
        <v>771.8</v>
      </c>
      <c r="N15" s="2">
        <v>0.76500000000000001</v>
      </c>
      <c r="O15" s="2">
        <v>6.5679999999999996</v>
      </c>
      <c r="P15" s="2">
        <v>18.87</v>
      </c>
      <c r="Q15" s="2">
        <v>22.61</v>
      </c>
      <c r="R15" s="2">
        <v>0.378</v>
      </c>
      <c r="S15" s="2">
        <v>0.88973999999999998</v>
      </c>
      <c r="T15" s="2">
        <v>0.90639000000000003</v>
      </c>
      <c r="U15" s="2">
        <v>0.255</v>
      </c>
      <c r="V15" s="2">
        <v>4.5730000000000004</v>
      </c>
      <c r="W15" s="2">
        <v>23.61</v>
      </c>
      <c r="X15" s="2">
        <v>141</v>
      </c>
      <c r="Y15" s="2">
        <v>5.7000000000000002E-2</v>
      </c>
      <c r="Z15" s="2">
        <v>0.73599999999999999</v>
      </c>
      <c r="AA15" s="2">
        <v>2E-3</v>
      </c>
      <c r="AB15" s="2">
        <v>6.0000000000000001E-3</v>
      </c>
      <c r="AC15" s="2">
        <v>7.8E-2</v>
      </c>
      <c r="AD15" s="2">
        <v>4.3849999999999998</v>
      </c>
      <c r="AE15" s="2">
        <v>0.15</v>
      </c>
      <c r="AF15" s="2">
        <v>0.94484000000000001</v>
      </c>
      <c r="AG15" s="2">
        <v>1.0153399999999999</v>
      </c>
      <c r="AH15" s="2">
        <v>2.1000000000000001E-2</v>
      </c>
      <c r="AI15" s="2">
        <v>1.0999999999999999E-2</v>
      </c>
      <c r="AJ15" s="2">
        <v>3.0000000000000001E-3</v>
      </c>
      <c r="AK15" s="2">
        <v>0.217</v>
      </c>
      <c r="AL15" s="2">
        <v>9.032</v>
      </c>
      <c r="AM15" s="2">
        <v>8.0000000000000002E-3</v>
      </c>
      <c r="AN15" s="2">
        <v>0.114</v>
      </c>
      <c r="AO15" s="2">
        <v>0.30599999999999999</v>
      </c>
      <c r="AP15" s="2">
        <v>0.317</v>
      </c>
      <c r="AQ15" s="2">
        <v>0</v>
      </c>
      <c r="AR15" s="2">
        <v>1E-3</v>
      </c>
      <c r="AS15" s="2">
        <v>0.39900000000000002</v>
      </c>
      <c r="AT15" s="2">
        <v>8.0000000000000002E-3</v>
      </c>
      <c r="AU15" s="2">
        <v>1.405</v>
      </c>
      <c r="AV15" s="2">
        <v>0.84836999999999996</v>
      </c>
      <c r="AW15" s="2">
        <v>0.93457000000000001</v>
      </c>
      <c r="AX15" s="2">
        <v>3.1E-2</v>
      </c>
    </row>
    <row r="16" spans="1:50" x14ac:dyDescent="0.3">
      <c r="A16" s="2" t="s">
        <v>54</v>
      </c>
      <c r="B16" s="2">
        <v>22.66</v>
      </c>
      <c r="C16" s="2">
        <v>251.8</v>
      </c>
      <c r="D16" s="2">
        <v>8408</v>
      </c>
      <c r="E16" s="2">
        <v>267.10000000000002</v>
      </c>
      <c r="F16" s="2">
        <v>2566</v>
      </c>
      <c r="G16" s="2">
        <v>60340</v>
      </c>
      <c r="H16" s="2">
        <v>59580</v>
      </c>
      <c r="I16" s="2">
        <v>258.2</v>
      </c>
      <c r="J16" s="2">
        <v>2.5430000000000001</v>
      </c>
      <c r="K16" s="2">
        <v>2.3119999999999998</v>
      </c>
      <c r="L16" s="2">
        <v>121.4</v>
      </c>
      <c r="M16" s="2">
        <v>595.9</v>
      </c>
      <c r="N16" s="2">
        <v>0.45600000000000002</v>
      </c>
      <c r="O16" s="2">
        <v>3.9390000000000001</v>
      </c>
      <c r="P16" s="2">
        <v>11.85</v>
      </c>
      <c r="Q16" s="2">
        <v>27.68</v>
      </c>
      <c r="R16" s="2">
        <v>1.8480000000000001</v>
      </c>
      <c r="S16" s="2">
        <v>0.89610000000000001</v>
      </c>
      <c r="T16" s="2">
        <v>0.93081000000000003</v>
      </c>
      <c r="U16" s="2">
        <v>0.20799999999999999</v>
      </c>
      <c r="V16" s="2">
        <v>3.6589999999999998</v>
      </c>
      <c r="W16" s="2">
        <v>12.17</v>
      </c>
      <c r="X16" s="2">
        <v>452.5</v>
      </c>
      <c r="Y16" s="2">
        <v>5.2999999999999999E-2</v>
      </c>
      <c r="Z16" s="2">
        <v>1.1639999999999999</v>
      </c>
      <c r="AA16" s="2">
        <v>5.0000000000000001E-3</v>
      </c>
      <c r="AB16" s="2">
        <v>1.7999999999999999E-2</v>
      </c>
      <c r="AC16" s="2">
        <v>0.24199999999999999</v>
      </c>
      <c r="AD16" s="2">
        <v>3.952</v>
      </c>
      <c r="AE16" s="2">
        <v>0.13900000000000001</v>
      </c>
      <c r="AF16" s="2">
        <v>0.95952999999999999</v>
      </c>
      <c r="AG16" s="2">
        <v>1.04101</v>
      </c>
      <c r="AH16" s="2">
        <v>3.5999999999999997E-2</v>
      </c>
      <c r="AI16" s="2">
        <v>1.4E-2</v>
      </c>
      <c r="AJ16" s="2">
        <v>6.0000000000000001E-3</v>
      </c>
      <c r="AK16" s="2">
        <v>0.16200000000000001</v>
      </c>
      <c r="AL16" s="2">
        <v>62.5</v>
      </c>
      <c r="AM16" s="2">
        <v>8.0000000000000002E-3</v>
      </c>
      <c r="AN16" s="2">
        <v>0.125</v>
      </c>
      <c r="AO16" s="2">
        <v>0.14599999999999999</v>
      </c>
      <c r="AP16" s="2">
        <v>0.14899999999999999</v>
      </c>
      <c r="AQ16" s="2">
        <v>0</v>
      </c>
      <c r="AR16" s="2">
        <v>0</v>
      </c>
      <c r="AS16" s="2">
        <v>0.37</v>
      </c>
      <c r="AT16" s="2">
        <v>5.0000000000000001E-3</v>
      </c>
      <c r="AU16" s="2">
        <v>1.0509999999999999</v>
      </c>
      <c r="AV16" s="2">
        <v>0.84513000000000005</v>
      </c>
      <c r="AW16" s="2">
        <v>0.95043999999999995</v>
      </c>
      <c r="AX16" s="2">
        <v>2.1999999999999999E-2</v>
      </c>
    </row>
    <row r="17" spans="1:50" x14ac:dyDescent="0.3">
      <c r="A17" s="2" t="s">
        <v>55</v>
      </c>
      <c r="B17" s="2">
        <v>10.01</v>
      </c>
      <c r="C17" s="2">
        <v>616.4</v>
      </c>
      <c r="D17" s="2">
        <v>4889</v>
      </c>
      <c r="E17" s="2">
        <v>256.60000000000002</v>
      </c>
      <c r="F17" s="2">
        <v>2628</v>
      </c>
      <c r="G17" s="2">
        <v>35890</v>
      </c>
      <c r="H17" s="2">
        <v>71680</v>
      </c>
      <c r="I17" s="2">
        <v>311</v>
      </c>
      <c r="J17" s="2">
        <v>2.5289999999999999</v>
      </c>
      <c r="K17" s="2">
        <v>2.0819999999999999</v>
      </c>
      <c r="L17" s="2">
        <v>101.8</v>
      </c>
      <c r="M17" s="2">
        <v>555.4</v>
      </c>
      <c r="N17" s="2">
        <v>0.45200000000000001</v>
      </c>
      <c r="O17" s="2">
        <v>3.7280000000000002</v>
      </c>
      <c r="P17" s="2">
        <v>18.100000000000001</v>
      </c>
      <c r="Q17" s="2">
        <v>30.54</v>
      </c>
      <c r="R17" s="2">
        <v>1.79</v>
      </c>
      <c r="S17" s="2">
        <v>0.91164999999999996</v>
      </c>
      <c r="T17" s="2">
        <v>0.92118999999999995</v>
      </c>
      <c r="U17" s="2">
        <v>0.13500000000000001</v>
      </c>
      <c r="V17" s="2">
        <v>4.9710000000000001</v>
      </c>
      <c r="W17" s="2">
        <v>15.99</v>
      </c>
      <c r="X17" s="2">
        <v>190.8</v>
      </c>
      <c r="Y17" s="2">
        <v>4.2999999999999997E-2</v>
      </c>
      <c r="Z17" s="2">
        <v>1.0189999999999999</v>
      </c>
      <c r="AA17" s="2">
        <v>2E-3</v>
      </c>
      <c r="AB17" s="2">
        <v>8.0000000000000002E-3</v>
      </c>
      <c r="AC17" s="2">
        <v>0.107</v>
      </c>
      <c r="AD17" s="2">
        <v>4.08</v>
      </c>
      <c r="AE17" s="2">
        <v>0.14699999999999999</v>
      </c>
      <c r="AF17" s="2">
        <v>0.96438999999999997</v>
      </c>
      <c r="AG17" s="2">
        <v>1.0407299999999999</v>
      </c>
      <c r="AH17" s="2">
        <v>6.2E-2</v>
      </c>
      <c r="AI17" s="2">
        <v>2.1000000000000001E-2</v>
      </c>
      <c r="AJ17" s="2">
        <v>4.0000000000000001E-3</v>
      </c>
      <c r="AK17" s="2">
        <v>0.183</v>
      </c>
      <c r="AL17" s="2">
        <v>59.25</v>
      </c>
      <c r="AM17" s="2">
        <v>0.01</v>
      </c>
      <c r="AN17" s="2">
        <v>0.111</v>
      </c>
      <c r="AO17" s="2">
        <v>0.23599999999999999</v>
      </c>
      <c r="AP17" s="2">
        <v>0.23699999999999999</v>
      </c>
      <c r="AQ17" s="2">
        <v>0</v>
      </c>
      <c r="AR17" s="2">
        <v>0</v>
      </c>
      <c r="AS17" s="2">
        <v>0.66100000000000003</v>
      </c>
      <c r="AT17" s="2">
        <v>6.0000000000000001E-3</v>
      </c>
      <c r="AU17" s="2">
        <v>1.0109999999999999</v>
      </c>
      <c r="AV17" s="2">
        <v>0.86428000000000005</v>
      </c>
      <c r="AW17" s="2">
        <v>0.96201999999999999</v>
      </c>
      <c r="AX17" s="2">
        <v>0.02</v>
      </c>
    </row>
    <row r="18" spans="1:50" x14ac:dyDescent="0.3">
      <c r="A18" s="2" t="s">
        <v>56</v>
      </c>
      <c r="B18" s="2">
        <v>10.199999999999999</v>
      </c>
      <c r="C18" s="2">
        <v>1155</v>
      </c>
      <c r="D18" s="2">
        <v>4943</v>
      </c>
      <c r="E18" s="2">
        <v>300.5</v>
      </c>
      <c r="F18" s="2">
        <v>2524</v>
      </c>
      <c r="G18" s="2">
        <v>61490</v>
      </c>
      <c r="H18" s="2">
        <v>51280</v>
      </c>
      <c r="I18" s="2">
        <v>233.8</v>
      </c>
      <c r="J18" s="2">
        <v>2.4590000000000001</v>
      </c>
      <c r="K18" s="2">
        <v>2.3210000000000002</v>
      </c>
      <c r="L18" s="2">
        <v>99.49</v>
      </c>
      <c r="M18" s="2">
        <v>710.5</v>
      </c>
      <c r="N18" s="2">
        <v>0.58099999999999996</v>
      </c>
      <c r="O18" s="2">
        <v>3.34</v>
      </c>
      <c r="P18" s="2">
        <v>24.68</v>
      </c>
      <c r="Q18" s="2">
        <v>44.87</v>
      </c>
      <c r="R18" s="2">
        <v>0.97399999999999998</v>
      </c>
      <c r="S18" s="2">
        <v>0.89034999999999997</v>
      </c>
      <c r="T18" s="2">
        <v>0.90547</v>
      </c>
      <c r="U18" s="2">
        <v>0.183</v>
      </c>
      <c r="V18" s="2">
        <v>2.2109999999999999</v>
      </c>
      <c r="W18" s="2">
        <v>15.98</v>
      </c>
      <c r="X18" s="2">
        <v>216.7</v>
      </c>
      <c r="Y18" s="2">
        <v>5.8999999999999997E-2</v>
      </c>
      <c r="Z18" s="2">
        <v>0.65200000000000002</v>
      </c>
      <c r="AA18" s="2">
        <v>1E-3</v>
      </c>
      <c r="AB18" s="2">
        <v>8.0000000000000002E-3</v>
      </c>
      <c r="AC18" s="2">
        <v>0.11600000000000001</v>
      </c>
      <c r="AD18" s="2">
        <v>3.875</v>
      </c>
      <c r="AE18" s="2">
        <v>0.10199999999999999</v>
      </c>
      <c r="AF18" s="2">
        <v>0.94733999999999996</v>
      </c>
      <c r="AG18" s="2">
        <v>1.0299799999999999</v>
      </c>
      <c r="AH18" s="2">
        <v>0.27700000000000002</v>
      </c>
      <c r="AI18" s="2">
        <v>8.8999999999999996E-2</v>
      </c>
      <c r="AJ18" s="2">
        <v>3.0000000000000001E-3</v>
      </c>
      <c r="AK18" s="2">
        <v>0.14000000000000001</v>
      </c>
      <c r="AL18" s="2">
        <v>29.64</v>
      </c>
      <c r="AM18" s="2">
        <v>0.01</v>
      </c>
      <c r="AN18" s="2">
        <v>9.0999999999999998E-2</v>
      </c>
      <c r="AO18" s="2">
        <v>0.14799999999999999</v>
      </c>
      <c r="AP18" s="2">
        <v>0.14899999999999999</v>
      </c>
      <c r="AQ18" s="2">
        <v>0</v>
      </c>
      <c r="AR18" s="2">
        <v>0</v>
      </c>
      <c r="AS18" s="2">
        <v>0.33500000000000002</v>
      </c>
      <c r="AT18" s="2">
        <v>7.0000000000000001E-3</v>
      </c>
      <c r="AU18" s="2">
        <v>1.82</v>
      </c>
      <c r="AV18" s="2">
        <v>0.84735000000000005</v>
      </c>
      <c r="AW18" s="2">
        <v>0.95113999999999999</v>
      </c>
      <c r="AX18" s="2">
        <v>2.9000000000000001E-2</v>
      </c>
    </row>
    <row r="19" spans="1:50" x14ac:dyDescent="0.3">
      <c r="A19" s="2" t="s">
        <v>57</v>
      </c>
      <c r="B19" s="2">
        <v>13.93</v>
      </c>
      <c r="C19" s="2">
        <v>470.5</v>
      </c>
      <c r="D19" s="2">
        <v>4441</v>
      </c>
      <c r="E19" s="2">
        <v>305.5</v>
      </c>
      <c r="F19" s="2">
        <v>1480</v>
      </c>
      <c r="G19" s="2">
        <v>34340</v>
      </c>
      <c r="H19" s="2">
        <v>80800</v>
      </c>
      <c r="I19" s="2">
        <v>357.6</v>
      </c>
      <c r="J19" s="2">
        <v>2.403</v>
      </c>
      <c r="K19" s="2">
        <v>2.1920000000000002</v>
      </c>
      <c r="L19" s="2">
        <v>196.1</v>
      </c>
      <c r="M19" s="2">
        <v>660.5</v>
      </c>
      <c r="N19" s="2">
        <v>0.47499999999999998</v>
      </c>
      <c r="O19" s="2">
        <v>2.012</v>
      </c>
      <c r="P19" s="2">
        <v>18.78</v>
      </c>
      <c r="Q19" s="2">
        <v>35.81</v>
      </c>
      <c r="R19" s="2">
        <v>1.2829999999999999</v>
      </c>
      <c r="S19" s="2">
        <v>0.89205999999999996</v>
      </c>
      <c r="T19" s="2">
        <v>0.90666000000000002</v>
      </c>
      <c r="U19" s="2">
        <v>0.23</v>
      </c>
      <c r="V19" s="2">
        <v>2.423</v>
      </c>
      <c r="W19" s="2">
        <v>14.56</v>
      </c>
      <c r="X19" s="2">
        <v>263</v>
      </c>
      <c r="Y19" s="2">
        <v>5.7000000000000002E-2</v>
      </c>
      <c r="Z19" s="2">
        <v>0.94799999999999995</v>
      </c>
      <c r="AA19" s="2">
        <v>3.0000000000000001E-3</v>
      </c>
      <c r="AB19" s="2">
        <v>0.01</v>
      </c>
      <c r="AC19" s="2">
        <v>0.14299999999999999</v>
      </c>
      <c r="AD19" s="2">
        <v>4.0289999999999999</v>
      </c>
      <c r="AE19" s="2">
        <v>0.115</v>
      </c>
      <c r="AF19" s="2">
        <v>0.95147999999999999</v>
      </c>
      <c r="AG19" s="2">
        <v>1.03426</v>
      </c>
      <c r="AH19" s="2">
        <v>0.14199999999999999</v>
      </c>
      <c r="AI19" s="2">
        <v>0.06</v>
      </c>
      <c r="AJ19" s="2">
        <v>2E-3</v>
      </c>
      <c r="AK19" s="2">
        <v>0.28799999999999998</v>
      </c>
      <c r="AL19" s="2">
        <v>40.68</v>
      </c>
      <c r="AM19" s="2">
        <v>1.7000000000000001E-2</v>
      </c>
      <c r="AN19" s="2">
        <v>0.184</v>
      </c>
      <c r="AO19" s="2">
        <v>9.8000000000000004E-2</v>
      </c>
      <c r="AP19" s="2">
        <v>0.10100000000000001</v>
      </c>
      <c r="AQ19" s="2">
        <v>0</v>
      </c>
      <c r="AR19" s="2">
        <v>0</v>
      </c>
      <c r="AS19" s="2">
        <v>0.96799999999999997</v>
      </c>
      <c r="AT19" s="2">
        <v>5.0000000000000001E-3</v>
      </c>
      <c r="AU19" s="2">
        <v>0.91100000000000003</v>
      </c>
      <c r="AV19" s="2">
        <v>0.84952000000000005</v>
      </c>
      <c r="AW19" s="2">
        <v>0.9607</v>
      </c>
      <c r="AX19" s="2">
        <v>2.4E-2</v>
      </c>
    </row>
    <row r="20" spans="1:50" x14ac:dyDescent="0.3">
      <c r="A20" s="2" t="s">
        <v>58</v>
      </c>
      <c r="B20" s="2">
        <v>10.5</v>
      </c>
      <c r="C20" s="2">
        <v>313.60000000000002</v>
      </c>
      <c r="D20" s="2">
        <v>4562</v>
      </c>
      <c r="E20" s="2">
        <v>424.4</v>
      </c>
      <c r="F20" s="2">
        <v>2651</v>
      </c>
      <c r="G20" s="2">
        <v>39460</v>
      </c>
      <c r="H20" s="2">
        <v>68060</v>
      </c>
      <c r="I20" s="2">
        <v>317.60000000000002</v>
      </c>
      <c r="J20" s="2">
        <v>2.3959999999999999</v>
      </c>
      <c r="K20" s="2">
        <v>2.266</v>
      </c>
      <c r="L20" s="2">
        <v>143.80000000000001</v>
      </c>
      <c r="M20" s="2">
        <v>870.6</v>
      </c>
      <c r="N20" s="2">
        <v>0.53800000000000003</v>
      </c>
      <c r="O20" s="2">
        <v>2.4369999999999998</v>
      </c>
      <c r="P20" s="2">
        <v>15.37</v>
      </c>
      <c r="Q20" s="2">
        <v>23.04</v>
      </c>
      <c r="R20" s="2">
        <v>1.391</v>
      </c>
      <c r="S20" s="2">
        <v>0.88221000000000005</v>
      </c>
      <c r="T20" s="2">
        <v>0.88085999999999998</v>
      </c>
      <c r="U20" s="2">
        <v>0.252</v>
      </c>
      <c r="V20" s="2">
        <v>4.2030000000000003</v>
      </c>
      <c r="W20" s="2">
        <v>6.94</v>
      </c>
      <c r="X20" s="2">
        <v>283.7</v>
      </c>
      <c r="Y20" s="2">
        <v>7.6999999999999999E-2</v>
      </c>
      <c r="Z20" s="2">
        <v>0.46700000000000003</v>
      </c>
      <c r="AA20" s="2">
        <v>2E-3</v>
      </c>
      <c r="AB20" s="2">
        <v>0.01</v>
      </c>
      <c r="AC20" s="2">
        <v>0.14399999999999999</v>
      </c>
      <c r="AD20" s="2">
        <v>3.96</v>
      </c>
      <c r="AE20" s="2">
        <v>9.9000000000000005E-2</v>
      </c>
      <c r="AF20" s="2">
        <v>0.93825999999999998</v>
      </c>
      <c r="AG20" s="2">
        <v>1.0141100000000001</v>
      </c>
      <c r="AH20" s="2">
        <v>0.08</v>
      </c>
      <c r="AI20" s="2">
        <v>6.8000000000000005E-2</v>
      </c>
      <c r="AJ20" s="2">
        <v>4.0000000000000001E-3</v>
      </c>
      <c r="AK20" s="2">
        <v>0.13800000000000001</v>
      </c>
      <c r="AL20" s="2">
        <v>43.89</v>
      </c>
      <c r="AM20" s="2">
        <v>1.4999999999999999E-2</v>
      </c>
      <c r="AN20" s="2">
        <v>0.14899999999999999</v>
      </c>
      <c r="AO20" s="2">
        <v>0.14699999999999999</v>
      </c>
      <c r="AP20" s="2">
        <v>0.151</v>
      </c>
      <c r="AQ20" s="2">
        <v>0</v>
      </c>
      <c r="AR20" s="2">
        <v>0</v>
      </c>
      <c r="AS20" s="2">
        <v>0.46500000000000002</v>
      </c>
      <c r="AT20" s="2">
        <v>6.0000000000000001E-3</v>
      </c>
      <c r="AU20" s="2">
        <v>0.98399999999999999</v>
      </c>
      <c r="AV20" s="2">
        <v>0.84408000000000005</v>
      </c>
      <c r="AW20" s="2">
        <v>0.94930000000000003</v>
      </c>
      <c r="AX20" s="2">
        <v>2.7E-2</v>
      </c>
    </row>
    <row r="21" spans="1:50" x14ac:dyDescent="0.3">
      <c r="A21" s="2" t="s">
        <v>59</v>
      </c>
      <c r="B21" s="2">
        <v>11.22</v>
      </c>
      <c r="C21" s="2">
        <v>334.5</v>
      </c>
      <c r="D21" s="2">
        <v>6832</v>
      </c>
      <c r="E21" s="2">
        <v>347.4</v>
      </c>
      <c r="F21" s="2">
        <v>2942</v>
      </c>
      <c r="G21" s="2">
        <v>49450</v>
      </c>
      <c r="H21" s="2">
        <v>54500</v>
      </c>
      <c r="I21" s="2">
        <v>247.2</v>
      </c>
      <c r="J21" s="2">
        <v>2.5369999999999999</v>
      </c>
      <c r="K21" s="2">
        <v>2.7480000000000002</v>
      </c>
      <c r="L21" s="2">
        <v>158</v>
      </c>
      <c r="M21" s="2">
        <v>750.8</v>
      </c>
      <c r="N21" s="2">
        <v>0.56100000000000005</v>
      </c>
      <c r="O21" s="2">
        <v>3.391</v>
      </c>
      <c r="P21" s="2">
        <v>22.52</v>
      </c>
      <c r="Q21" s="2">
        <v>26.99</v>
      </c>
      <c r="R21" s="2">
        <v>0.95499999999999996</v>
      </c>
      <c r="S21" s="2">
        <v>0.87722</v>
      </c>
      <c r="T21" s="2">
        <v>0.89622999999999997</v>
      </c>
      <c r="U21" s="2">
        <v>0.23</v>
      </c>
      <c r="V21" s="2">
        <v>3.8780000000000001</v>
      </c>
      <c r="W21" s="2">
        <v>15.45</v>
      </c>
      <c r="X21" s="2">
        <v>218.7</v>
      </c>
      <c r="Y21" s="2">
        <v>4.7E-2</v>
      </c>
      <c r="Z21" s="2">
        <v>1.163</v>
      </c>
      <c r="AA21" s="2">
        <v>2E-3</v>
      </c>
      <c r="AB21" s="2">
        <v>8.0000000000000002E-3</v>
      </c>
      <c r="AC21" s="2">
        <v>0.11600000000000001</v>
      </c>
      <c r="AD21" s="2">
        <v>3.423</v>
      </c>
      <c r="AE21" s="2">
        <v>7.3999999999999996E-2</v>
      </c>
      <c r="AF21" s="2">
        <v>0.93674000000000002</v>
      </c>
      <c r="AG21" s="2">
        <v>1.03932</v>
      </c>
      <c r="AH21" s="2">
        <v>3.4000000000000002E-2</v>
      </c>
      <c r="AI21" s="2">
        <v>5.0999999999999997E-2</v>
      </c>
      <c r="AJ21" s="2">
        <v>1E-3</v>
      </c>
      <c r="AK21" s="2">
        <v>0.22</v>
      </c>
      <c r="AL21" s="2">
        <v>28.7</v>
      </c>
      <c r="AM21" s="2">
        <v>8.0000000000000002E-3</v>
      </c>
      <c r="AN21" s="2">
        <v>9.2999999999999999E-2</v>
      </c>
      <c r="AO21" s="2">
        <v>0.33300000000000002</v>
      </c>
      <c r="AP21" s="2">
        <v>0.34699999999999998</v>
      </c>
      <c r="AQ21" s="2">
        <v>0</v>
      </c>
      <c r="AR21" s="2">
        <v>0</v>
      </c>
      <c r="AS21" s="2">
        <v>0.30099999999999999</v>
      </c>
      <c r="AT21" s="2">
        <v>8.0000000000000002E-3</v>
      </c>
      <c r="AU21" s="2">
        <v>2.806</v>
      </c>
      <c r="AV21" s="2">
        <v>0.85072000000000003</v>
      </c>
      <c r="AW21" s="2">
        <v>0.96508000000000005</v>
      </c>
      <c r="AX21" s="2">
        <v>2.5999999999999999E-2</v>
      </c>
    </row>
    <row r="22" spans="1:50" x14ac:dyDescent="0.3">
      <c r="A22" s="2" t="s">
        <v>60</v>
      </c>
      <c r="B22" s="2">
        <v>11.33</v>
      </c>
      <c r="C22" s="2">
        <v>282.7</v>
      </c>
      <c r="D22" s="2">
        <v>4074</v>
      </c>
      <c r="E22" s="2">
        <v>341.8</v>
      </c>
      <c r="F22" s="2">
        <v>2799</v>
      </c>
      <c r="G22" s="2">
        <v>62550</v>
      </c>
      <c r="H22" s="2">
        <v>63700</v>
      </c>
      <c r="I22" s="2">
        <v>294.7</v>
      </c>
      <c r="J22" s="2">
        <v>2.2639999999999998</v>
      </c>
      <c r="K22" s="2">
        <v>2.222</v>
      </c>
      <c r="L22" s="2">
        <v>99.59</v>
      </c>
      <c r="M22" s="2">
        <v>824</v>
      </c>
      <c r="N22" s="2">
        <v>0.5</v>
      </c>
      <c r="O22" s="2">
        <v>2.085</v>
      </c>
      <c r="P22" s="2">
        <v>29.02</v>
      </c>
      <c r="Q22" s="2">
        <v>39.19</v>
      </c>
      <c r="R22" s="2">
        <v>0.85499999999999998</v>
      </c>
      <c r="S22" s="2">
        <v>0.88185000000000002</v>
      </c>
      <c r="T22" s="2">
        <v>0.88702000000000003</v>
      </c>
      <c r="U22" s="2">
        <v>0.26500000000000001</v>
      </c>
      <c r="V22" s="2">
        <v>3.7240000000000002</v>
      </c>
      <c r="W22" s="2">
        <v>38.1</v>
      </c>
      <c r="X22" s="2">
        <v>183.3</v>
      </c>
      <c r="Y22" s="2">
        <v>7.0000000000000007E-2</v>
      </c>
      <c r="Z22" s="2">
        <v>1.4239999999999999</v>
      </c>
      <c r="AA22" s="2">
        <v>1E-3</v>
      </c>
      <c r="AB22" s="2">
        <v>7.0000000000000001E-3</v>
      </c>
      <c r="AC22" s="2">
        <v>9.6000000000000002E-2</v>
      </c>
      <c r="AD22" s="2">
        <v>3.3610000000000002</v>
      </c>
      <c r="AE22" s="2">
        <v>5.7000000000000002E-2</v>
      </c>
      <c r="AF22" s="2">
        <v>0.93486000000000002</v>
      </c>
      <c r="AG22" s="2">
        <v>1.02156</v>
      </c>
      <c r="AH22" s="2">
        <v>0.106</v>
      </c>
      <c r="AI22" s="2">
        <v>0.32400000000000001</v>
      </c>
      <c r="AJ22" s="2">
        <v>3.0000000000000001E-3</v>
      </c>
      <c r="AK22" s="2">
        <v>0.39</v>
      </c>
      <c r="AL22" s="2">
        <v>25.27</v>
      </c>
      <c r="AM22" s="2">
        <v>1.2E-2</v>
      </c>
      <c r="AN22" s="2">
        <v>0.109</v>
      </c>
      <c r="AO22" s="2">
        <v>9.0999999999999998E-2</v>
      </c>
      <c r="AP22" s="2">
        <v>9.2999999999999999E-2</v>
      </c>
      <c r="AQ22" s="2">
        <v>0</v>
      </c>
      <c r="AR22" s="2">
        <v>0</v>
      </c>
      <c r="AS22" s="2">
        <v>0.28100000000000003</v>
      </c>
      <c r="AT22" s="2">
        <v>1.7999999999999999E-2</v>
      </c>
      <c r="AU22" s="2">
        <v>1.5549999999999999</v>
      </c>
      <c r="AV22" s="2">
        <v>0.83738000000000001</v>
      </c>
      <c r="AW22" s="2">
        <v>0.95052999999999999</v>
      </c>
      <c r="AX22" s="2">
        <v>3.1E-2</v>
      </c>
    </row>
    <row r="23" spans="1:50" x14ac:dyDescent="0.3">
      <c r="A23" s="2" t="s">
        <v>61</v>
      </c>
      <c r="B23" s="2">
        <v>16.18</v>
      </c>
      <c r="C23" s="2">
        <v>467.6</v>
      </c>
      <c r="D23" s="2">
        <v>5811</v>
      </c>
      <c r="E23" s="2">
        <v>252.3</v>
      </c>
      <c r="F23" s="2">
        <v>3403</v>
      </c>
      <c r="G23" s="2">
        <v>48420</v>
      </c>
      <c r="H23" s="2">
        <v>63380</v>
      </c>
      <c r="I23" s="2">
        <v>279</v>
      </c>
      <c r="J23" s="2">
        <v>1.968</v>
      </c>
      <c r="K23" s="2">
        <v>1.873</v>
      </c>
      <c r="L23" s="2">
        <v>163.9</v>
      </c>
      <c r="M23" s="2">
        <v>505.4</v>
      </c>
      <c r="N23" s="2">
        <v>0.68899999999999995</v>
      </c>
      <c r="O23" s="2">
        <v>2.996</v>
      </c>
      <c r="P23" s="2">
        <v>12.78</v>
      </c>
      <c r="Q23" s="2">
        <v>13.8</v>
      </c>
      <c r="R23" s="2">
        <v>1.534</v>
      </c>
      <c r="S23" s="2">
        <v>0.89566000000000001</v>
      </c>
      <c r="T23" s="2">
        <v>0.90444999999999998</v>
      </c>
      <c r="U23" s="2">
        <v>0.128</v>
      </c>
      <c r="V23" s="2">
        <v>5.6029999999999998</v>
      </c>
      <c r="W23" s="2">
        <v>13.55</v>
      </c>
      <c r="X23" s="2">
        <v>322.10000000000002</v>
      </c>
      <c r="Y23" s="2">
        <v>3.4000000000000002E-2</v>
      </c>
      <c r="Z23" s="2">
        <v>1.802</v>
      </c>
      <c r="AA23" s="2">
        <v>3.0000000000000001E-3</v>
      </c>
      <c r="AB23" s="2">
        <v>1.2E-2</v>
      </c>
      <c r="AC23" s="2">
        <v>0.17199999999999999</v>
      </c>
      <c r="AD23" s="2">
        <v>3.64</v>
      </c>
      <c r="AE23" s="2">
        <v>0.10199999999999999</v>
      </c>
      <c r="AF23" s="2">
        <v>0.93381000000000003</v>
      </c>
      <c r="AG23" s="2">
        <v>1.03477</v>
      </c>
      <c r="AH23" s="2">
        <v>-1.2999999999999999E-2</v>
      </c>
      <c r="AI23" s="2">
        <v>-1.2999999999999999E-2</v>
      </c>
      <c r="AJ23" s="2">
        <v>3.0000000000000001E-3</v>
      </c>
      <c r="AK23" s="2">
        <v>0.17100000000000001</v>
      </c>
      <c r="AL23" s="2">
        <v>49.98</v>
      </c>
      <c r="AM23" s="2">
        <v>7.0000000000000001E-3</v>
      </c>
      <c r="AN23" s="2">
        <v>0.223</v>
      </c>
      <c r="AO23" s="2">
        <v>0.28799999999999998</v>
      </c>
      <c r="AP23" s="2">
        <v>0.29699999999999999</v>
      </c>
      <c r="AQ23" s="2">
        <v>0</v>
      </c>
      <c r="AR23" s="2">
        <v>0</v>
      </c>
      <c r="AS23" s="2">
        <v>0.379</v>
      </c>
      <c r="AT23" s="2">
        <v>6.0000000000000001E-3</v>
      </c>
      <c r="AU23" s="2">
        <v>0.65400000000000003</v>
      </c>
      <c r="AV23" s="2">
        <v>0.85272999999999999</v>
      </c>
      <c r="AW23" s="2">
        <v>0.97296000000000005</v>
      </c>
      <c r="AX23" s="2">
        <v>1.6E-2</v>
      </c>
    </row>
    <row r="24" spans="1:50" x14ac:dyDescent="0.3">
      <c r="A24" s="2" t="s">
        <v>62</v>
      </c>
      <c r="B24" s="2">
        <v>19.46</v>
      </c>
      <c r="C24" s="2">
        <v>506.3</v>
      </c>
      <c r="D24" s="2">
        <v>6350</v>
      </c>
      <c r="E24" s="2">
        <v>227.1</v>
      </c>
      <c r="F24" s="2">
        <v>2761</v>
      </c>
      <c r="G24" s="2">
        <v>46770</v>
      </c>
      <c r="H24" s="2">
        <v>68730</v>
      </c>
      <c r="I24" s="2">
        <v>301.8</v>
      </c>
      <c r="J24" s="2">
        <v>2.6230000000000002</v>
      </c>
      <c r="K24" s="2">
        <v>2.5070000000000001</v>
      </c>
      <c r="L24" s="2">
        <v>181.4</v>
      </c>
      <c r="M24" s="2">
        <v>546</v>
      </c>
      <c r="N24" s="2">
        <v>0.623</v>
      </c>
      <c r="O24" s="2">
        <v>2.08</v>
      </c>
      <c r="P24" s="2">
        <v>16.760000000000002</v>
      </c>
      <c r="Q24" s="2">
        <v>13.86</v>
      </c>
      <c r="R24" s="2">
        <v>1.1599999999999999</v>
      </c>
      <c r="S24" s="2">
        <v>0.89556999999999998</v>
      </c>
      <c r="T24" s="2">
        <v>0.92296999999999996</v>
      </c>
      <c r="U24" s="2">
        <v>0.193</v>
      </c>
      <c r="V24" s="2">
        <v>9.2680000000000007</v>
      </c>
      <c r="W24" s="2">
        <v>18.899999999999999</v>
      </c>
      <c r="X24" s="2">
        <v>373</v>
      </c>
      <c r="Y24" s="2">
        <v>4.3999999999999997E-2</v>
      </c>
      <c r="Z24" s="2">
        <v>2.2109999999999999</v>
      </c>
      <c r="AA24" s="2">
        <v>3.0000000000000001E-3</v>
      </c>
      <c r="AB24" s="2">
        <v>1.4E-2</v>
      </c>
      <c r="AC24" s="2">
        <v>0.20899999999999999</v>
      </c>
      <c r="AD24" s="2">
        <v>3.6549999999999998</v>
      </c>
      <c r="AE24" s="2">
        <v>7.5999999999999998E-2</v>
      </c>
      <c r="AF24" s="2">
        <v>0.95220000000000005</v>
      </c>
      <c r="AG24" s="2">
        <v>1.0706800000000001</v>
      </c>
      <c r="AH24" s="2">
        <v>5.1999999999999998E-2</v>
      </c>
      <c r="AI24" s="2">
        <v>-1.0999999999999999E-2</v>
      </c>
      <c r="AJ24" s="2">
        <v>5.0000000000000001E-3</v>
      </c>
      <c r="AK24" s="2">
        <v>0.224</v>
      </c>
      <c r="AL24" s="2">
        <v>37.1</v>
      </c>
      <c r="AM24" s="2">
        <v>7.0000000000000001E-3</v>
      </c>
      <c r="AN24" s="2">
        <v>0.182</v>
      </c>
      <c r="AO24" s="2">
        <v>0.56699999999999995</v>
      </c>
      <c r="AP24" s="2">
        <v>0.56699999999999995</v>
      </c>
      <c r="AQ24" s="2">
        <v>0</v>
      </c>
      <c r="AR24" s="2">
        <v>0</v>
      </c>
      <c r="AS24" s="2">
        <v>0.30199999999999999</v>
      </c>
      <c r="AT24" s="2">
        <v>8.0000000000000002E-3</v>
      </c>
      <c r="AU24" s="2">
        <v>1.321</v>
      </c>
      <c r="AV24" s="2">
        <v>0.85794000000000004</v>
      </c>
      <c r="AW24" s="2">
        <v>0.98824000000000001</v>
      </c>
      <c r="AX24" s="2">
        <v>0.02</v>
      </c>
    </row>
    <row r="25" spans="1:50" x14ac:dyDescent="0.3">
      <c r="A25" s="2" t="s">
        <v>63</v>
      </c>
      <c r="B25" s="2">
        <v>14.75</v>
      </c>
      <c r="C25" s="2">
        <v>236.2</v>
      </c>
      <c r="D25" s="2">
        <v>5031</v>
      </c>
      <c r="E25" s="2">
        <v>329.6</v>
      </c>
      <c r="F25" s="2">
        <v>3272</v>
      </c>
      <c r="G25" s="2">
        <v>64230</v>
      </c>
      <c r="H25" s="2">
        <v>58690</v>
      </c>
      <c r="I25" s="2">
        <v>273.39999999999998</v>
      </c>
      <c r="J25" s="2">
        <v>2.8250000000000002</v>
      </c>
      <c r="K25" s="2">
        <v>2.21</v>
      </c>
      <c r="L25" s="2">
        <v>186.8</v>
      </c>
      <c r="M25" s="2">
        <v>681.6</v>
      </c>
      <c r="N25" s="2">
        <v>1.194</v>
      </c>
      <c r="O25" s="2">
        <v>5.6310000000000002</v>
      </c>
      <c r="P25" s="2">
        <v>24.78</v>
      </c>
      <c r="Q25" s="2">
        <v>10.18</v>
      </c>
      <c r="R25" s="2">
        <v>1.6930000000000001</v>
      </c>
      <c r="S25" s="2">
        <v>0.88712000000000002</v>
      </c>
      <c r="T25" s="2">
        <v>0.89744999999999997</v>
      </c>
      <c r="U25" s="2">
        <v>0.17799999999999999</v>
      </c>
      <c r="V25" s="2">
        <v>14</v>
      </c>
      <c r="W25" s="2">
        <v>22.39</v>
      </c>
      <c r="X25" s="2">
        <v>358.9</v>
      </c>
      <c r="Y25" s="2">
        <v>5.8999999999999997E-2</v>
      </c>
      <c r="Z25" s="2">
        <v>1.333</v>
      </c>
      <c r="AA25" s="2">
        <v>2E-3</v>
      </c>
      <c r="AB25" s="2">
        <v>1.4E-2</v>
      </c>
      <c r="AC25" s="2">
        <v>0.191</v>
      </c>
      <c r="AD25" s="2">
        <v>3.3159999999999998</v>
      </c>
      <c r="AE25" s="2">
        <v>9.4E-2</v>
      </c>
      <c r="AF25" s="2">
        <v>0.93849000000000005</v>
      </c>
      <c r="AG25" s="2">
        <v>1.04233</v>
      </c>
      <c r="AH25" s="2">
        <v>1.2999999999999999E-2</v>
      </c>
      <c r="AI25" s="2">
        <v>-1.2E-2</v>
      </c>
      <c r="AJ25" s="2">
        <v>0</v>
      </c>
      <c r="AK25" s="2">
        <v>0.188</v>
      </c>
      <c r="AL25" s="2">
        <v>55.28</v>
      </c>
      <c r="AM25" s="2">
        <v>1.2999999999999999E-2</v>
      </c>
      <c r="AN25" s="2">
        <v>0.223</v>
      </c>
      <c r="AO25" s="2">
        <v>0.41199999999999998</v>
      </c>
      <c r="AP25" s="2">
        <v>0.42199999999999999</v>
      </c>
      <c r="AQ25" s="2">
        <v>0</v>
      </c>
      <c r="AR25" s="2">
        <v>0</v>
      </c>
      <c r="AS25" s="2">
        <v>0.32300000000000001</v>
      </c>
      <c r="AT25" s="2">
        <v>7.0000000000000001E-3</v>
      </c>
      <c r="AU25" s="2">
        <v>0.72599999999999998</v>
      </c>
      <c r="AV25" s="2">
        <v>0.84941999999999995</v>
      </c>
      <c r="AW25" s="2">
        <v>0.97421000000000002</v>
      </c>
      <c r="AX25" s="2">
        <v>2.1999999999999999E-2</v>
      </c>
    </row>
    <row r="26" spans="1:50" x14ac:dyDescent="0.3">
      <c r="A26" s="2" t="s">
        <v>64</v>
      </c>
      <c r="B26" s="2">
        <v>11.53</v>
      </c>
      <c r="C26" s="2">
        <v>335.9</v>
      </c>
      <c r="D26" s="2">
        <v>4845</v>
      </c>
      <c r="E26" s="2">
        <v>275.10000000000002</v>
      </c>
      <c r="F26" s="2">
        <v>3059</v>
      </c>
      <c r="G26" s="2">
        <v>50080</v>
      </c>
      <c r="H26" s="2">
        <v>55660</v>
      </c>
      <c r="I26" s="2">
        <v>254.5</v>
      </c>
      <c r="J26" s="2">
        <v>2.367</v>
      </c>
      <c r="K26" s="2">
        <v>1.9279999999999999</v>
      </c>
      <c r="L26" s="2">
        <v>152.9</v>
      </c>
      <c r="M26" s="2">
        <v>586.20000000000005</v>
      </c>
      <c r="N26" s="2">
        <v>0.79</v>
      </c>
      <c r="O26" s="2">
        <v>2.9369999999999998</v>
      </c>
      <c r="P26" s="2">
        <v>14.89</v>
      </c>
      <c r="Q26" s="2">
        <v>10.83</v>
      </c>
      <c r="R26" s="2">
        <v>1.583</v>
      </c>
      <c r="S26" s="2">
        <v>0.88970000000000005</v>
      </c>
      <c r="T26" s="2">
        <v>0.90917000000000003</v>
      </c>
      <c r="U26" s="2">
        <v>0.16600000000000001</v>
      </c>
      <c r="V26" s="2">
        <v>3.1880000000000002</v>
      </c>
      <c r="W26" s="2">
        <v>19.670000000000002</v>
      </c>
      <c r="X26" s="2">
        <v>252.4</v>
      </c>
      <c r="Y26" s="2">
        <v>3.5999999999999997E-2</v>
      </c>
      <c r="Z26" s="2">
        <v>0.68799999999999994</v>
      </c>
      <c r="AA26" s="2">
        <v>2E-3</v>
      </c>
      <c r="AB26" s="2">
        <v>8.9999999999999993E-3</v>
      </c>
      <c r="AC26" s="2">
        <v>0.13300000000000001</v>
      </c>
      <c r="AD26" s="2">
        <v>3.38</v>
      </c>
      <c r="AE26" s="2">
        <v>4.7E-2</v>
      </c>
      <c r="AF26" s="2">
        <v>0.92976999999999999</v>
      </c>
      <c r="AG26" s="2">
        <v>1.0515000000000001</v>
      </c>
      <c r="AH26" s="2">
        <v>-0.01</v>
      </c>
      <c r="AI26" s="2">
        <v>-1.4999999999999999E-2</v>
      </c>
      <c r="AJ26" s="2">
        <v>6.0000000000000001E-3</v>
      </c>
      <c r="AK26" s="2">
        <v>0.159</v>
      </c>
      <c r="AL26" s="2">
        <v>51.01</v>
      </c>
      <c r="AM26" s="2">
        <v>7.0000000000000001E-3</v>
      </c>
      <c r="AN26" s="2">
        <v>0.16700000000000001</v>
      </c>
      <c r="AO26" s="2">
        <v>0.20100000000000001</v>
      </c>
      <c r="AP26" s="2">
        <v>0.2</v>
      </c>
      <c r="AQ26" s="2">
        <v>0</v>
      </c>
      <c r="AR26" s="2">
        <v>0</v>
      </c>
      <c r="AS26" s="2">
        <v>0.32400000000000001</v>
      </c>
      <c r="AT26" s="2">
        <v>8.9999999999999993E-3</v>
      </c>
      <c r="AU26" s="2">
        <v>0.878</v>
      </c>
      <c r="AV26" s="2">
        <v>0.87561</v>
      </c>
      <c r="AW26" s="2">
        <v>0.99072000000000005</v>
      </c>
      <c r="AX26" s="2">
        <v>1.7000000000000001E-2</v>
      </c>
    </row>
    <row r="27" spans="1:50" x14ac:dyDescent="0.3">
      <c r="A27" s="2" t="s">
        <v>65</v>
      </c>
      <c r="B27" s="2">
        <v>15.01</v>
      </c>
      <c r="C27" s="2">
        <v>356</v>
      </c>
      <c r="D27" s="2">
        <v>4408</v>
      </c>
      <c r="E27" s="2">
        <v>212.6</v>
      </c>
      <c r="F27" s="2">
        <v>2883</v>
      </c>
      <c r="G27" s="2">
        <v>65760</v>
      </c>
      <c r="H27" s="2">
        <v>63930</v>
      </c>
      <c r="I27" s="2">
        <v>284.60000000000002</v>
      </c>
      <c r="J27" s="2">
        <v>2.8159999999999998</v>
      </c>
      <c r="K27" s="2">
        <v>2.4039999999999999</v>
      </c>
      <c r="L27" s="2">
        <v>163</v>
      </c>
      <c r="M27" s="2">
        <v>505.2</v>
      </c>
      <c r="N27" s="2">
        <v>0.57899999999999996</v>
      </c>
      <c r="O27" s="2">
        <v>1.968</v>
      </c>
      <c r="P27" s="2">
        <v>12.51</v>
      </c>
      <c r="Q27" s="2">
        <v>15.23</v>
      </c>
      <c r="R27" s="2">
        <v>1.758</v>
      </c>
      <c r="S27" s="2">
        <v>0.87300999999999995</v>
      </c>
      <c r="T27" s="2">
        <v>0.90903</v>
      </c>
      <c r="U27" s="2">
        <v>0.13500000000000001</v>
      </c>
      <c r="V27" s="2">
        <v>5.5919999999999996</v>
      </c>
      <c r="W27" s="2">
        <v>14.29</v>
      </c>
      <c r="X27" s="2">
        <v>228.7</v>
      </c>
      <c r="Y27" s="2">
        <v>3.9E-2</v>
      </c>
      <c r="Z27" s="2">
        <v>0.80700000000000005</v>
      </c>
      <c r="AA27" s="2">
        <v>1E-3</v>
      </c>
      <c r="AB27" s="2">
        <v>8.9999999999999993E-3</v>
      </c>
      <c r="AC27" s="2">
        <v>0.121</v>
      </c>
      <c r="AD27" s="2">
        <v>3.3210000000000002</v>
      </c>
      <c r="AE27" s="2">
        <v>6.7000000000000004E-2</v>
      </c>
      <c r="AF27" s="2">
        <v>0.93535000000000001</v>
      </c>
      <c r="AG27" s="2">
        <v>1.0716000000000001</v>
      </c>
      <c r="AH27" s="2">
        <v>7.8E-2</v>
      </c>
      <c r="AI27" s="2">
        <v>-1.0999999999999999E-2</v>
      </c>
      <c r="AJ27" s="2">
        <v>4.0000000000000001E-3</v>
      </c>
      <c r="AK27" s="2">
        <v>0.14699999999999999</v>
      </c>
      <c r="AL27" s="2">
        <v>58.92</v>
      </c>
      <c r="AM27" s="2">
        <v>8.9999999999999993E-3</v>
      </c>
      <c r="AN27" s="2">
        <v>0.14000000000000001</v>
      </c>
      <c r="AO27" s="2">
        <v>0.17399999999999999</v>
      </c>
      <c r="AP27" s="2">
        <v>0.17599999999999999</v>
      </c>
      <c r="AQ27" s="2">
        <v>0</v>
      </c>
      <c r="AR27" s="2">
        <v>0</v>
      </c>
      <c r="AS27" s="2">
        <v>0.30499999999999999</v>
      </c>
      <c r="AT27" s="2">
        <v>8.0000000000000002E-3</v>
      </c>
      <c r="AU27" s="2">
        <v>1.671</v>
      </c>
      <c r="AV27" s="2">
        <v>0.86592000000000002</v>
      </c>
      <c r="AW27" s="2">
        <v>0.99195</v>
      </c>
      <c r="AX27" s="2">
        <v>1.9E-2</v>
      </c>
    </row>
    <row r="28" spans="1:50" x14ac:dyDescent="0.3">
      <c r="A28" s="2" t="s">
        <v>66</v>
      </c>
      <c r="B28" s="2">
        <v>5.9169999999999998</v>
      </c>
      <c r="C28" s="2">
        <v>187.6</v>
      </c>
      <c r="D28" s="2">
        <v>7005</v>
      </c>
      <c r="E28" s="2">
        <v>58.69</v>
      </c>
      <c r="F28" s="2">
        <v>3368</v>
      </c>
      <c r="G28" s="2">
        <v>61080</v>
      </c>
      <c r="H28" s="2">
        <v>67370</v>
      </c>
      <c r="I28" s="2">
        <v>288.7</v>
      </c>
      <c r="J28" s="2">
        <v>1.2649999999999999</v>
      </c>
      <c r="K28" s="2">
        <v>1.796</v>
      </c>
      <c r="L28" s="2">
        <v>246.7</v>
      </c>
      <c r="M28" s="2">
        <v>251.9</v>
      </c>
      <c r="N28" s="2">
        <v>0.32400000000000001</v>
      </c>
      <c r="O28" s="2">
        <v>2.3849999999999998</v>
      </c>
      <c r="P28" s="2">
        <v>22.69</v>
      </c>
      <c r="Q28" s="2">
        <v>115.2</v>
      </c>
      <c r="R28" s="2">
        <v>29.04</v>
      </c>
      <c r="S28" s="2">
        <v>0.86141999999999996</v>
      </c>
      <c r="T28" s="2">
        <v>0.88473999999999997</v>
      </c>
      <c r="U28" s="2">
        <v>0.25900000000000001</v>
      </c>
      <c r="V28" s="2">
        <v>3.08</v>
      </c>
      <c r="W28" s="2">
        <v>49.7</v>
      </c>
      <c r="X28" s="2">
        <v>342</v>
      </c>
      <c r="Y28" s="2">
        <v>0.01</v>
      </c>
      <c r="Z28" s="2">
        <v>1.3779999999999999</v>
      </c>
      <c r="AA28" s="2">
        <v>2E-3</v>
      </c>
      <c r="AB28" s="2">
        <v>1.2E-2</v>
      </c>
      <c r="AC28" s="2">
        <v>0.16900000000000001</v>
      </c>
      <c r="AD28" s="2">
        <v>3.3420000000000001</v>
      </c>
      <c r="AE28" s="2">
        <v>7.8E-2</v>
      </c>
      <c r="AF28" s="2">
        <v>0.91681000000000001</v>
      </c>
      <c r="AG28" s="2">
        <v>1.0331399999999999</v>
      </c>
      <c r="AH28" s="2">
        <v>5.6000000000000001E-2</v>
      </c>
      <c r="AI28" s="2">
        <v>-3.5000000000000003E-2</v>
      </c>
      <c r="AJ28" s="2">
        <v>4.0000000000000001E-3</v>
      </c>
      <c r="AK28" s="2">
        <v>0.27400000000000002</v>
      </c>
      <c r="AL28" s="2">
        <v>1076</v>
      </c>
      <c r="AM28" s="2">
        <v>3.0000000000000001E-3</v>
      </c>
      <c r="AN28" s="2">
        <v>2.5000000000000001E-2</v>
      </c>
      <c r="AO28" s="2">
        <v>2.1000000000000001E-2</v>
      </c>
      <c r="AP28" s="2">
        <v>2.1000000000000001E-2</v>
      </c>
      <c r="AQ28" s="2">
        <v>0</v>
      </c>
      <c r="AR28" s="2">
        <v>0</v>
      </c>
      <c r="AS28" s="2">
        <v>0.27200000000000002</v>
      </c>
      <c r="AT28" s="2">
        <v>0.2</v>
      </c>
      <c r="AU28" s="2">
        <v>0.50600000000000001</v>
      </c>
      <c r="AV28" s="2">
        <v>0.83328000000000002</v>
      </c>
      <c r="AW28" s="2">
        <v>0.96686000000000005</v>
      </c>
      <c r="AX28" s="2">
        <v>6.0000000000000001E-3</v>
      </c>
    </row>
    <row r="29" spans="1:50" x14ac:dyDescent="0.3">
      <c r="A29" s="2" t="s">
        <v>52</v>
      </c>
      <c r="B29" s="2">
        <v>5.9009999999999998</v>
      </c>
      <c r="C29" s="2">
        <v>43.15</v>
      </c>
      <c r="D29" s="2">
        <v>8065</v>
      </c>
      <c r="E29" s="2">
        <v>93.36</v>
      </c>
      <c r="F29" s="2">
        <v>5090</v>
      </c>
      <c r="G29" s="2">
        <v>62380</v>
      </c>
      <c r="H29" s="2">
        <v>67580</v>
      </c>
      <c r="I29" s="2">
        <v>295.89999999999998</v>
      </c>
      <c r="J29" s="2">
        <v>0.92600000000000005</v>
      </c>
      <c r="K29" s="2">
        <v>1.2090000000000001</v>
      </c>
      <c r="L29" s="2">
        <v>237.2</v>
      </c>
      <c r="M29" s="2">
        <v>403.9</v>
      </c>
      <c r="N29" s="2">
        <v>0.71399999999999997</v>
      </c>
      <c r="O29" s="2">
        <v>1.901</v>
      </c>
      <c r="P29" s="2">
        <v>16.62</v>
      </c>
      <c r="Q29" s="2">
        <v>64.61</v>
      </c>
      <c r="R29" s="2">
        <v>24.55</v>
      </c>
      <c r="S29" s="2">
        <v>0.87407000000000001</v>
      </c>
      <c r="T29" s="2">
        <v>0.88607999999999998</v>
      </c>
      <c r="U29" s="2">
        <v>0.371</v>
      </c>
      <c r="V29" s="2">
        <v>1.651</v>
      </c>
      <c r="W29" s="2">
        <v>21.3</v>
      </c>
      <c r="X29" s="2">
        <v>240.2</v>
      </c>
      <c r="Y29" s="2">
        <v>1.7000000000000001E-2</v>
      </c>
      <c r="Z29" s="2">
        <v>1.0580000000000001</v>
      </c>
      <c r="AA29" s="2">
        <v>2E-3</v>
      </c>
      <c r="AB29" s="2">
        <v>8.0000000000000002E-3</v>
      </c>
      <c r="AC29" s="2">
        <v>0.12</v>
      </c>
      <c r="AD29" s="2">
        <v>3.294</v>
      </c>
      <c r="AE29" s="2">
        <v>9.4E-2</v>
      </c>
      <c r="AF29" s="2">
        <v>0.92176000000000002</v>
      </c>
      <c r="AG29" s="2">
        <v>1.0260400000000001</v>
      </c>
      <c r="AH29" s="2">
        <v>-4.0000000000000001E-3</v>
      </c>
      <c r="AI29" s="2">
        <v>-2.5000000000000001E-2</v>
      </c>
      <c r="AJ29" s="2">
        <v>0</v>
      </c>
      <c r="AK29" s="2">
        <v>0.14799999999999999</v>
      </c>
      <c r="AL29" s="2">
        <v>903.4</v>
      </c>
      <c r="AM29" s="2">
        <v>4.0000000000000001E-3</v>
      </c>
      <c r="AN29" s="2">
        <v>9.7000000000000003E-2</v>
      </c>
      <c r="AO29" s="2">
        <v>5.8000000000000003E-2</v>
      </c>
      <c r="AP29" s="2">
        <v>6.2E-2</v>
      </c>
      <c r="AQ29" s="2">
        <v>0</v>
      </c>
      <c r="AR29" s="2">
        <v>0</v>
      </c>
      <c r="AS29" s="2">
        <v>0.27300000000000002</v>
      </c>
      <c r="AT29" s="2">
        <v>0.05</v>
      </c>
      <c r="AU29" s="2">
        <v>0.50700000000000001</v>
      </c>
      <c r="AV29" s="2">
        <v>0.84223999999999999</v>
      </c>
      <c r="AW29" s="2">
        <v>0.96774000000000004</v>
      </c>
      <c r="AX29" s="2">
        <v>8.9999999999999993E-3</v>
      </c>
    </row>
    <row r="30" spans="1:50" x14ac:dyDescent="0.3">
      <c r="A30" s="2" t="s">
        <v>53</v>
      </c>
      <c r="B30" s="2">
        <v>7.0170000000000003</v>
      </c>
      <c r="C30" s="2">
        <v>235.3</v>
      </c>
      <c r="D30" s="2">
        <v>7793</v>
      </c>
      <c r="E30" s="2">
        <v>176.5</v>
      </c>
      <c r="F30" s="2">
        <v>5067</v>
      </c>
      <c r="G30" s="2">
        <v>63760</v>
      </c>
      <c r="H30" s="2">
        <v>70130</v>
      </c>
      <c r="I30" s="2">
        <v>299.89999999999998</v>
      </c>
      <c r="J30" s="2">
        <v>1.7070000000000001</v>
      </c>
      <c r="K30" s="2">
        <v>2.3690000000000002</v>
      </c>
      <c r="L30" s="2">
        <v>219.7</v>
      </c>
      <c r="M30" s="2">
        <v>619</v>
      </c>
      <c r="N30" s="2">
        <v>0.59899999999999998</v>
      </c>
      <c r="O30" s="2">
        <v>2.4620000000000002</v>
      </c>
      <c r="P30" s="2">
        <v>19.920000000000002</v>
      </c>
      <c r="Q30" s="2">
        <v>43.44</v>
      </c>
      <c r="R30" s="2">
        <v>6.0759999999999996</v>
      </c>
      <c r="S30" s="2">
        <v>0.86417999999999995</v>
      </c>
      <c r="T30" s="2">
        <v>0.88549</v>
      </c>
      <c r="U30" s="2">
        <v>0.17499999999999999</v>
      </c>
      <c r="V30" s="2">
        <v>2.5790000000000002</v>
      </c>
      <c r="W30" s="2">
        <v>14.13</v>
      </c>
      <c r="X30" s="2">
        <v>319</v>
      </c>
      <c r="Y30" s="2">
        <v>1.7999999999999999E-2</v>
      </c>
      <c r="Z30" s="2">
        <v>0.67400000000000004</v>
      </c>
      <c r="AA30" s="2">
        <v>2E-3</v>
      </c>
      <c r="AB30" s="2">
        <v>1.0999999999999999E-2</v>
      </c>
      <c r="AC30" s="2">
        <v>0.159</v>
      </c>
      <c r="AD30" s="2">
        <v>3.3159999999999998</v>
      </c>
      <c r="AE30" s="2">
        <v>0.123</v>
      </c>
      <c r="AF30" s="2">
        <v>0.91174999999999995</v>
      </c>
      <c r="AG30" s="2">
        <v>1.0448299999999999</v>
      </c>
      <c r="AH30" s="2">
        <v>0.214</v>
      </c>
      <c r="AI30" s="2">
        <v>-3.1E-2</v>
      </c>
      <c r="AJ30" s="2">
        <v>1E-3</v>
      </c>
      <c r="AK30" s="2">
        <v>5.7000000000000002E-2</v>
      </c>
      <c r="AL30" s="2">
        <v>223.5</v>
      </c>
      <c r="AM30" s="2">
        <v>6.0000000000000001E-3</v>
      </c>
      <c r="AN30" s="2">
        <v>3.4000000000000002E-2</v>
      </c>
      <c r="AO30" s="2">
        <v>3.4000000000000002E-2</v>
      </c>
      <c r="AP30" s="2">
        <v>3.4000000000000002E-2</v>
      </c>
      <c r="AQ30" s="2">
        <v>0</v>
      </c>
      <c r="AR30" s="2">
        <v>0</v>
      </c>
      <c r="AS30" s="2">
        <v>0.27700000000000002</v>
      </c>
      <c r="AT30" s="2">
        <v>3.2000000000000001E-2</v>
      </c>
      <c r="AU30" s="2">
        <v>0.58199999999999996</v>
      </c>
      <c r="AV30" s="2">
        <v>0.83809999999999996</v>
      </c>
      <c r="AW30" s="2">
        <v>0.97919999999999996</v>
      </c>
      <c r="AX30" s="2">
        <v>1.4E-2</v>
      </c>
    </row>
    <row r="31" spans="1:50" x14ac:dyDescent="0.3">
      <c r="A31" s="2" t="s">
        <v>54</v>
      </c>
      <c r="B31" s="2">
        <v>7.2510000000000003</v>
      </c>
      <c r="C31" s="2">
        <v>47.06</v>
      </c>
      <c r="D31" s="2">
        <v>11280</v>
      </c>
      <c r="E31" s="2">
        <v>63.82</v>
      </c>
      <c r="F31" s="2">
        <v>5679</v>
      </c>
      <c r="G31" s="2">
        <v>68940</v>
      </c>
      <c r="H31" s="2">
        <v>88160</v>
      </c>
      <c r="I31" s="2">
        <v>371.1</v>
      </c>
      <c r="J31" s="2">
        <v>0.84099999999999997</v>
      </c>
      <c r="K31" s="2">
        <v>1.022</v>
      </c>
      <c r="L31" s="2">
        <v>263.10000000000002</v>
      </c>
      <c r="M31" s="2">
        <v>168</v>
      </c>
      <c r="N31" s="2">
        <v>0.82499999999999996</v>
      </c>
      <c r="O31" s="2">
        <v>4.3789999999999996</v>
      </c>
      <c r="P31" s="2">
        <v>16.95</v>
      </c>
      <c r="Q31" s="2">
        <v>92.81</v>
      </c>
      <c r="R31" s="2">
        <v>41.85</v>
      </c>
      <c r="S31" s="2">
        <v>0.90283999999999998</v>
      </c>
      <c r="T31" s="2">
        <v>0.91251000000000004</v>
      </c>
      <c r="U31" s="2">
        <v>0.317</v>
      </c>
      <c r="V31" s="2">
        <v>2.512</v>
      </c>
      <c r="W31" s="2">
        <v>22.06</v>
      </c>
      <c r="X31" s="2">
        <v>647.79999999999995</v>
      </c>
      <c r="Y31" s="2">
        <v>3.0000000000000001E-3</v>
      </c>
      <c r="Z31" s="2">
        <v>0.83399999999999996</v>
      </c>
      <c r="AA31" s="2">
        <v>4.0000000000000001E-3</v>
      </c>
      <c r="AB31" s="2">
        <v>2.1999999999999999E-2</v>
      </c>
      <c r="AC31" s="2">
        <v>0.32200000000000001</v>
      </c>
      <c r="AD31" s="2">
        <v>3.258</v>
      </c>
      <c r="AE31" s="2">
        <v>0.13</v>
      </c>
      <c r="AF31" s="2">
        <v>0.94284000000000001</v>
      </c>
      <c r="AG31" s="2">
        <v>1.0424599999999999</v>
      </c>
      <c r="AH31" s="2">
        <v>-8.9999999999999993E-3</v>
      </c>
      <c r="AI31" s="2">
        <v>-3.7999999999999999E-2</v>
      </c>
      <c r="AJ31" s="2">
        <v>2E-3</v>
      </c>
      <c r="AK31" s="2">
        <v>5.5E-2</v>
      </c>
      <c r="AL31" s="2">
        <v>1545</v>
      </c>
      <c r="AM31" s="2">
        <v>1E-3</v>
      </c>
      <c r="AN31" s="2">
        <v>3.5999999999999997E-2</v>
      </c>
      <c r="AO31" s="2">
        <v>1.0999999999999999E-2</v>
      </c>
      <c r="AP31" s="2">
        <v>1.0999999999999999E-2</v>
      </c>
      <c r="AQ31" s="2">
        <v>0</v>
      </c>
      <c r="AR31" s="2">
        <v>0</v>
      </c>
      <c r="AS31" s="2">
        <v>0.27600000000000002</v>
      </c>
      <c r="AT31" s="2">
        <v>3.6999999999999998E-2</v>
      </c>
      <c r="AU31" s="2">
        <v>0.26700000000000002</v>
      </c>
      <c r="AV31" s="2">
        <v>0.85028000000000004</v>
      </c>
      <c r="AW31" s="2">
        <v>0.97609000000000001</v>
      </c>
      <c r="AX31" s="2">
        <v>6.0000000000000001E-3</v>
      </c>
    </row>
    <row r="32" spans="1:50" x14ac:dyDescent="0.3">
      <c r="A32" s="2" t="s">
        <v>55</v>
      </c>
      <c r="B32" s="2">
        <v>5.17</v>
      </c>
      <c r="C32" s="2">
        <v>82.43</v>
      </c>
      <c r="D32" s="2">
        <v>6197</v>
      </c>
      <c r="E32" s="2">
        <v>56.48</v>
      </c>
      <c r="F32" s="2">
        <v>3986</v>
      </c>
      <c r="G32" s="2">
        <v>63320</v>
      </c>
      <c r="H32" s="2">
        <v>82190</v>
      </c>
      <c r="I32" s="2">
        <v>342.8</v>
      </c>
      <c r="J32" s="2">
        <v>1.0820000000000001</v>
      </c>
      <c r="K32" s="2">
        <v>1.827</v>
      </c>
      <c r="L32" s="2">
        <v>166.9</v>
      </c>
      <c r="M32" s="2">
        <v>220.6</v>
      </c>
      <c r="N32" s="2">
        <v>0.40899999999999997</v>
      </c>
      <c r="O32" s="2">
        <v>1.2849999999999999</v>
      </c>
      <c r="P32" s="2">
        <v>18.61</v>
      </c>
      <c r="Q32" s="2">
        <v>59.74</v>
      </c>
      <c r="R32" s="2">
        <v>28.77</v>
      </c>
      <c r="S32" s="2">
        <v>0.89714000000000005</v>
      </c>
      <c r="T32" s="2">
        <v>0.90886</v>
      </c>
      <c r="U32" s="2">
        <v>0.24</v>
      </c>
      <c r="V32" s="2">
        <v>1.1599999999999999</v>
      </c>
      <c r="W32" s="2">
        <v>16.48</v>
      </c>
      <c r="X32" s="2">
        <v>236.6</v>
      </c>
      <c r="Y32" s="2">
        <v>7.0000000000000001E-3</v>
      </c>
      <c r="Z32" s="2">
        <v>1.5209999999999999</v>
      </c>
      <c r="AA32" s="2">
        <v>2E-3</v>
      </c>
      <c r="AB32" s="2">
        <v>8.0000000000000002E-3</v>
      </c>
      <c r="AC32" s="2">
        <v>0.11899999999999999</v>
      </c>
      <c r="AD32" s="2">
        <v>3.2589999999999999</v>
      </c>
      <c r="AE32" s="2">
        <v>0.16800000000000001</v>
      </c>
      <c r="AF32" s="2">
        <v>0.95204</v>
      </c>
      <c r="AG32" s="2">
        <v>1.06741</v>
      </c>
      <c r="AH32" s="2">
        <v>-7.0000000000000001E-3</v>
      </c>
      <c r="AI32" s="2">
        <v>-3.4000000000000002E-2</v>
      </c>
      <c r="AJ32" s="2">
        <v>3.0000000000000001E-3</v>
      </c>
      <c r="AK32" s="2">
        <v>5.0999999999999997E-2</v>
      </c>
      <c r="AL32" s="2">
        <v>1068</v>
      </c>
      <c r="AM32" s="2">
        <v>2E-3</v>
      </c>
      <c r="AN32" s="2">
        <v>7.9000000000000001E-2</v>
      </c>
      <c r="AO32" s="2">
        <v>0.02</v>
      </c>
      <c r="AP32" s="2">
        <v>2.1000000000000001E-2</v>
      </c>
      <c r="AQ32" s="2">
        <v>0</v>
      </c>
      <c r="AR32" s="2">
        <v>0</v>
      </c>
      <c r="AS32" s="2">
        <v>0.27500000000000002</v>
      </c>
      <c r="AT32" s="2">
        <v>0.03</v>
      </c>
      <c r="AU32" s="2">
        <v>0.17699999999999999</v>
      </c>
      <c r="AV32" s="2">
        <v>0.87883999999999995</v>
      </c>
      <c r="AW32" s="2">
        <v>0.98658000000000001</v>
      </c>
      <c r="AX32" s="2">
        <v>3.0000000000000001E-3</v>
      </c>
    </row>
    <row r="33" spans="1:50" x14ac:dyDescent="0.3">
      <c r="A33" s="2" t="s">
        <v>56</v>
      </c>
      <c r="B33" s="2">
        <v>15.34</v>
      </c>
      <c r="C33" s="2">
        <v>95.06</v>
      </c>
      <c r="D33" s="2">
        <v>8514</v>
      </c>
      <c r="E33" s="2">
        <v>81.2</v>
      </c>
      <c r="F33" s="2">
        <v>5006</v>
      </c>
      <c r="G33" s="2">
        <v>74570</v>
      </c>
      <c r="H33" s="2">
        <v>102500</v>
      </c>
      <c r="I33" s="2">
        <v>426.2</v>
      </c>
      <c r="J33" s="2">
        <v>1.2190000000000001</v>
      </c>
      <c r="K33" s="2">
        <v>2.0019999999999998</v>
      </c>
      <c r="L33" s="2">
        <v>186.8</v>
      </c>
      <c r="M33" s="2">
        <v>295.5</v>
      </c>
      <c r="N33" s="2">
        <v>0.438</v>
      </c>
      <c r="O33" s="2">
        <v>1.7669999999999999</v>
      </c>
      <c r="P33" s="2">
        <v>24.34</v>
      </c>
      <c r="Q33" s="2">
        <v>66.37</v>
      </c>
      <c r="R33" s="2">
        <v>24.14</v>
      </c>
      <c r="S33" s="2">
        <v>0.89707999999999999</v>
      </c>
      <c r="T33" s="2">
        <v>0.90532000000000001</v>
      </c>
      <c r="U33" s="2">
        <v>0.17399999999999999</v>
      </c>
      <c r="V33" s="2">
        <v>0.84499999999999997</v>
      </c>
      <c r="W33" s="2">
        <v>25.98</v>
      </c>
      <c r="X33" s="2">
        <v>560.5</v>
      </c>
      <c r="Y33" s="2">
        <v>0.01</v>
      </c>
      <c r="Z33" s="2">
        <v>1.173</v>
      </c>
      <c r="AA33" s="2">
        <v>4.0000000000000001E-3</v>
      </c>
      <c r="AB33" s="2">
        <v>1.9E-2</v>
      </c>
      <c r="AC33" s="2">
        <v>0.27800000000000002</v>
      </c>
      <c r="AD33" s="2">
        <v>3.169</v>
      </c>
      <c r="AE33" s="2">
        <v>0.2</v>
      </c>
      <c r="AF33" s="2">
        <v>0.93777999999999995</v>
      </c>
      <c r="AG33" s="2">
        <v>1.0513600000000001</v>
      </c>
      <c r="AH33" s="2">
        <v>0.02</v>
      </c>
      <c r="AI33" s="2">
        <v>-1.0999999999999999E-2</v>
      </c>
      <c r="AJ33" s="2">
        <v>2E-3</v>
      </c>
      <c r="AK33" s="2">
        <v>5.6000000000000001E-2</v>
      </c>
      <c r="AL33" s="2">
        <v>903.2</v>
      </c>
      <c r="AM33" s="2">
        <v>4.0000000000000001E-3</v>
      </c>
      <c r="AN33" s="2">
        <v>5.2999999999999999E-2</v>
      </c>
      <c r="AO33" s="2">
        <v>2.5000000000000001E-2</v>
      </c>
      <c r="AP33" s="2">
        <v>2.4E-2</v>
      </c>
      <c r="AQ33" s="2">
        <v>0</v>
      </c>
      <c r="AR33" s="2">
        <v>0</v>
      </c>
      <c r="AS33" s="2">
        <v>0.27200000000000002</v>
      </c>
      <c r="AT33" s="2">
        <v>8.2000000000000003E-2</v>
      </c>
      <c r="AU33" s="2">
        <v>0.36799999999999999</v>
      </c>
      <c r="AV33" s="2">
        <v>0.84906999999999999</v>
      </c>
      <c r="AW33" s="2">
        <v>0.97896000000000005</v>
      </c>
      <c r="AX33" s="2">
        <v>6.0000000000000001E-3</v>
      </c>
    </row>
    <row r="34" spans="1:50" x14ac:dyDescent="0.3">
      <c r="A34" s="2" t="s">
        <v>57</v>
      </c>
      <c r="B34" s="2">
        <v>9.4870000000000001</v>
      </c>
      <c r="C34" s="2">
        <v>147.19999999999999</v>
      </c>
      <c r="D34" s="2">
        <v>6855</v>
      </c>
      <c r="E34" s="2">
        <v>117.1</v>
      </c>
      <c r="F34" s="2">
        <v>4168</v>
      </c>
      <c r="G34" s="2">
        <v>67570</v>
      </c>
      <c r="H34" s="2">
        <v>88620</v>
      </c>
      <c r="I34" s="2">
        <v>377.8</v>
      </c>
      <c r="J34" s="2">
        <v>1.514</v>
      </c>
      <c r="K34" s="2">
        <v>2.343</v>
      </c>
      <c r="L34" s="2">
        <v>235.9</v>
      </c>
      <c r="M34" s="2">
        <v>450.8</v>
      </c>
      <c r="N34" s="2">
        <v>0.48699999999999999</v>
      </c>
      <c r="O34" s="2">
        <v>1.4059999999999999</v>
      </c>
      <c r="P34" s="2">
        <v>35.26</v>
      </c>
      <c r="Q34" s="2">
        <v>54.91</v>
      </c>
      <c r="R34" s="2">
        <v>17.850000000000001</v>
      </c>
      <c r="S34" s="2">
        <v>0.88837999999999995</v>
      </c>
      <c r="T34" s="2">
        <v>0.89693000000000001</v>
      </c>
      <c r="U34" s="2">
        <v>0.32100000000000001</v>
      </c>
      <c r="V34" s="2">
        <v>5.05</v>
      </c>
      <c r="W34" s="2">
        <v>52.69</v>
      </c>
      <c r="X34" s="2">
        <v>381.6</v>
      </c>
      <c r="Y34" s="2">
        <v>1.6E-2</v>
      </c>
      <c r="Z34" s="2">
        <v>1.548</v>
      </c>
      <c r="AA34" s="2">
        <v>2E-3</v>
      </c>
      <c r="AB34" s="2">
        <v>1.2E-2</v>
      </c>
      <c r="AC34" s="2">
        <v>0.192</v>
      </c>
      <c r="AD34" s="2">
        <v>3.1309999999999998</v>
      </c>
      <c r="AE34" s="2">
        <v>0.14499999999999999</v>
      </c>
      <c r="AF34" s="2">
        <v>0.94121999999999995</v>
      </c>
      <c r="AG34" s="2">
        <v>1.0663800000000001</v>
      </c>
      <c r="AH34" s="2">
        <v>0</v>
      </c>
      <c r="AI34" s="2">
        <v>-1.4999999999999999E-2</v>
      </c>
      <c r="AJ34" s="2">
        <v>4.0000000000000001E-3</v>
      </c>
      <c r="AK34" s="2">
        <v>0.34200000000000003</v>
      </c>
      <c r="AL34" s="2">
        <v>667.1</v>
      </c>
      <c r="AM34" s="2">
        <v>5.0000000000000001E-3</v>
      </c>
      <c r="AN34" s="2">
        <v>6.2E-2</v>
      </c>
      <c r="AO34" s="2">
        <v>2.4E-2</v>
      </c>
      <c r="AP34" s="2">
        <v>2.4E-2</v>
      </c>
      <c r="AQ34" s="2">
        <v>0</v>
      </c>
      <c r="AR34" s="2">
        <v>0</v>
      </c>
      <c r="AS34" s="2">
        <v>0.28499999999999998</v>
      </c>
      <c r="AT34" s="2">
        <v>0.155</v>
      </c>
      <c r="AU34" s="2">
        <v>0.52900000000000003</v>
      </c>
      <c r="AV34" s="2">
        <v>0.85433000000000003</v>
      </c>
      <c r="AW34" s="2">
        <v>0.99058000000000002</v>
      </c>
      <c r="AX34" s="2">
        <v>8.0000000000000002E-3</v>
      </c>
    </row>
    <row r="35" spans="1:50" x14ac:dyDescent="0.3">
      <c r="A35" s="2" t="s">
        <v>58</v>
      </c>
      <c r="B35" s="2">
        <v>8.7780000000000005</v>
      </c>
      <c r="C35" s="2">
        <v>171.4</v>
      </c>
      <c r="D35" s="2">
        <v>5829</v>
      </c>
      <c r="E35" s="2">
        <v>153.6</v>
      </c>
      <c r="F35" s="2">
        <v>5360</v>
      </c>
      <c r="G35" s="2">
        <v>75150</v>
      </c>
      <c r="H35" s="2">
        <v>87380</v>
      </c>
      <c r="I35" s="2">
        <v>374</v>
      </c>
      <c r="J35" s="2">
        <v>1.387</v>
      </c>
      <c r="K35" s="2">
        <v>1.7130000000000001</v>
      </c>
      <c r="L35" s="2">
        <v>187.3</v>
      </c>
      <c r="M35" s="2">
        <v>262.2</v>
      </c>
      <c r="N35" s="2">
        <v>1.093</v>
      </c>
      <c r="O35" s="2">
        <v>1.1519999999999999</v>
      </c>
      <c r="P35" s="2">
        <v>36.03</v>
      </c>
      <c r="Q35" s="2">
        <v>67.86</v>
      </c>
      <c r="R35" s="2">
        <v>27.02</v>
      </c>
      <c r="S35" s="2">
        <v>0.91303999999999996</v>
      </c>
      <c r="T35" s="2">
        <v>0.91990000000000005</v>
      </c>
      <c r="U35" s="2">
        <v>0.442</v>
      </c>
      <c r="V35" s="2">
        <v>1.494</v>
      </c>
      <c r="W35" s="2">
        <v>6.1840000000000002</v>
      </c>
      <c r="X35" s="2">
        <v>557</v>
      </c>
      <c r="Y35" s="2">
        <v>8.0000000000000002E-3</v>
      </c>
      <c r="Z35" s="2">
        <v>1.9350000000000001</v>
      </c>
      <c r="AA35" s="2">
        <v>3.0000000000000001E-3</v>
      </c>
      <c r="AB35" s="2">
        <v>1.9E-2</v>
      </c>
      <c r="AC35" s="2">
        <v>0.26700000000000002</v>
      </c>
      <c r="AD35" s="2">
        <v>3.1669999999999998</v>
      </c>
      <c r="AE35" s="2">
        <v>5.8000000000000003E-2</v>
      </c>
      <c r="AF35" s="2">
        <v>0.95331999999999995</v>
      </c>
      <c r="AG35" s="2">
        <v>1.0738799999999999</v>
      </c>
      <c r="AH35" s="2">
        <v>-2.1999999999999999E-2</v>
      </c>
      <c r="AI35" s="2">
        <v>-2.5000000000000001E-2</v>
      </c>
      <c r="AJ35" s="2">
        <v>0</v>
      </c>
      <c r="AK35" s="2">
        <v>4.8000000000000001E-2</v>
      </c>
      <c r="AL35" s="2">
        <v>993.4</v>
      </c>
      <c r="AM35" s="2">
        <v>2E-3</v>
      </c>
      <c r="AN35" s="2">
        <v>8.4000000000000005E-2</v>
      </c>
      <c r="AO35" s="2">
        <v>5.1999999999999998E-2</v>
      </c>
      <c r="AP35" s="2">
        <v>5.1999999999999998E-2</v>
      </c>
      <c r="AQ35" s="2">
        <v>0</v>
      </c>
      <c r="AR35" s="2">
        <v>0</v>
      </c>
      <c r="AS35" s="2">
        <v>0.27500000000000002</v>
      </c>
      <c r="AT35" s="2">
        <v>0.01</v>
      </c>
      <c r="AU35" s="2">
        <v>0.41099999999999998</v>
      </c>
      <c r="AV35" s="2">
        <v>0.86060000000000003</v>
      </c>
      <c r="AW35" s="2">
        <v>0.99063000000000001</v>
      </c>
      <c r="AX35" s="2">
        <v>1.0999999999999999E-2</v>
      </c>
    </row>
    <row r="36" spans="1:50" x14ac:dyDescent="0.3">
      <c r="A36" s="2" t="s">
        <v>59</v>
      </c>
      <c r="B36" s="2">
        <v>8.3049999999999997</v>
      </c>
      <c r="C36" s="2">
        <v>254.9</v>
      </c>
      <c r="D36" s="2">
        <v>8982</v>
      </c>
      <c r="E36" s="2">
        <v>58.47</v>
      </c>
      <c r="F36" s="2">
        <v>4211</v>
      </c>
      <c r="G36" s="2">
        <v>67310</v>
      </c>
      <c r="H36" s="2">
        <v>88730</v>
      </c>
      <c r="I36" s="2">
        <v>368.7</v>
      </c>
      <c r="J36" s="2">
        <v>1.532</v>
      </c>
      <c r="K36" s="2">
        <v>2.694</v>
      </c>
      <c r="L36" s="2">
        <v>228.7</v>
      </c>
      <c r="M36" s="2">
        <v>282.2</v>
      </c>
      <c r="N36" s="2">
        <v>0.41299999999999998</v>
      </c>
      <c r="O36" s="2">
        <v>1.5449999999999999</v>
      </c>
      <c r="P36" s="2">
        <v>25</v>
      </c>
      <c r="Q36" s="2">
        <v>69.569999999999993</v>
      </c>
      <c r="R36" s="2">
        <v>24.47</v>
      </c>
      <c r="S36" s="2">
        <v>0.89183000000000001</v>
      </c>
      <c r="T36" s="2">
        <v>0.90720000000000001</v>
      </c>
      <c r="U36" s="2">
        <v>0.218</v>
      </c>
      <c r="V36" s="2">
        <v>1.5129999999999999</v>
      </c>
      <c r="W36" s="2">
        <v>11.9</v>
      </c>
      <c r="X36" s="2">
        <v>436.4</v>
      </c>
      <c r="Y36" s="2">
        <v>0.01</v>
      </c>
      <c r="Z36" s="2">
        <v>0.93899999999999995</v>
      </c>
      <c r="AA36" s="2">
        <v>3.0000000000000001E-3</v>
      </c>
      <c r="AB36" s="2">
        <v>1.4999999999999999E-2</v>
      </c>
      <c r="AC36" s="2">
        <v>0.22700000000000001</v>
      </c>
      <c r="AD36" s="2">
        <v>3.1320000000000001</v>
      </c>
      <c r="AE36" s="2">
        <v>0.14099999999999999</v>
      </c>
      <c r="AF36" s="2">
        <v>0.94984000000000002</v>
      </c>
      <c r="AG36" s="2">
        <v>1.0875300000000001</v>
      </c>
      <c r="AH36" s="2">
        <v>2.1999999999999999E-2</v>
      </c>
      <c r="AI36" s="2">
        <v>-7.0000000000000001E-3</v>
      </c>
      <c r="AJ36" s="2">
        <v>2E-3</v>
      </c>
      <c r="AK36" s="2">
        <v>4.1000000000000002E-2</v>
      </c>
      <c r="AL36" s="2">
        <v>916.8</v>
      </c>
      <c r="AM36" s="2">
        <v>4.0000000000000001E-3</v>
      </c>
      <c r="AN36" s="2">
        <v>3.5999999999999997E-2</v>
      </c>
      <c r="AO36" s="2">
        <v>3.3000000000000002E-2</v>
      </c>
      <c r="AP36" s="2">
        <v>3.2000000000000001E-2</v>
      </c>
      <c r="AQ36" s="2">
        <v>0</v>
      </c>
      <c r="AR36" s="2">
        <v>0</v>
      </c>
      <c r="AS36" s="2">
        <v>0.26700000000000002</v>
      </c>
      <c r="AT36" s="2">
        <v>2.4E-2</v>
      </c>
      <c r="AU36" s="2">
        <v>0.91300000000000003</v>
      </c>
      <c r="AV36" s="2">
        <v>0.85931000000000002</v>
      </c>
      <c r="AW36" s="2">
        <v>1.0041800000000001</v>
      </c>
      <c r="AX36" s="2">
        <v>5.0000000000000001E-3</v>
      </c>
    </row>
    <row r="37" spans="1:50" x14ac:dyDescent="0.3">
      <c r="A37" s="2" t="s">
        <v>61</v>
      </c>
      <c r="B37" s="2">
        <v>6.2839999999999998</v>
      </c>
      <c r="C37" s="2">
        <v>115.3</v>
      </c>
      <c r="D37" s="2">
        <v>6442</v>
      </c>
      <c r="E37" s="2">
        <v>100.3</v>
      </c>
      <c r="F37" s="2">
        <v>5855</v>
      </c>
      <c r="G37" s="2">
        <v>80890</v>
      </c>
      <c r="H37" s="2">
        <v>79850</v>
      </c>
      <c r="I37" s="2">
        <v>342.6</v>
      </c>
      <c r="J37" s="2">
        <v>1.298</v>
      </c>
      <c r="K37" s="2">
        <v>1.6559999999999999</v>
      </c>
      <c r="L37" s="2">
        <v>259.2</v>
      </c>
      <c r="M37" s="2">
        <v>342.1</v>
      </c>
      <c r="N37" s="2">
        <v>0.57599999999999996</v>
      </c>
      <c r="O37" s="2">
        <v>1.3140000000000001</v>
      </c>
      <c r="P37" s="2">
        <v>22.2</v>
      </c>
      <c r="Q37" s="2">
        <v>68.209999999999994</v>
      </c>
      <c r="R37" s="2">
        <v>34.01</v>
      </c>
      <c r="S37" s="2">
        <v>0.88256999999999997</v>
      </c>
      <c r="T37" s="2">
        <v>0.89534999999999998</v>
      </c>
      <c r="U37" s="2">
        <v>0.21</v>
      </c>
      <c r="V37" s="2">
        <v>2.8050000000000002</v>
      </c>
      <c r="W37" s="2">
        <v>36.01</v>
      </c>
      <c r="X37" s="2">
        <v>372.4</v>
      </c>
      <c r="Y37" s="2">
        <v>1.2999999999999999E-2</v>
      </c>
      <c r="Z37" s="2">
        <v>1.502</v>
      </c>
      <c r="AA37" s="2">
        <v>3.0000000000000001E-3</v>
      </c>
      <c r="AB37" s="2">
        <v>1.2999999999999999E-2</v>
      </c>
      <c r="AC37" s="2">
        <v>0.18</v>
      </c>
      <c r="AD37" s="2">
        <v>1.575</v>
      </c>
      <c r="AE37" s="2">
        <v>0.128</v>
      </c>
      <c r="AF37" s="2">
        <v>0.93335999999999997</v>
      </c>
      <c r="AG37" s="2">
        <v>1.0602799999999999</v>
      </c>
      <c r="AH37" s="2">
        <v>-1.7000000000000001E-2</v>
      </c>
      <c r="AI37" s="2">
        <v>-3.5000000000000003E-2</v>
      </c>
      <c r="AJ37" s="2">
        <v>1E-3</v>
      </c>
      <c r="AK37" s="2">
        <v>8.5999999999999993E-2</v>
      </c>
      <c r="AL37" s="2">
        <v>1264</v>
      </c>
      <c r="AM37" s="2">
        <v>4.0000000000000001E-3</v>
      </c>
      <c r="AN37" s="2">
        <v>3.9E-2</v>
      </c>
      <c r="AO37" s="2">
        <v>0.11899999999999999</v>
      </c>
      <c r="AP37" s="2">
        <v>0.11899999999999999</v>
      </c>
      <c r="AQ37" s="2">
        <v>0</v>
      </c>
      <c r="AR37" s="2">
        <v>0</v>
      </c>
      <c r="AS37" s="2">
        <v>0.29199999999999998</v>
      </c>
      <c r="AT37" s="2">
        <v>5.0999999999999997E-2</v>
      </c>
      <c r="AU37" s="2">
        <v>0.222</v>
      </c>
      <c r="AV37" s="2">
        <v>0.84389000000000003</v>
      </c>
      <c r="AW37" s="2">
        <v>0.99053999999999998</v>
      </c>
      <c r="AX37" s="2">
        <v>8.0000000000000002E-3</v>
      </c>
    </row>
    <row r="38" spans="1:50" x14ac:dyDescent="0.3">
      <c r="A38" s="2" t="s">
        <v>67</v>
      </c>
      <c r="B38" s="2">
        <v>0.54900000000000004</v>
      </c>
      <c r="C38" s="2">
        <v>176.7</v>
      </c>
      <c r="D38" s="2">
        <v>382.6</v>
      </c>
      <c r="E38" s="2">
        <v>341</v>
      </c>
      <c r="F38" s="2">
        <v>167.2</v>
      </c>
      <c r="G38" s="2">
        <v>372.3</v>
      </c>
      <c r="H38" s="2">
        <v>223.2</v>
      </c>
      <c r="I38" s="2">
        <v>163.9</v>
      </c>
      <c r="J38" s="2">
        <v>8.5370000000000008</v>
      </c>
      <c r="K38" s="2">
        <v>3.46</v>
      </c>
      <c r="L38" s="2">
        <v>32.74</v>
      </c>
      <c r="M38" s="2">
        <v>422.6</v>
      </c>
      <c r="N38" s="2">
        <v>3.544</v>
      </c>
      <c r="O38" s="2">
        <v>3.161</v>
      </c>
      <c r="P38" s="2">
        <v>3.5640000000000001</v>
      </c>
      <c r="Q38" s="2">
        <v>3.3119999999999998</v>
      </c>
      <c r="R38" s="2">
        <v>1.4</v>
      </c>
      <c r="S38" s="2">
        <v>0.96448</v>
      </c>
      <c r="T38" s="2">
        <v>0.91468000000000005</v>
      </c>
      <c r="U38" s="2">
        <v>1.7529999999999999</v>
      </c>
      <c r="V38" s="2">
        <v>1.9430000000000001</v>
      </c>
      <c r="W38" s="2">
        <v>8.1850000000000005</v>
      </c>
      <c r="X38" s="2">
        <v>3.331</v>
      </c>
      <c r="Y38" s="2">
        <v>1.302</v>
      </c>
      <c r="Z38" s="2">
        <v>3.3660000000000001</v>
      </c>
      <c r="AA38" s="2">
        <v>0.26100000000000001</v>
      </c>
      <c r="AB38" s="2">
        <v>0.26100000000000001</v>
      </c>
      <c r="AC38" s="2">
        <v>0.191</v>
      </c>
      <c r="AD38" s="2">
        <v>8.6080000000000005</v>
      </c>
      <c r="AE38" s="2">
        <v>3.395</v>
      </c>
      <c r="AF38" s="2">
        <v>0.96079999999999999</v>
      </c>
      <c r="AG38" s="2">
        <v>1.05057</v>
      </c>
      <c r="AH38" s="2">
        <v>0.253</v>
      </c>
      <c r="AI38" s="2">
        <v>0.317</v>
      </c>
      <c r="AJ38" s="2">
        <v>0.29099999999999998</v>
      </c>
      <c r="AK38" s="2">
        <v>1.6120000000000001</v>
      </c>
      <c r="AL38" s="2">
        <v>15.26</v>
      </c>
      <c r="AM38" s="2">
        <v>3.3069999999999999</v>
      </c>
      <c r="AN38" s="2">
        <v>1.575</v>
      </c>
      <c r="AO38" s="2">
        <v>1.6579999999999999</v>
      </c>
      <c r="AP38" s="2">
        <v>1.6619999999999999</v>
      </c>
      <c r="AQ38" s="2">
        <v>0.24399999999999999</v>
      </c>
      <c r="AR38" s="2">
        <v>0.24099999999999999</v>
      </c>
      <c r="AS38" s="2">
        <v>0.29399999999999998</v>
      </c>
      <c r="AT38" s="2">
        <v>11.89</v>
      </c>
      <c r="AU38" s="2">
        <v>1.704</v>
      </c>
      <c r="AV38" s="2">
        <v>1.0681</v>
      </c>
      <c r="AW38" s="2">
        <v>1.09964</v>
      </c>
      <c r="AX38" s="2">
        <v>1.974</v>
      </c>
    </row>
    <row r="39" spans="1:50" x14ac:dyDescent="0.3">
      <c r="A39" s="2" t="s">
        <v>62</v>
      </c>
      <c r="B39" s="2">
        <v>7.6379999999999999</v>
      </c>
      <c r="C39" s="2">
        <v>289.7</v>
      </c>
      <c r="D39" s="2">
        <v>11350</v>
      </c>
      <c r="E39" s="2">
        <v>613.79999999999995</v>
      </c>
      <c r="F39" s="2">
        <v>3423</v>
      </c>
      <c r="G39" s="2">
        <v>56170</v>
      </c>
      <c r="H39" s="2">
        <v>117800</v>
      </c>
      <c r="I39" s="2">
        <v>539</v>
      </c>
      <c r="J39" s="2">
        <v>2.4940000000000002</v>
      </c>
      <c r="K39" s="2">
        <v>1.9139999999999999</v>
      </c>
      <c r="L39" s="2">
        <v>278.10000000000002</v>
      </c>
      <c r="M39" s="2">
        <v>2068</v>
      </c>
      <c r="N39" s="2">
        <v>1.048</v>
      </c>
      <c r="O39" s="2">
        <v>3.4159999999999999</v>
      </c>
      <c r="P39" s="2">
        <v>27.92</v>
      </c>
      <c r="Q39" s="2">
        <v>58.82</v>
      </c>
      <c r="R39" s="2">
        <v>27.42</v>
      </c>
      <c r="S39" s="2">
        <v>0.88568000000000002</v>
      </c>
      <c r="T39" s="2">
        <v>0.90164999999999995</v>
      </c>
      <c r="U39" s="2">
        <v>0.496</v>
      </c>
      <c r="V39" s="2">
        <v>5.23</v>
      </c>
      <c r="W39" s="2">
        <v>16.98</v>
      </c>
      <c r="X39" s="2">
        <v>595.6</v>
      </c>
      <c r="Y39" s="2">
        <v>8.2000000000000003E-2</v>
      </c>
      <c r="Z39" s="2">
        <v>2.1520000000000001</v>
      </c>
      <c r="AA39" s="2">
        <v>3.0000000000000001E-3</v>
      </c>
      <c r="AB39" s="2">
        <v>0.02</v>
      </c>
      <c r="AC39" s="2">
        <v>0.29399999999999998</v>
      </c>
      <c r="AD39" s="2">
        <v>1.6359999999999999</v>
      </c>
      <c r="AE39" s="2">
        <v>0.34799999999999998</v>
      </c>
      <c r="AF39" s="2">
        <v>0.93896000000000002</v>
      </c>
      <c r="AG39" s="2">
        <v>1.0620400000000001</v>
      </c>
      <c r="AH39" s="2">
        <v>8.5000000000000006E-2</v>
      </c>
      <c r="AI39" s="2">
        <v>-2.9000000000000001E-2</v>
      </c>
      <c r="AJ39" s="2">
        <v>1E-3</v>
      </c>
      <c r="AK39" s="2">
        <v>0.375</v>
      </c>
      <c r="AL39" s="2">
        <v>1026</v>
      </c>
      <c r="AM39" s="2">
        <v>2.1000000000000001E-2</v>
      </c>
      <c r="AN39" s="2">
        <v>8.7999999999999995E-2</v>
      </c>
      <c r="AO39" s="2">
        <v>0.18099999999999999</v>
      </c>
      <c r="AP39" s="2">
        <v>0.182</v>
      </c>
      <c r="AQ39" s="2">
        <v>0</v>
      </c>
      <c r="AR39" s="2">
        <v>0</v>
      </c>
      <c r="AS39" s="2">
        <v>0.27</v>
      </c>
      <c r="AT39" s="2">
        <v>5.0999999999999997E-2</v>
      </c>
      <c r="AU39" s="2">
        <v>1.234</v>
      </c>
      <c r="AV39" s="2">
        <v>0.85404999999999998</v>
      </c>
      <c r="AW39" s="2">
        <v>0.99146000000000001</v>
      </c>
      <c r="AX39" s="2">
        <v>0.106</v>
      </c>
    </row>
    <row r="40" spans="1:50" x14ac:dyDescent="0.3">
      <c r="A40" s="2" t="s">
        <v>63</v>
      </c>
      <c r="B40" s="2">
        <v>3.129</v>
      </c>
      <c r="C40" s="2">
        <v>82.03</v>
      </c>
      <c r="D40" s="2">
        <v>4635</v>
      </c>
      <c r="E40" s="2">
        <v>182.7</v>
      </c>
      <c r="F40" s="2">
        <v>1327</v>
      </c>
      <c r="G40" s="2">
        <v>41750</v>
      </c>
      <c r="H40" s="2">
        <v>56180</v>
      </c>
      <c r="I40" s="2">
        <v>261</v>
      </c>
      <c r="J40" s="2">
        <v>1.0449999999999999</v>
      </c>
      <c r="K40" s="2">
        <v>1.1759999999999999</v>
      </c>
      <c r="L40" s="2">
        <v>132.9</v>
      </c>
      <c r="M40" s="2">
        <v>476.7</v>
      </c>
      <c r="N40" s="2">
        <v>0.55000000000000004</v>
      </c>
      <c r="O40" s="2">
        <v>1.3480000000000001</v>
      </c>
      <c r="P40" s="2">
        <v>15.72</v>
      </c>
      <c r="Q40" s="2">
        <v>43.34</v>
      </c>
      <c r="R40" s="2">
        <v>23.91</v>
      </c>
      <c r="S40" s="2">
        <v>0.93228999999999995</v>
      </c>
      <c r="T40" s="2">
        <v>0.9143</v>
      </c>
      <c r="U40" s="2">
        <v>0.19400000000000001</v>
      </c>
      <c r="V40" s="2">
        <v>1.2470000000000001</v>
      </c>
      <c r="W40" s="2">
        <v>8.56</v>
      </c>
      <c r="X40" s="2">
        <v>438</v>
      </c>
      <c r="Y40" s="2">
        <v>4.3999999999999997E-2</v>
      </c>
      <c r="Z40" s="2">
        <v>1.0229999999999999</v>
      </c>
      <c r="AA40" s="2">
        <v>3.0000000000000001E-3</v>
      </c>
      <c r="AB40" s="2">
        <v>1.4999999999999999E-2</v>
      </c>
      <c r="AC40" s="2">
        <v>0.215</v>
      </c>
      <c r="AD40" s="2">
        <v>1.5960000000000001</v>
      </c>
      <c r="AE40" s="2">
        <v>0.126</v>
      </c>
      <c r="AF40" s="2">
        <v>0.96752000000000005</v>
      </c>
      <c r="AG40" s="2">
        <v>1.07457</v>
      </c>
      <c r="AH40" s="2">
        <v>-1.2999999999999999E-2</v>
      </c>
      <c r="AI40" s="2">
        <v>-3.5000000000000003E-2</v>
      </c>
      <c r="AJ40" s="2">
        <v>3.0000000000000001E-3</v>
      </c>
      <c r="AK40" s="2">
        <v>6.8000000000000005E-2</v>
      </c>
      <c r="AL40" s="2">
        <v>857</v>
      </c>
      <c r="AM40" s="2">
        <v>6.0000000000000001E-3</v>
      </c>
      <c r="AN40" s="2">
        <v>3.7999999999999999E-2</v>
      </c>
      <c r="AO40" s="2">
        <v>9.2999999999999999E-2</v>
      </c>
      <c r="AP40" s="2">
        <v>0.09</v>
      </c>
      <c r="AQ40" s="2">
        <v>0</v>
      </c>
      <c r="AR40" s="2">
        <v>0</v>
      </c>
      <c r="AS40" s="2">
        <v>0.27900000000000003</v>
      </c>
      <c r="AT40" s="2">
        <v>2.3E-2</v>
      </c>
      <c r="AU40" s="2">
        <v>0.26900000000000002</v>
      </c>
      <c r="AV40" s="2">
        <v>0.97321000000000002</v>
      </c>
      <c r="AW40" s="2">
        <v>1.02573</v>
      </c>
      <c r="AX40" s="2">
        <v>7.0000000000000001E-3</v>
      </c>
    </row>
    <row r="41" spans="1:50" x14ac:dyDescent="0.3">
      <c r="A41" s="2" t="s">
        <v>64</v>
      </c>
      <c r="B41" s="2">
        <v>5.0289999999999999</v>
      </c>
      <c r="C41" s="2">
        <v>100.5</v>
      </c>
      <c r="D41" s="2">
        <v>6808</v>
      </c>
      <c r="E41" s="2">
        <v>66.55</v>
      </c>
      <c r="F41" s="2">
        <v>4509</v>
      </c>
      <c r="G41" s="2">
        <v>66950</v>
      </c>
      <c r="H41" s="2">
        <v>89700</v>
      </c>
      <c r="I41" s="2">
        <v>381.9</v>
      </c>
      <c r="J41" s="2">
        <v>1.2270000000000001</v>
      </c>
      <c r="K41" s="2">
        <v>1.881</v>
      </c>
      <c r="L41" s="2">
        <v>270.3</v>
      </c>
      <c r="M41" s="2">
        <v>269.3</v>
      </c>
      <c r="N41" s="2">
        <v>0.89400000000000002</v>
      </c>
      <c r="O41" s="2">
        <v>2.105</v>
      </c>
      <c r="P41" s="2">
        <v>23.07</v>
      </c>
      <c r="Q41" s="2">
        <v>63.17</v>
      </c>
      <c r="R41" s="2">
        <v>16.87</v>
      </c>
      <c r="S41" s="2">
        <v>0.90378000000000003</v>
      </c>
      <c r="T41" s="2">
        <v>0.89881</v>
      </c>
      <c r="U41" s="2">
        <v>0.26900000000000002</v>
      </c>
      <c r="V41" s="2">
        <v>1.643</v>
      </c>
      <c r="W41" s="2">
        <v>91.58</v>
      </c>
      <c r="X41" s="2">
        <v>473.8</v>
      </c>
      <c r="Y41" s="2">
        <v>7.0000000000000001E-3</v>
      </c>
      <c r="Z41" s="2">
        <v>0.97799999999999998</v>
      </c>
      <c r="AA41" s="2">
        <v>3.0000000000000001E-3</v>
      </c>
      <c r="AB41" s="2">
        <v>1.6E-2</v>
      </c>
      <c r="AC41" s="2">
        <v>0.23699999999999999</v>
      </c>
      <c r="AD41" s="2">
        <v>2.0979999999999999</v>
      </c>
      <c r="AE41" s="2">
        <v>8.5000000000000006E-2</v>
      </c>
      <c r="AF41" s="2">
        <v>0.95326999999999995</v>
      </c>
      <c r="AG41" s="2">
        <v>1.0817000000000001</v>
      </c>
      <c r="AH41" s="2">
        <v>-1E-3</v>
      </c>
      <c r="AI41" s="2">
        <v>-3.9E-2</v>
      </c>
      <c r="AJ41" s="2">
        <v>0</v>
      </c>
      <c r="AK41" s="2">
        <v>0.16600000000000001</v>
      </c>
      <c r="AL41" s="2">
        <v>631.70000000000005</v>
      </c>
      <c r="AM41" s="2">
        <v>2E-3</v>
      </c>
      <c r="AN41" s="2">
        <v>0.216</v>
      </c>
      <c r="AO41" s="2">
        <v>5.5E-2</v>
      </c>
      <c r="AP41" s="2">
        <v>5.7000000000000002E-2</v>
      </c>
      <c r="AQ41" s="2">
        <v>0</v>
      </c>
      <c r="AR41" s="2">
        <v>0</v>
      </c>
      <c r="AS41" s="2">
        <v>0.26600000000000001</v>
      </c>
      <c r="AT41" s="2">
        <v>0.247</v>
      </c>
      <c r="AU41" s="2">
        <v>0.182</v>
      </c>
      <c r="AV41" s="2">
        <v>0.86102000000000001</v>
      </c>
      <c r="AW41" s="2">
        <v>1.0055000000000001</v>
      </c>
      <c r="AX41" s="2">
        <v>6.0000000000000001E-3</v>
      </c>
    </row>
    <row r="42" spans="1:50" x14ac:dyDescent="0.3">
      <c r="A42" s="2" t="s">
        <v>65</v>
      </c>
      <c r="B42" s="2">
        <v>6.835</v>
      </c>
      <c r="C42" s="2">
        <v>1168</v>
      </c>
      <c r="D42" s="2">
        <v>10540</v>
      </c>
      <c r="E42" s="2">
        <v>203.8</v>
      </c>
      <c r="F42" s="2">
        <v>6578</v>
      </c>
      <c r="G42" s="2">
        <v>87600</v>
      </c>
      <c r="H42" s="2">
        <v>103900</v>
      </c>
      <c r="I42" s="2">
        <v>450</v>
      </c>
      <c r="J42" s="2">
        <v>1.089</v>
      </c>
      <c r="K42" s="2">
        <v>1.3149999999999999</v>
      </c>
      <c r="L42" s="2">
        <v>218.3</v>
      </c>
      <c r="M42" s="2">
        <v>663.7</v>
      </c>
      <c r="N42" s="2">
        <v>0.59</v>
      </c>
      <c r="O42" s="2">
        <v>2.1829999999999998</v>
      </c>
      <c r="P42" s="2">
        <v>28.88</v>
      </c>
      <c r="Q42" s="2">
        <v>80.38</v>
      </c>
      <c r="R42" s="2">
        <v>38.01</v>
      </c>
      <c r="S42" s="2">
        <v>0.88200000000000001</v>
      </c>
      <c r="T42" s="2">
        <v>0.89437</v>
      </c>
      <c r="U42" s="2">
        <v>0.26200000000000001</v>
      </c>
      <c r="V42" s="2">
        <v>1.0589999999999999</v>
      </c>
      <c r="W42" s="2">
        <v>26.97</v>
      </c>
      <c r="X42" s="2">
        <v>453.5</v>
      </c>
      <c r="Y42" s="2">
        <v>2.5000000000000001E-2</v>
      </c>
      <c r="Z42" s="2">
        <v>0.95699999999999996</v>
      </c>
      <c r="AA42" s="2">
        <v>2E-3</v>
      </c>
      <c r="AB42" s="2">
        <v>1.4999999999999999E-2</v>
      </c>
      <c r="AC42" s="2">
        <v>0.221</v>
      </c>
      <c r="AD42" s="2">
        <v>1.587</v>
      </c>
      <c r="AE42" s="2">
        <v>0.26300000000000001</v>
      </c>
      <c r="AF42" s="2">
        <v>0.92593000000000003</v>
      </c>
      <c r="AG42" s="2">
        <v>1.0523800000000001</v>
      </c>
      <c r="AH42" s="2">
        <v>1.4E-2</v>
      </c>
      <c r="AI42" s="2">
        <v>-3.5999999999999997E-2</v>
      </c>
      <c r="AJ42" s="2">
        <v>3.0000000000000001E-3</v>
      </c>
      <c r="AK42" s="2">
        <v>9.7000000000000003E-2</v>
      </c>
      <c r="AL42" s="2">
        <v>1427</v>
      </c>
      <c r="AM42" s="2">
        <v>6.0000000000000001E-3</v>
      </c>
      <c r="AN42" s="2">
        <v>5.0999999999999997E-2</v>
      </c>
      <c r="AO42" s="2">
        <v>5.3999999999999999E-2</v>
      </c>
      <c r="AP42" s="2">
        <v>5.2999999999999999E-2</v>
      </c>
      <c r="AQ42" s="2">
        <v>0</v>
      </c>
      <c r="AR42" s="2">
        <v>0</v>
      </c>
      <c r="AS42" s="2">
        <v>0.26800000000000002</v>
      </c>
      <c r="AT42" s="2">
        <v>4.4999999999999998E-2</v>
      </c>
      <c r="AU42" s="2">
        <v>0.48</v>
      </c>
      <c r="AV42" s="2">
        <v>0.83833999999999997</v>
      </c>
      <c r="AW42" s="2">
        <v>0.98453999999999997</v>
      </c>
      <c r="AX42" s="2">
        <v>1.0999999999999999E-2</v>
      </c>
    </row>
    <row r="43" spans="1:50" x14ac:dyDescent="0.3">
      <c r="A43" s="2" t="s">
        <v>68</v>
      </c>
      <c r="B43" s="2">
        <v>5.5650000000000004</v>
      </c>
      <c r="C43" s="2">
        <v>55.07</v>
      </c>
      <c r="D43" s="2">
        <v>6846</v>
      </c>
      <c r="E43" s="2">
        <v>62.32</v>
      </c>
      <c r="F43" s="2">
        <v>4681</v>
      </c>
      <c r="G43" s="2">
        <v>62960</v>
      </c>
      <c r="H43" s="2">
        <v>64060</v>
      </c>
      <c r="I43" s="2">
        <v>275.5</v>
      </c>
      <c r="J43" s="2">
        <v>0.88400000000000001</v>
      </c>
      <c r="K43" s="2">
        <v>1.619</v>
      </c>
      <c r="L43" s="2">
        <v>249.7</v>
      </c>
      <c r="M43" s="2">
        <v>230</v>
      </c>
      <c r="N43" s="2">
        <v>1.0189999999999999</v>
      </c>
      <c r="O43" s="2">
        <v>1.86</v>
      </c>
      <c r="P43" s="2">
        <v>24.79</v>
      </c>
      <c r="Q43" s="2">
        <v>94.41</v>
      </c>
      <c r="R43" s="2">
        <v>20.23</v>
      </c>
      <c r="S43" s="2">
        <v>0.90422000000000002</v>
      </c>
      <c r="T43" s="2">
        <v>0.90447</v>
      </c>
      <c r="U43" s="2">
        <v>0.30099999999999999</v>
      </c>
      <c r="V43" s="2">
        <v>2.1059999999999999</v>
      </c>
      <c r="W43" s="2">
        <v>21.19</v>
      </c>
      <c r="X43" s="2">
        <v>249.2</v>
      </c>
      <c r="Y43" s="2">
        <v>7.0000000000000001E-3</v>
      </c>
      <c r="Z43" s="2">
        <v>1.8240000000000001</v>
      </c>
      <c r="AA43" s="2">
        <v>2E-3</v>
      </c>
      <c r="AB43" s="2">
        <v>8.0000000000000002E-3</v>
      </c>
      <c r="AC43" s="2">
        <v>0.128</v>
      </c>
      <c r="AD43" s="2">
        <v>1.5840000000000001</v>
      </c>
      <c r="AE43" s="2">
        <v>0.151</v>
      </c>
      <c r="AF43" s="2">
        <v>0.95638999999999996</v>
      </c>
      <c r="AG43" s="2">
        <v>1.08647</v>
      </c>
      <c r="AH43" s="2">
        <v>-3.5999999999999997E-2</v>
      </c>
      <c r="AI43" s="2">
        <v>-3.7999999999999999E-2</v>
      </c>
      <c r="AJ43" s="2">
        <v>0</v>
      </c>
      <c r="AK43" s="2">
        <v>8.6999999999999994E-2</v>
      </c>
      <c r="AL43" s="2">
        <v>745.9</v>
      </c>
      <c r="AM43" s="2">
        <v>3.0000000000000001E-3</v>
      </c>
      <c r="AN43" s="2">
        <v>9.4E-2</v>
      </c>
      <c r="AO43" s="2">
        <v>9.2999999999999999E-2</v>
      </c>
      <c r="AP43" s="2">
        <v>9.0999999999999998E-2</v>
      </c>
      <c r="AQ43" s="2">
        <v>0</v>
      </c>
      <c r="AR43" s="2">
        <v>0</v>
      </c>
      <c r="AS43" s="2">
        <v>0.26600000000000001</v>
      </c>
      <c r="AT43" s="2">
        <v>3.2000000000000001E-2</v>
      </c>
      <c r="AU43" s="2">
        <v>0.40799999999999997</v>
      </c>
      <c r="AV43" s="2">
        <v>0.92390000000000005</v>
      </c>
      <c r="AW43" s="2">
        <v>1.024</v>
      </c>
      <c r="AX43" s="2">
        <v>5.0000000000000001E-3</v>
      </c>
    </row>
    <row r="44" spans="1:50" x14ac:dyDescent="0.3">
      <c r="A44" s="2" t="s">
        <v>56</v>
      </c>
      <c r="B44" s="2">
        <v>8.49</v>
      </c>
      <c r="C44" s="2">
        <v>174.2</v>
      </c>
      <c r="D44" s="2">
        <v>7444</v>
      </c>
      <c r="E44" s="2">
        <v>836.8</v>
      </c>
      <c r="F44" s="2">
        <v>4818</v>
      </c>
      <c r="G44" s="2">
        <v>79360</v>
      </c>
      <c r="H44" s="2">
        <v>73800</v>
      </c>
      <c r="I44" s="2">
        <v>355.5</v>
      </c>
      <c r="J44" s="2">
        <v>3.3969999999999998</v>
      </c>
      <c r="K44" s="2">
        <v>3.3069999999999999</v>
      </c>
      <c r="L44" s="2">
        <v>255.6</v>
      </c>
      <c r="M44" s="2">
        <v>1900</v>
      </c>
      <c r="N44" s="2">
        <v>0.97</v>
      </c>
      <c r="O44" s="2">
        <v>2.484</v>
      </c>
      <c r="P44" s="2">
        <v>21.92</v>
      </c>
      <c r="Q44" s="2">
        <v>74.09</v>
      </c>
      <c r="R44" s="2">
        <v>18.489999999999998</v>
      </c>
      <c r="S44" s="2">
        <v>0.88844999999999996</v>
      </c>
      <c r="T44" s="2">
        <v>0.90129999999999999</v>
      </c>
      <c r="U44" s="2">
        <v>0.71799999999999997</v>
      </c>
      <c r="V44" s="2">
        <v>0.86</v>
      </c>
      <c r="W44" s="2">
        <v>6.2119999999999997</v>
      </c>
      <c r="X44" s="2">
        <v>420.9</v>
      </c>
      <c r="Y44" s="2">
        <v>8.8999999999999996E-2</v>
      </c>
      <c r="Z44" s="2">
        <v>2.2839999999999998</v>
      </c>
      <c r="AA44" s="2">
        <v>3.0000000000000001E-3</v>
      </c>
      <c r="AB44" s="2">
        <v>1.4E-2</v>
      </c>
      <c r="AC44" s="2">
        <v>0.20399999999999999</v>
      </c>
      <c r="AD44" s="2">
        <v>1.6080000000000001</v>
      </c>
      <c r="AE44" s="2">
        <v>0.439</v>
      </c>
      <c r="AF44" s="2">
        <v>0.93847000000000003</v>
      </c>
      <c r="AG44" s="2">
        <v>1.0867100000000001</v>
      </c>
      <c r="AH44" s="2">
        <v>0.1</v>
      </c>
      <c r="AI44" s="2">
        <v>2.1999999999999999E-2</v>
      </c>
      <c r="AJ44" s="2">
        <v>8.0000000000000002E-3</v>
      </c>
      <c r="AK44" s="2">
        <v>0.22</v>
      </c>
      <c r="AL44" s="2">
        <v>681.6</v>
      </c>
      <c r="AM44" s="2">
        <v>2.1000000000000001E-2</v>
      </c>
      <c r="AN44" s="2">
        <v>6.8000000000000005E-2</v>
      </c>
      <c r="AO44" s="2">
        <v>0.04</v>
      </c>
      <c r="AP44" s="2">
        <v>3.9E-2</v>
      </c>
      <c r="AQ44" s="2">
        <v>0</v>
      </c>
      <c r="AR44" s="2">
        <v>0</v>
      </c>
      <c r="AS44" s="2">
        <v>0.27300000000000002</v>
      </c>
      <c r="AT44" s="2">
        <v>2.1000000000000001E-2</v>
      </c>
      <c r="AU44" s="2">
        <v>5.8840000000000003</v>
      </c>
      <c r="AV44" s="2">
        <v>0.90346000000000004</v>
      </c>
      <c r="AW44" s="2">
        <v>1.01485</v>
      </c>
      <c r="AX44" s="2">
        <v>6.2E-2</v>
      </c>
    </row>
    <row r="45" spans="1:50" x14ac:dyDescent="0.3">
      <c r="A45" s="2" t="s">
        <v>57</v>
      </c>
      <c r="B45" s="2">
        <v>7.13</v>
      </c>
      <c r="C45" s="2">
        <v>437.3</v>
      </c>
      <c r="D45" s="2">
        <v>6489</v>
      </c>
      <c r="E45" s="2">
        <v>159.5</v>
      </c>
      <c r="F45" s="2">
        <v>4368</v>
      </c>
      <c r="G45" s="2">
        <v>58850</v>
      </c>
      <c r="H45" s="2">
        <v>83260</v>
      </c>
      <c r="I45" s="2">
        <v>367.7</v>
      </c>
      <c r="J45" s="2">
        <v>0.96299999999999997</v>
      </c>
      <c r="K45" s="2">
        <v>1.216</v>
      </c>
      <c r="L45" s="2">
        <v>176.2</v>
      </c>
      <c r="M45" s="2">
        <v>380.9</v>
      </c>
      <c r="N45" s="2">
        <v>0.39200000000000002</v>
      </c>
      <c r="O45" s="2">
        <v>1.3540000000000001</v>
      </c>
      <c r="P45" s="2">
        <v>23.88</v>
      </c>
      <c r="Q45" s="2">
        <v>61.2</v>
      </c>
      <c r="R45" s="2">
        <v>18.14</v>
      </c>
      <c r="S45" s="2">
        <v>0.92756000000000005</v>
      </c>
      <c r="T45" s="2">
        <v>0.90452999999999995</v>
      </c>
      <c r="U45" s="2">
        <v>0.26700000000000002</v>
      </c>
      <c r="V45" s="2">
        <v>0.16900000000000001</v>
      </c>
      <c r="W45" s="2">
        <v>13.46</v>
      </c>
      <c r="X45" s="2">
        <v>379.5</v>
      </c>
      <c r="Y45" s="2">
        <v>1.7999999999999999E-2</v>
      </c>
      <c r="Z45" s="2">
        <v>1.2569999999999999</v>
      </c>
      <c r="AA45" s="2">
        <v>2E-3</v>
      </c>
      <c r="AB45" s="2">
        <v>1.2999999999999999E-2</v>
      </c>
      <c r="AC45" s="2">
        <v>0.185</v>
      </c>
      <c r="AD45" s="2">
        <v>1.597</v>
      </c>
      <c r="AE45" s="2">
        <v>0.13800000000000001</v>
      </c>
      <c r="AF45" s="2">
        <v>0.95394999999999996</v>
      </c>
      <c r="AG45" s="2">
        <v>1.0763100000000001</v>
      </c>
      <c r="AH45" s="2">
        <v>5.5E-2</v>
      </c>
      <c r="AI45" s="2">
        <v>1.7000000000000001E-2</v>
      </c>
      <c r="AJ45" s="2">
        <v>0</v>
      </c>
      <c r="AK45" s="2">
        <v>0.129</v>
      </c>
      <c r="AL45" s="2">
        <v>667.6</v>
      </c>
      <c r="AM45" s="2">
        <v>5.0000000000000001E-3</v>
      </c>
      <c r="AN45" s="2">
        <v>3.1E-2</v>
      </c>
      <c r="AO45" s="2">
        <v>2.1000000000000001E-2</v>
      </c>
      <c r="AP45" s="2">
        <v>2.1999999999999999E-2</v>
      </c>
      <c r="AQ45" s="2">
        <v>0</v>
      </c>
      <c r="AR45" s="2">
        <v>0</v>
      </c>
      <c r="AS45" s="2">
        <v>0.26700000000000002</v>
      </c>
      <c r="AT45" s="2">
        <v>3.1E-2</v>
      </c>
      <c r="AU45" s="2">
        <v>5.0010000000000003</v>
      </c>
      <c r="AV45" s="2">
        <v>0.90114000000000005</v>
      </c>
      <c r="AW45" s="2">
        <v>1.0218499999999999</v>
      </c>
      <c r="AX45" s="2">
        <v>8.9999999999999993E-3</v>
      </c>
    </row>
    <row r="46" spans="1:50" x14ac:dyDescent="0.3">
      <c r="A46" s="2" t="s">
        <v>59</v>
      </c>
      <c r="B46" s="2">
        <v>7.609</v>
      </c>
      <c r="C46" s="2">
        <v>192.4</v>
      </c>
      <c r="D46" s="2">
        <v>7481</v>
      </c>
      <c r="E46" s="2">
        <v>112.1</v>
      </c>
      <c r="F46" s="2">
        <v>5175</v>
      </c>
      <c r="G46" s="2">
        <v>64150</v>
      </c>
      <c r="H46" s="2">
        <v>69400</v>
      </c>
      <c r="I46" s="2">
        <v>293.39999999999998</v>
      </c>
      <c r="J46" s="2">
        <v>1.71</v>
      </c>
      <c r="K46" s="2">
        <v>2.6579999999999999</v>
      </c>
      <c r="L46" s="2">
        <v>198.6</v>
      </c>
      <c r="M46" s="2">
        <v>408.5</v>
      </c>
      <c r="N46" s="2">
        <v>0.51900000000000002</v>
      </c>
      <c r="O46" s="2">
        <v>1.3149999999999999</v>
      </c>
      <c r="P46" s="2">
        <v>25.55</v>
      </c>
      <c r="Q46" s="2">
        <v>68.11</v>
      </c>
      <c r="R46" s="2">
        <v>19.86</v>
      </c>
      <c r="S46" s="2">
        <v>0.87995000000000001</v>
      </c>
      <c r="T46" s="2">
        <v>0.89402999999999999</v>
      </c>
      <c r="U46" s="2">
        <v>0.32800000000000001</v>
      </c>
      <c r="V46" s="2">
        <v>2.2090000000000001</v>
      </c>
      <c r="W46" s="2">
        <v>8.5280000000000005</v>
      </c>
      <c r="X46" s="2">
        <v>344.9</v>
      </c>
      <c r="Y46" s="2">
        <v>1.6E-2</v>
      </c>
      <c r="Z46" s="2">
        <v>1.679</v>
      </c>
      <c r="AA46" s="2">
        <v>2E-3</v>
      </c>
      <c r="AB46" s="2">
        <v>1.2E-2</v>
      </c>
      <c r="AC46" s="2">
        <v>0.17299999999999999</v>
      </c>
      <c r="AD46" s="2">
        <v>1.573</v>
      </c>
      <c r="AE46" s="2">
        <v>0.184</v>
      </c>
      <c r="AF46" s="2">
        <v>0.94755</v>
      </c>
      <c r="AG46" s="2">
        <v>1.0934900000000001</v>
      </c>
      <c r="AH46" s="2">
        <v>6.7000000000000004E-2</v>
      </c>
      <c r="AI46" s="2">
        <v>-2.3E-2</v>
      </c>
      <c r="AJ46" s="2">
        <v>3.0000000000000001E-3</v>
      </c>
      <c r="AK46" s="2">
        <v>5.2999999999999999E-2</v>
      </c>
      <c r="AL46" s="2">
        <v>742.7</v>
      </c>
      <c r="AM46" s="2">
        <v>6.0000000000000001E-3</v>
      </c>
      <c r="AN46" s="2">
        <v>7.8E-2</v>
      </c>
      <c r="AO46" s="2">
        <v>0.125</v>
      </c>
      <c r="AP46" s="2">
        <v>0.127</v>
      </c>
      <c r="AQ46" s="2">
        <v>0</v>
      </c>
      <c r="AR46" s="2">
        <v>0</v>
      </c>
      <c r="AS46" s="2">
        <v>0.26400000000000001</v>
      </c>
      <c r="AT46" s="2">
        <v>2.1999999999999999E-2</v>
      </c>
      <c r="AU46" s="2">
        <v>0.90800000000000003</v>
      </c>
      <c r="AV46" s="2">
        <v>0.92373000000000005</v>
      </c>
      <c r="AW46" s="2">
        <v>1.03285</v>
      </c>
      <c r="AX46" s="2">
        <v>8.9999999999999993E-3</v>
      </c>
    </row>
    <row r="47" spans="1:50" x14ac:dyDescent="0.3">
      <c r="A47" s="2" t="s">
        <v>60</v>
      </c>
      <c r="B47" s="2">
        <v>4.4269999999999996</v>
      </c>
      <c r="C47" s="2">
        <v>1355</v>
      </c>
      <c r="D47" s="2">
        <v>4532</v>
      </c>
      <c r="E47" s="2">
        <v>126.1</v>
      </c>
      <c r="F47" s="2">
        <v>1687</v>
      </c>
      <c r="G47" s="2">
        <v>35080</v>
      </c>
      <c r="H47" s="2">
        <v>64830</v>
      </c>
      <c r="I47" s="2">
        <v>287.10000000000002</v>
      </c>
      <c r="J47" s="2">
        <v>0.879</v>
      </c>
      <c r="K47" s="2">
        <v>0.96899999999999997</v>
      </c>
      <c r="L47" s="2">
        <v>37.5</v>
      </c>
      <c r="M47" s="2">
        <v>321.60000000000002</v>
      </c>
      <c r="N47" s="2">
        <v>0.29899999999999999</v>
      </c>
      <c r="O47" s="2">
        <v>0.83099999999999996</v>
      </c>
      <c r="P47" s="2">
        <v>10.92</v>
      </c>
      <c r="Q47" s="2">
        <v>32.9</v>
      </c>
      <c r="R47" s="2">
        <v>6.6660000000000004</v>
      </c>
      <c r="S47" s="2">
        <v>0.91505000000000003</v>
      </c>
      <c r="T47" s="2">
        <v>0.90620999999999996</v>
      </c>
      <c r="U47" s="2">
        <v>0.28999999999999998</v>
      </c>
      <c r="V47" s="2">
        <v>0.69599999999999995</v>
      </c>
      <c r="W47" s="2">
        <v>11.47</v>
      </c>
      <c r="X47" s="2">
        <v>259.2</v>
      </c>
      <c r="Y47" s="2">
        <v>2.1000000000000001E-2</v>
      </c>
      <c r="Z47" s="2">
        <v>0.80100000000000005</v>
      </c>
      <c r="AA47" s="2">
        <v>1E-3</v>
      </c>
      <c r="AB47" s="2">
        <v>8.9999999999999993E-3</v>
      </c>
      <c r="AC47" s="2">
        <v>0.129</v>
      </c>
      <c r="AD47" s="2">
        <v>1.5980000000000001</v>
      </c>
      <c r="AE47" s="2">
        <v>0.20699999999999999</v>
      </c>
      <c r="AF47" s="2">
        <v>0.95718999999999999</v>
      </c>
      <c r="AG47" s="2">
        <v>1.0874200000000001</v>
      </c>
      <c r="AH47" s="2">
        <v>0.04</v>
      </c>
      <c r="AI47" s="2">
        <v>-1.6E-2</v>
      </c>
      <c r="AJ47" s="2">
        <v>2E-3</v>
      </c>
      <c r="AK47" s="2">
        <v>9.2999999999999999E-2</v>
      </c>
      <c r="AL47" s="2">
        <v>240.4</v>
      </c>
      <c r="AM47" s="2">
        <v>5.0000000000000001E-3</v>
      </c>
      <c r="AN47" s="2">
        <v>3.4000000000000002E-2</v>
      </c>
      <c r="AO47" s="2">
        <v>0.01</v>
      </c>
      <c r="AP47" s="2">
        <v>0.01</v>
      </c>
      <c r="AQ47" s="2">
        <v>0</v>
      </c>
      <c r="AR47" s="2">
        <v>0</v>
      </c>
      <c r="AS47" s="2">
        <v>0.26600000000000001</v>
      </c>
      <c r="AT47" s="2">
        <v>7.0000000000000001E-3</v>
      </c>
      <c r="AU47" s="2">
        <v>0.877</v>
      </c>
      <c r="AV47" s="2">
        <v>0.97933999999999999</v>
      </c>
      <c r="AW47" s="2">
        <v>1.0487500000000001</v>
      </c>
      <c r="AX47" s="2">
        <v>8.9999999999999993E-3</v>
      </c>
    </row>
    <row r="48" spans="1:50" x14ac:dyDescent="0.3">
      <c r="A48" s="2" t="s">
        <v>69</v>
      </c>
      <c r="B48" s="2">
        <v>26.93</v>
      </c>
      <c r="C48" s="2">
        <v>252.7</v>
      </c>
      <c r="D48" s="2">
        <v>8262</v>
      </c>
      <c r="E48" s="2">
        <v>490</v>
      </c>
      <c r="F48" s="2">
        <v>2722</v>
      </c>
      <c r="G48" s="2">
        <v>32630</v>
      </c>
      <c r="H48" s="2">
        <v>67660</v>
      </c>
      <c r="I48" s="2">
        <v>311.39999999999998</v>
      </c>
      <c r="J48" s="2">
        <v>2.706</v>
      </c>
      <c r="K48" s="2">
        <v>2.4889999999999999</v>
      </c>
      <c r="L48" s="2">
        <v>128.80000000000001</v>
      </c>
      <c r="M48" s="2">
        <v>1109</v>
      </c>
      <c r="N48" s="2">
        <v>0.52400000000000002</v>
      </c>
      <c r="O48" s="2">
        <v>2.6859999999999999</v>
      </c>
      <c r="P48" s="2">
        <v>34.71</v>
      </c>
      <c r="Q48" s="2">
        <v>70.73</v>
      </c>
      <c r="R48" s="2">
        <v>1.8129999999999999</v>
      </c>
      <c r="S48" s="2">
        <v>0.90000999999999998</v>
      </c>
      <c r="T48" s="2">
        <v>0.89703999999999995</v>
      </c>
      <c r="U48" s="2">
        <v>0.23</v>
      </c>
      <c r="V48" s="2">
        <v>4.7699999999999996</v>
      </c>
      <c r="W48" s="2">
        <v>19.260000000000002</v>
      </c>
      <c r="X48" s="2">
        <v>264.39999999999998</v>
      </c>
      <c r="Y48" s="2">
        <v>6.2E-2</v>
      </c>
      <c r="Z48" s="2">
        <v>1.1180000000000001</v>
      </c>
      <c r="AA48" s="2">
        <v>1E-3</v>
      </c>
      <c r="AB48" s="2">
        <v>8.9999999999999993E-3</v>
      </c>
      <c r="AC48" s="2">
        <v>0.13500000000000001</v>
      </c>
      <c r="AD48" s="2">
        <v>1.6180000000000001</v>
      </c>
      <c r="AE48" s="2">
        <v>0.16900000000000001</v>
      </c>
      <c r="AF48" s="2">
        <v>0.95670999999999995</v>
      </c>
      <c r="AG48" s="2">
        <v>1.11083</v>
      </c>
      <c r="AH48" s="2">
        <v>4.3999999999999997E-2</v>
      </c>
      <c r="AI48" s="2">
        <v>0.02</v>
      </c>
      <c r="AJ48" s="2">
        <v>3.0000000000000001E-3</v>
      </c>
      <c r="AK48" s="2">
        <v>0.54600000000000004</v>
      </c>
      <c r="AL48" s="2">
        <v>59.55</v>
      </c>
      <c r="AM48" s="2">
        <v>8.9999999999999993E-3</v>
      </c>
      <c r="AN48" s="2">
        <v>0.14599999999999999</v>
      </c>
      <c r="AO48" s="2">
        <v>0.69099999999999995</v>
      </c>
      <c r="AP48" s="2">
        <v>0.69399999999999995</v>
      </c>
      <c r="AQ48" s="2">
        <v>0</v>
      </c>
      <c r="AR48" s="2">
        <v>0</v>
      </c>
      <c r="AS48" s="2">
        <v>0.28599999999999998</v>
      </c>
      <c r="AT48" s="2">
        <v>8.9999999999999993E-3</v>
      </c>
      <c r="AU48" s="2">
        <v>2.0539999999999998</v>
      </c>
      <c r="AV48" s="2">
        <v>0.97055999999999998</v>
      </c>
      <c r="AW48" s="2">
        <v>1.0564100000000001</v>
      </c>
      <c r="AX48" s="2">
        <v>4.3999999999999997E-2</v>
      </c>
    </row>
    <row r="49" spans="1:50" x14ac:dyDescent="0.3">
      <c r="A49" s="2" t="s">
        <v>52</v>
      </c>
      <c r="B49" s="2">
        <v>10.67</v>
      </c>
      <c r="C49" s="2">
        <v>419.5</v>
      </c>
      <c r="D49" s="2">
        <v>5080</v>
      </c>
      <c r="E49" s="2">
        <v>201.4</v>
      </c>
      <c r="F49" s="2">
        <v>4556</v>
      </c>
      <c r="G49" s="2">
        <v>50010</v>
      </c>
      <c r="H49" s="2">
        <v>45030</v>
      </c>
      <c r="I49" s="2">
        <v>207.6</v>
      </c>
      <c r="J49" s="2">
        <v>1.74</v>
      </c>
      <c r="K49" s="2">
        <v>1.913</v>
      </c>
      <c r="L49" s="2">
        <v>96.72</v>
      </c>
      <c r="M49" s="2">
        <v>519.70000000000005</v>
      </c>
      <c r="N49" s="2">
        <v>0.35699999999999998</v>
      </c>
      <c r="O49" s="2">
        <v>3.5289999999999999</v>
      </c>
      <c r="P49" s="2">
        <v>15.61</v>
      </c>
      <c r="Q49" s="2">
        <v>38.51</v>
      </c>
      <c r="R49" s="2">
        <v>0.90700000000000003</v>
      </c>
      <c r="S49" s="2">
        <v>0.89563999999999999</v>
      </c>
      <c r="T49" s="2">
        <v>0.90144999999999997</v>
      </c>
      <c r="U49" s="2">
        <v>0.19</v>
      </c>
      <c r="V49" s="2">
        <v>5.7279999999999998</v>
      </c>
      <c r="W49" s="2">
        <v>15.03</v>
      </c>
      <c r="X49" s="2">
        <v>160.4</v>
      </c>
      <c r="Y49" s="2">
        <v>0.04</v>
      </c>
      <c r="Z49" s="2">
        <v>0.60099999999999998</v>
      </c>
      <c r="AA49" s="2">
        <v>1E-3</v>
      </c>
      <c r="AB49" s="2">
        <v>6.0000000000000001E-3</v>
      </c>
      <c r="AC49" s="2">
        <v>8.8999999999999996E-2</v>
      </c>
      <c r="AD49" s="2">
        <v>1.6240000000000001</v>
      </c>
      <c r="AE49" s="2">
        <v>7.5999999999999998E-2</v>
      </c>
      <c r="AF49" s="2">
        <v>0.95433999999999997</v>
      </c>
      <c r="AG49" s="2">
        <v>1.1004400000000001</v>
      </c>
      <c r="AH49" s="2">
        <v>0.11700000000000001</v>
      </c>
      <c r="AI49" s="2">
        <v>5.0000000000000001E-3</v>
      </c>
      <c r="AJ49" s="2">
        <v>3.0000000000000001E-3</v>
      </c>
      <c r="AK49" s="2">
        <v>0.19500000000000001</v>
      </c>
      <c r="AL49" s="2">
        <v>27.72</v>
      </c>
      <c r="AM49" s="2">
        <v>1.2999999999999999E-2</v>
      </c>
      <c r="AN49" s="2">
        <v>6.4000000000000001E-2</v>
      </c>
      <c r="AO49" s="2">
        <v>0.33900000000000002</v>
      </c>
      <c r="AP49" s="2">
        <v>0.33700000000000002</v>
      </c>
      <c r="AQ49" s="2">
        <v>0</v>
      </c>
      <c r="AR49" s="2">
        <v>0</v>
      </c>
      <c r="AS49" s="2">
        <v>0.28000000000000003</v>
      </c>
      <c r="AT49" s="2">
        <v>0.01</v>
      </c>
      <c r="AU49" s="2">
        <v>1.5549999999999999</v>
      </c>
      <c r="AV49" s="2">
        <v>0.98016000000000003</v>
      </c>
      <c r="AW49" s="2">
        <v>1.06029</v>
      </c>
      <c r="AX49" s="2">
        <v>0.02</v>
      </c>
    </row>
    <row r="50" spans="1:50" x14ac:dyDescent="0.3">
      <c r="A50" s="2" t="s">
        <v>53</v>
      </c>
      <c r="B50" s="2">
        <v>19.52</v>
      </c>
      <c r="C50" s="2">
        <v>448.5</v>
      </c>
      <c r="D50" s="2">
        <v>6392</v>
      </c>
      <c r="E50" s="2">
        <v>471.5</v>
      </c>
      <c r="F50" s="2">
        <v>1273</v>
      </c>
      <c r="G50" s="2">
        <v>61910</v>
      </c>
      <c r="H50" s="2">
        <v>55580</v>
      </c>
      <c r="I50" s="2">
        <v>262.3</v>
      </c>
      <c r="J50" s="2">
        <v>3.306</v>
      </c>
      <c r="K50" s="2">
        <v>2.8220000000000001</v>
      </c>
      <c r="L50" s="2">
        <v>189.7</v>
      </c>
      <c r="M50" s="2">
        <v>1134</v>
      </c>
      <c r="N50" s="2">
        <v>0.76400000000000001</v>
      </c>
      <c r="O50" s="2">
        <v>6.1840000000000002</v>
      </c>
      <c r="P50" s="2">
        <v>17.32</v>
      </c>
      <c r="Q50" s="2">
        <v>23.65</v>
      </c>
      <c r="R50" s="2">
        <v>0.49199999999999999</v>
      </c>
      <c r="S50" s="2">
        <v>0.88056999999999996</v>
      </c>
      <c r="T50" s="2">
        <v>0.88697999999999999</v>
      </c>
      <c r="U50" s="2">
        <v>0.313</v>
      </c>
      <c r="V50" s="2">
        <v>15.22</v>
      </c>
      <c r="W50" s="2">
        <v>23.67</v>
      </c>
      <c r="X50" s="2">
        <v>152.80000000000001</v>
      </c>
      <c r="Y50" s="2">
        <v>8.7999999999999995E-2</v>
      </c>
      <c r="Z50" s="2">
        <v>0.745</v>
      </c>
      <c r="AA50" s="2">
        <v>2E-3</v>
      </c>
      <c r="AB50" s="2">
        <v>5.0000000000000001E-3</v>
      </c>
      <c r="AC50" s="2">
        <v>8.3000000000000004E-2</v>
      </c>
      <c r="AD50" s="2">
        <v>1.649</v>
      </c>
      <c r="AE50" s="2">
        <v>9.4E-2</v>
      </c>
      <c r="AF50" s="2">
        <v>0.94003999999999999</v>
      </c>
      <c r="AG50" s="2">
        <v>1.1059300000000001</v>
      </c>
      <c r="AH50" s="2">
        <v>8.3000000000000004E-2</v>
      </c>
      <c r="AI50" s="2">
        <v>4.2000000000000003E-2</v>
      </c>
      <c r="AJ50" s="2">
        <v>3.0000000000000001E-3</v>
      </c>
      <c r="AK50" s="2">
        <v>0.28100000000000003</v>
      </c>
      <c r="AL50" s="2">
        <v>11.55</v>
      </c>
      <c r="AM50" s="2">
        <v>1.2E-2</v>
      </c>
      <c r="AN50" s="2">
        <v>0.127</v>
      </c>
      <c r="AO50" s="2">
        <v>0.49099999999999999</v>
      </c>
      <c r="AP50" s="2">
        <v>0.49099999999999999</v>
      </c>
      <c r="AQ50" s="2">
        <v>0</v>
      </c>
      <c r="AR50" s="2">
        <v>0</v>
      </c>
      <c r="AS50" s="2">
        <v>0.307</v>
      </c>
      <c r="AT50" s="2">
        <v>0.01</v>
      </c>
      <c r="AU50" s="2">
        <v>2.359</v>
      </c>
      <c r="AV50" s="2">
        <v>0.92627999999999999</v>
      </c>
      <c r="AW50" s="2">
        <v>1.0484599999999999</v>
      </c>
      <c r="AX50" s="2">
        <v>6.2E-2</v>
      </c>
    </row>
    <row r="51" spans="1:50" x14ac:dyDescent="0.3">
      <c r="A51" s="2" t="s">
        <v>54</v>
      </c>
      <c r="B51" s="2">
        <v>41.34</v>
      </c>
      <c r="C51" s="2">
        <v>381</v>
      </c>
      <c r="D51" s="2">
        <v>7135</v>
      </c>
      <c r="E51" s="2">
        <v>333.9</v>
      </c>
      <c r="F51" s="2">
        <v>3189</v>
      </c>
      <c r="G51" s="2">
        <v>46000</v>
      </c>
      <c r="H51" s="2">
        <v>45800</v>
      </c>
      <c r="I51" s="2">
        <v>206.3</v>
      </c>
      <c r="J51" s="2">
        <v>2.2149999999999999</v>
      </c>
      <c r="K51" s="2">
        <v>2.14</v>
      </c>
      <c r="L51" s="2">
        <v>110</v>
      </c>
      <c r="M51" s="2">
        <v>742.5</v>
      </c>
      <c r="N51" s="2">
        <v>0.42099999999999999</v>
      </c>
      <c r="O51" s="2">
        <v>3.6030000000000002</v>
      </c>
      <c r="P51" s="2">
        <v>56.89</v>
      </c>
      <c r="Q51" s="2">
        <v>47.32</v>
      </c>
      <c r="R51" s="2">
        <v>1.56</v>
      </c>
      <c r="S51" s="2">
        <v>0.89378999999999997</v>
      </c>
      <c r="T51" s="2">
        <v>0.89570000000000005</v>
      </c>
      <c r="U51" s="2">
        <v>0.29499999999999998</v>
      </c>
      <c r="V51" s="2">
        <v>4.0149999999999997</v>
      </c>
      <c r="W51" s="2">
        <v>10.55</v>
      </c>
      <c r="X51" s="2">
        <v>419.7</v>
      </c>
      <c r="Y51" s="2">
        <v>3.7999999999999999E-2</v>
      </c>
      <c r="Z51" s="2">
        <v>0.748</v>
      </c>
      <c r="AA51" s="2">
        <v>3.0000000000000001E-3</v>
      </c>
      <c r="AB51" s="2">
        <v>1.4E-2</v>
      </c>
      <c r="AC51" s="2">
        <v>0.217</v>
      </c>
      <c r="AD51" s="2">
        <v>2.645</v>
      </c>
      <c r="AE51" s="2">
        <v>0.105</v>
      </c>
      <c r="AF51" s="2">
        <v>0.95267000000000002</v>
      </c>
      <c r="AG51" s="2">
        <v>1.10941</v>
      </c>
      <c r="AH51" s="2">
        <v>7.0000000000000001E-3</v>
      </c>
      <c r="AI51" s="2">
        <v>1.2E-2</v>
      </c>
      <c r="AJ51" s="2">
        <v>4.0000000000000001E-3</v>
      </c>
      <c r="AK51" s="2">
        <v>0.17499999999999999</v>
      </c>
      <c r="AL51" s="2">
        <v>53.93</v>
      </c>
      <c r="AM51" s="2">
        <v>8.0000000000000002E-3</v>
      </c>
      <c r="AN51" s="2">
        <v>9.0999999999999998E-2</v>
      </c>
      <c r="AO51" s="2">
        <v>9.4E-2</v>
      </c>
      <c r="AP51" s="2">
        <v>9.5000000000000001E-2</v>
      </c>
      <c r="AQ51" s="2">
        <v>0</v>
      </c>
      <c r="AR51" s="2">
        <v>0</v>
      </c>
      <c r="AS51" s="2">
        <v>0.38</v>
      </c>
      <c r="AT51" s="2">
        <v>5.0000000000000001E-3</v>
      </c>
      <c r="AU51" s="2">
        <v>1.66</v>
      </c>
      <c r="AV51" s="2">
        <v>0.94967000000000001</v>
      </c>
      <c r="AW51" s="2">
        <v>1.0620099999999999</v>
      </c>
      <c r="AX51" s="2">
        <v>2.8000000000000001E-2</v>
      </c>
    </row>
    <row r="52" spans="1:50" x14ac:dyDescent="0.3">
      <c r="A52" s="2" t="s">
        <v>55</v>
      </c>
      <c r="B52" s="2">
        <v>20.41</v>
      </c>
      <c r="C52" s="2">
        <v>454.2</v>
      </c>
      <c r="D52" s="2">
        <v>5458</v>
      </c>
      <c r="E52" s="2">
        <v>382.8</v>
      </c>
      <c r="F52" s="2">
        <v>1429</v>
      </c>
      <c r="G52" s="2">
        <v>30620</v>
      </c>
      <c r="H52" s="2">
        <v>80780</v>
      </c>
      <c r="I52" s="2">
        <v>359.5</v>
      </c>
      <c r="J52" s="2">
        <v>2.9079999999999999</v>
      </c>
      <c r="K52" s="2">
        <v>2.8010000000000002</v>
      </c>
      <c r="L52" s="2">
        <v>120.2</v>
      </c>
      <c r="M52" s="2">
        <v>898.7</v>
      </c>
      <c r="N52" s="2">
        <v>0.53800000000000003</v>
      </c>
      <c r="O52" s="2">
        <v>4.0469999999999997</v>
      </c>
      <c r="P52" s="2">
        <v>17.14</v>
      </c>
      <c r="Q52" s="2">
        <v>36.03</v>
      </c>
      <c r="R52" s="2">
        <v>2.1219999999999999</v>
      </c>
      <c r="S52" s="2">
        <v>0.88097000000000003</v>
      </c>
      <c r="T52" s="2">
        <v>0.89625999999999995</v>
      </c>
      <c r="U52" s="2">
        <v>0.28000000000000003</v>
      </c>
      <c r="V52" s="2">
        <v>5.8280000000000003</v>
      </c>
      <c r="W52" s="2">
        <v>12.73</v>
      </c>
      <c r="X52" s="2">
        <v>230.2</v>
      </c>
      <c r="Y52" s="2">
        <v>5.6000000000000001E-2</v>
      </c>
      <c r="Z52" s="2">
        <v>0.80800000000000005</v>
      </c>
      <c r="AA52" s="2">
        <v>1E-3</v>
      </c>
      <c r="AB52" s="2">
        <v>8.0000000000000002E-3</v>
      </c>
      <c r="AC52" s="2">
        <v>0.122</v>
      </c>
      <c r="AD52" s="2">
        <v>1.7909999999999999</v>
      </c>
      <c r="AE52" s="2">
        <v>8.4000000000000005E-2</v>
      </c>
      <c r="AF52" s="2">
        <v>0.94518999999999997</v>
      </c>
      <c r="AG52" s="2">
        <v>1.11605</v>
      </c>
      <c r="AH52" s="2">
        <v>5.7000000000000002E-2</v>
      </c>
      <c r="AI52" s="2">
        <v>5.2999999999999999E-2</v>
      </c>
      <c r="AJ52" s="2">
        <v>3.0000000000000001E-3</v>
      </c>
      <c r="AK52" s="2">
        <v>0.23699999999999999</v>
      </c>
      <c r="AL52" s="2">
        <v>75.17</v>
      </c>
      <c r="AM52" s="2">
        <v>1.0999999999999999E-2</v>
      </c>
      <c r="AN52" s="2">
        <v>0.22500000000000001</v>
      </c>
      <c r="AO52" s="2">
        <v>0.28299999999999997</v>
      </c>
      <c r="AP52" s="2">
        <v>0.27800000000000002</v>
      </c>
      <c r="AQ52" s="2">
        <v>0</v>
      </c>
      <c r="AR52" s="2">
        <v>0</v>
      </c>
      <c r="AS52" s="2">
        <v>0.27</v>
      </c>
      <c r="AT52" s="2">
        <v>7.0000000000000001E-3</v>
      </c>
      <c r="AU52" s="2">
        <v>1.4690000000000001</v>
      </c>
      <c r="AV52" s="2">
        <v>0.88721000000000005</v>
      </c>
      <c r="AW52" s="2">
        <v>1.06416</v>
      </c>
      <c r="AX52" s="2">
        <v>3.3000000000000002E-2</v>
      </c>
    </row>
    <row r="53" spans="1:50" x14ac:dyDescent="0.3">
      <c r="A53" s="2" t="s">
        <v>56</v>
      </c>
      <c r="B53" s="2">
        <v>20.16</v>
      </c>
      <c r="C53" s="2">
        <v>478.2</v>
      </c>
      <c r="D53" s="2">
        <v>5085</v>
      </c>
      <c r="E53" s="2">
        <v>995.5</v>
      </c>
      <c r="F53" s="2">
        <v>2779</v>
      </c>
      <c r="G53" s="2">
        <v>53200</v>
      </c>
      <c r="H53" s="2">
        <v>57810</v>
      </c>
      <c r="I53" s="2">
        <v>332.6</v>
      </c>
      <c r="J53" s="2">
        <v>3.6920000000000002</v>
      </c>
      <c r="K53" s="2">
        <v>2.7210000000000001</v>
      </c>
      <c r="L53" s="2">
        <v>120.6</v>
      </c>
      <c r="M53" s="2">
        <v>1864</v>
      </c>
      <c r="N53" s="2">
        <v>0.86699999999999999</v>
      </c>
      <c r="O53" s="2">
        <v>4.12</v>
      </c>
      <c r="P53" s="2">
        <v>24.9</v>
      </c>
      <c r="Q53" s="2">
        <v>63.53</v>
      </c>
      <c r="R53" s="2">
        <v>1.5780000000000001</v>
      </c>
      <c r="S53" s="2">
        <v>0.88139000000000001</v>
      </c>
      <c r="T53" s="2">
        <v>0.87941999999999998</v>
      </c>
      <c r="U53" s="2">
        <v>0.43099999999999999</v>
      </c>
      <c r="V53" s="2">
        <v>1.4710000000000001</v>
      </c>
      <c r="W53" s="2">
        <v>14.77</v>
      </c>
      <c r="X53" s="2">
        <v>279.10000000000002</v>
      </c>
      <c r="Y53" s="2">
        <v>0.17699999999999999</v>
      </c>
      <c r="Z53" s="2">
        <v>0.72499999999999998</v>
      </c>
      <c r="AA53" s="2">
        <v>2E-3</v>
      </c>
      <c r="AB53" s="2">
        <v>8.9999999999999993E-3</v>
      </c>
      <c r="AC53" s="2">
        <v>0.13500000000000001</v>
      </c>
      <c r="AD53" s="2">
        <v>1.6479999999999999</v>
      </c>
      <c r="AE53" s="2">
        <v>0.11600000000000001</v>
      </c>
      <c r="AF53" s="2">
        <v>0.91927999999999999</v>
      </c>
      <c r="AG53" s="2">
        <v>1.0747899999999999</v>
      </c>
      <c r="AH53" s="2">
        <v>0.33</v>
      </c>
      <c r="AI53" s="2">
        <v>0.14099999999999999</v>
      </c>
      <c r="AJ53" s="2">
        <v>3.0000000000000001E-3</v>
      </c>
      <c r="AK53" s="2">
        <v>0.36699999999999999</v>
      </c>
      <c r="AL53" s="2">
        <v>41.78</v>
      </c>
      <c r="AM53" s="2">
        <v>3.6999999999999998E-2</v>
      </c>
      <c r="AN53" s="2">
        <v>0.16</v>
      </c>
      <c r="AO53" s="2">
        <v>0.19400000000000001</v>
      </c>
      <c r="AP53" s="2">
        <v>0.193</v>
      </c>
      <c r="AQ53" s="2">
        <v>0</v>
      </c>
      <c r="AR53" s="2">
        <v>0</v>
      </c>
      <c r="AS53" s="2">
        <v>0.38700000000000001</v>
      </c>
      <c r="AT53" s="2">
        <v>1.6E-2</v>
      </c>
      <c r="AU53" s="2">
        <v>2.5259999999999998</v>
      </c>
      <c r="AV53" s="2">
        <v>0.93581000000000003</v>
      </c>
      <c r="AW53" s="2">
        <v>1.0416000000000001</v>
      </c>
      <c r="AX53" s="2">
        <v>8.6999999999999994E-2</v>
      </c>
    </row>
    <row r="54" spans="1:50" x14ac:dyDescent="0.3">
      <c r="A54" s="2" t="s">
        <v>57</v>
      </c>
      <c r="B54" s="2">
        <v>22.76</v>
      </c>
      <c r="C54" s="2">
        <v>192.3</v>
      </c>
      <c r="D54" s="2">
        <v>3846</v>
      </c>
      <c r="E54" s="2">
        <v>1031</v>
      </c>
      <c r="F54" s="2">
        <v>2711</v>
      </c>
      <c r="G54" s="2">
        <v>33910</v>
      </c>
      <c r="H54" s="2">
        <v>57460</v>
      </c>
      <c r="I54" s="2">
        <v>330.1</v>
      </c>
      <c r="J54" s="2">
        <v>3.4660000000000002</v>
      </c>
      <c r="K54" s="2">
        <v>2.7530000000000001</v>
      </c>
      <c r="L54" s="2">
        <v>158.19999999999999</v>
      </c>
      <c r="M54" s="2">
        <v>1741</v>
      </c>
      <c r="N54" s="2">
        <v>0.76300000000000001</v>
      </c>
      <c r="O54" s="2">
        <v>2.7280000000000002</v>
      </c>
      <c r="P54" s="2">
        <v>28.01</v>
      </c>
      <c r="Q54" s="2">
        <v>55.29</v>
      </c>
      <c r="R54" s="2">
        <v>1.4490000000000001</v>
      </c>
      <c r="S54" s="2">
        <v>0.89800999999999997</v>
      </c>
      <c r="T54" s="2">
        <v>0.88719000000000003</v>
      </c>
      <c r="U54" s="2">
        <v>0.40500000000000003</v>
      </c>
      <c r="V54" s="2">
        <v>0.97</v>
      </c>
      <c r="W54" s="2">
        <v>13.86</v>
      </c>
      <c r="X54" s="2">
        <v>217.3</v>
      </c>
      <c r="Y54" s="2">
        <v>0.17299999999999999</v>
      </c>
      <c r="Z54" s="2">
        <v>0.77200000000000002</v>
      </c>
      <c r="AA54" s="2">
        <v>1E-3</v>
      </c>
      <c r="AB54" s="2">
        <v>7.0000000000000001E-3</v>
      </c>
      <c r="AC54" s="2">
        <v>9.7000000000000003E-2</v>
      </c>
      <c r="AD54" s="2">
        <v>1.6870000000000001</v>
      </c>
      <c r="AE54" s="2">
        <v>6.3E-2</v>
      </c>
      <c r="AF54" s="2">
        <v>0.93145</v>
      </c>
      <c r="AG54" s="2">
        <v>1.0758799999999999</v>
      </c>
      <c r="AH54" s="2">
        <v>1.0580000000000001</v>
      </c>
      <c r="AI54" s="2">
        <v>0.14000000000000001</v>
      </c>
      <c r="AJ54" s="2">
        <v>3.0000000000000001E-3</v>
      </c>
      <c r="AK54" s="2">
        <v>0.42899999999999999</v>
      </c>
      <c r="AL54" s="2">
        <v>37.86</v>
      </c>
      <c r="AM54" s="2">
        <v>3.5999999999999997E-2</v>
      </c>
      <c r="AN54" s="2">
        <v>0.13100000000000001</v>
      </c>
      <c r="AO54" s="2">
        <v>9.2999999999999999E-2</v>
      </c>
      <c r="AP54" s="2">
        <v>9.6000000000000002E-2</v>
      </c>
      <c r="AQ54" s="2">
        <v>0</v>
      </c>
      <c r="AR54" s="2">
        <v>1E-3</v>
      </c>
      <c r="AS54" s="2">
        <v>0.27800000000000002</v>
      </c>
      <c r="AT54" s="2">
        <v>1.4999999999999999E-2</v>
      </c>
      <c r="AU54" s="2">
        <v>1.9450000000000001</v>
      </c>
      <c r="AV54" s="2">
        <v>0.97521999999999998</v>
      </c>
      <c r="AW54" s="2">
        <v>1.0498700000000001</v>
      </c>
      <c r="AX54" s="2">
        <v>6.4000000000000001E-2</v>
      </c>
    </row>
    <row r="55" spans="1:50" x14ac:dyDescent="0.3">
      <c r="A55" s="2" t="s">
        <v>58</v>
      </c>
      <c r="B55" s="2">
        <v>11.82</v>
      </c>
      <c r="C55" s="2">
        <v>94.85</v>
      </c>
      <c r="D55" s="2">
        <v>2961</v>
      </c>
      <c r="E55" s="2">
        <v>710.8</v>
      </c>
      <c r="F55" s="2">
        <v>4037</v>
      </c>
      <c r="G55" s="2">
        <v>52450</v>
      </c>
      <c r="H55" s="2">
        <v>33320</v>
      </c>
      <c r="I55" s="2">
        <v>201.1</v>
      </c>
      <c r="J55" s="2">
        <v>2.621</v>
      </c>
      <c r="K55" s="2">
        <v>2.0920000000000001</v>
      </c>
      <c r="L55" s="2">
        <v>75.319999999999993</v>
      </c>
      <c r="M55" s="2">
        <v>1336</v>
      </c>
      <c r="N55" s="2">
        <v>0.55100000000000005</v>
      </c>
      <c r="O55" s="2">
        <v>5.0759999999999996</v>
      </c>
      <c r="P55" s="2">
        <v>31.61</v>
      </c>
      <c r="Q55" s="2">
        <v>55.05</v>
      </c>
      <c r="R55" s="2">
        <v>1.0620000000000001</v>
      </c>
      <c r="S55" s="2">
        <v>0.89537999999999995</v>
      </c>
      <c r="T55" s="2">
        <v>0.88607000000000002</v>
      </c>
      <c r="U55" s="2">
        <v>0.38900000000000001</v>
      </c>
      <c r="V55" s="2">
        <v>1.7569999999999999</v>
      </c>
      <c r="W55" s="2">
        <v>9.8710000000000004</v>
      </c>
      <c r="X55" s="2">
        <v>136.1</v>
      </c>
      <c r="Y55" s="2">
        <v>0.104</v>
      </c>
      <c r="Z55" s="2">
        <v>0.38700000000000001</v>
      </c>
      <c r="AA55" s="2">
        <v>1E-3</v>
      </c>
      <c r="AB55" s="2">
        <v>5.0000000000000001E-3</v>
      </c>
      <c r="AC55" s="2">
        <v>6.4000000000000001E-2</v>
      </c>
      <c r="AD55" s="2">
        <v>1.591</v>
      </c>
      <c r="AE55" s="2">
        <v>8.8999999999999996E-2</v>
      </c>
      <c r="AF55" s="2">
        <v>0.93079999999999996</v>
      </c>
      <c r="AG55" s="2">
        <v>1.0720099999999999</v>
      </c>
      <c r="AH55" s="2">
        <v>0.25700000000000001</v>
      </c>
      <c r="AI55" s="2">
        <v>0.112</v>
      </c>
      <c r="AJ55" s="2">
        <v>2E-3</v>
      </c>
      <c r="AK55" s="2">
        <v>0.214</v>
      </c>
      <c r="AL55" s="2">
        <v>27.54</v>
      </c>
      <c r="AM55" s="2">
        <v>1.4E-2</v>
      </c>
      <c r="AN55" s="2">
        <v>8.5000000000000006E-2</v>
      </c>
      <c r="AO55" s="2">
        <v>5.5E-2</v>
      </c>
      <c r="AP55" s="2">
        <v>5.3999999999999999E-2</v>
      </c>
      <c r="AQ55" s="2">
        <v>0</v>
      </c>
      <c r="AR55" s="2">
        <v>0</v>
      </c>
      <c r="AS55" s="2">
        <v>0.27500000000000002</v>
      </c>
      <c r="AT55" s="2">
        <v>1.0999999999999999E-2</v>
      </c>
      <c r="AU55" s="2">
        <v>1.4350000000000001</v>
      </c>
      <c r="AV55" s="2">
        <v>0.98253999999999997</v>
      </c>
      <c r="AW55" s="2">
        <v>1.0495000000000001</v>
      </c>
      <c r="AX55" s="2">
        <v>6.0999999999999999E-2</v>
      </c>
    </row>
    <row r="56" spans="1:50" x14ac:dyDescent="0.3">
      <c r="A56" s="2" t="s">
        <v>59</v>
      </c>
      <c r="B56" s="2">
        <v>8.7279999999999998</v>
      </c>
      <c r="C56" s="2">
        <v>159</v>
      </c>
      <c r="D56" s="2">
        <v>5943</v>
      </c>
      <c r="E56" s="2">
        <v>476.4</v>
      </c>
      <c r="F56" s="2">
        <v>5055</v>
      </c>
      <c r="G56" s="2">
        <v>38310</v>
      </c>
      <c r="H56" s="2">
        <v>43370</v>
      </c>
      <c r="I56" s="2">
        <v>224.8</v>
      </c>
      <c r="J56" s="2">
        <v>1.921</v>
      </c>
      <c r="K56" s="2">
        <v>1.8380000000000001</v>
      </c>
      <c r="L56" s="2">
        <v>154.1</v>
      </c>
      <c r="M56" s="2">
        <v>927.1</v>
      </c>
      <c r="N56" s="2">
        <v>0.45900000000000002</v>
      </c>
      <c r="O56" s="2">
        <v>5.71</v>
      </c>
      <c r="P56" s="2">
        <v>28.12</v>
      </c>
      <c r="Q56" s="2">
        <v>42.57</v>
      </c>
      <c r="R56" s="2">
        <v>1.1200000000000001</v>
      </c>
      <c r="S56" s="2">
        <v>0.89532</v>
      </c>
      <c r="T56" s="2">
        <v>0.88112999999999997</v>
      </c>
      <c r="U56" s="2">
        <v>0.27900000000000003</v>
      </c>
      <c r="V56" s="2">
        <v>1.0669999999999999</v>
      </c>
      <c r="W56" s="2">
        <v>17.66</v>
      </c>
      <c r="X56" s="2">
        <v>189.8</v>
      </c>
      <c r="Y56" s="2">
        <v>5.2999999999999999E-2</v>
      </c>
      <c r="Z56" s="2">
        <v>0.58799999999999997</v>
      </c>
      <c r="AA56" s="2">
        <v>1E-3</v>
      </c>
      <c r="AB56" s="2">
        <v>6.0000000000000001E-3</v>
      </c>
      <c r="AC56" s="2">
        <v>9.7000000000000003E-2</v>
      </c>
      <c r="AD56" s="2">
        <v>1.9870000000000001</v>
      </c>
      <c r="AE56" s="2">
        <v>3.3000000000000002E-2</v>
      </c>
      <c r="AF56" s="2">
        <v>0.93908000000000003</v>
      </c>
      <c r="AG56" s="2">
        <v>1.0806800000000001</v>
      </c>
      <c r="AH56" s="2">
        <v>0.23</v>
      </c>
      <c r="AI56" s="2">
        <v>8.9999999999999993E-3</v>
      </c>
      <c r="AJ56" s="2">
        <v>3.0000000000000001E-3</v>
      </c>
      <c r="AK56" s="2">
        <v>0.247</v>
      </c>
      <c r="AL56" s="2">
        <v>31.97</v>
      </c>
      <c r="AM56" s="2">
        <v>0.01</v>
      </c>
      <c r="AN56" s="2">
        <v>0.104</v>
      </c>
      <c r="AO56" s="2">
        <v>0.13200000000000001</v>
      </c>
      <c r="AP56" s="2">
        <v>0.13100000000000001</v>
      </c>
      <c r="AQ56" s="2">
        <v>0</v>
      </c>
      <c r="AR56" s="2">
        <v>0</v>
      </c>
      <c r="AS56" s="2">
        <v>0.29599999999999999</v>
      </c>
      <c r="AT56" s="2">
        <v>8.0000000000000002E-3</v>
      </c>
      <c r="AU56" s="2">
        <v>1.669</v>
      </c>
      <c r="AV56" s="2">
        <v>0.97641999999999995</v>
      </c>
      <c r="AW56" s="2">
        <v>1.0519700000000001</v>
      </c>
      <c r="AX56" s="2">
        <v>3.2000000000000001E-2</v>
      </c>
    </row>
    <row r="57" spans="1:50" x14ac:dyDescent="0.3">
      <c r="A57" s="2" t="s">
        <v>60</v>
      </c>
      <c r="B57" s="2">
        <v>21.11</v>
      </c>
      <c r="C57" s="2">
        <v>242.9</v>
      </c>
      <c r="D57" s="2">
        <v>4516</v>
      </c>
      <c r="E57" s="2">
        <v>1184</v>
      </c>
      <c r="F57" s="2">
        <v>1188</v>
      </c>
      <c r="G57" s="2">
        <v>39660</v>
      </c>
      <c r="H57" s="2">
        <v>63450</v>
      </c>
      <c r="I57" s="2">
        <v>397.7</v>
      </c>
      <c r="J57" s="2">
        <v>4.8719999999999999</v>
      </c>
      <c r="K57" s="2">
        <v>3.2989999999999999</v>
      </c>
      <c r="L57" s="2">
        <v>120.3</v>
      </c>
      <c r="M57" s="2">
        <v>2472</v>
      </c>
      <c r="N57" s="2">
        <v>0.98199999999999998</v>
      </c>
      <c r="O57" s="2">
        <v>3.5659999999999998</v>
      </c>
      <c r="P57" s="2">
        <v>22.95</v>
      </c>
      <c r="Q57" s="2">
        <v>61.66</v>
      </c>
      <c r="R57" s="2">
        <v>1.431</v>
      </c>
      <c r="S57" s="2">
        <v>0.88595999999999997</v>
      </c>
      <c r="T57" s="2">
        <v>0.88256999999999997</v>
      </c>
      <c r="U57" s="2">
        <v>0.57399999999999995</v>
      </c>
      <c r="V57" s="2">
        <v>2.3220000000000001</v>
      </c>
      <c r="W57" s="2">
        <v>22.13</v>
      </c>
      <c r="X57" s="2">
        <v>217.8</v>
      </c>
      <c r="Y57" s="2">
        <v>0.253</v>
      </c>
      <c r="Z57" s="2">
        <v>1.002</v>
      </c>
      <c r="AA57" s="2">
        <v>2E-3</v>
      </c>
      <c r="AB57" s="2">
        <v>7.0000000000000001E-3</v>
      </c>
      <c r="AC57" s="2">
        <v>0.104</v>
      </c>
      <c r="AD57" s="2">
        <v>1.673</v>
      </c>
      <c r="AE57" s="2">
        <v>5.6000000000000001E-2</v>
      </c>
      <c r="AF57" s="2">
        <v>0.91842000000000001</v>
      </c>
      <c r="AG57" s="2">
        <v>1.0729299999999999</v>
      </c>
      <c r="AH57" s="2">
        <v>0.439</v>
      </c>
      <c r="AI57" s="2">
        <v>0.14199999999999999</v>
      </c>
      <c r="AJ57" s="2">
        <v>5.0000000000000001E-3</v>
      </c>
      <c r="AK57" s="2">
        <v>0.53100000000000003</v>
      </c>
      <c r="AL57" s="2">
        <v>35.26</v>
      </c>
      <c r="AM57" s="2">
        <v>4.9000000000000002E-2</v>
      </c>
      <c r="AN57" s="2">
        <v>0.121</v>
      </c>
      <c r="AO57" s="2">
        <v>9.5000000000000001E-2</v>
      </c>
      <c r="AP57" s="2">
        <v>9.4E-2</v>
      </c>
      <c r="AQ57" s="2">
        <v>0</v>
      </c>
      <c r="AR57" s="2">
        <v>1E-3</v>
      </c>
      <c r="AS57" s="2">
        <v>0.38</v>
      </c>
      <c r="AT57" s="2">
        <v>3.3000000000000002E-2</v>
      </c>
      <c r="AU57" s="2">
        <v>3.673</v>
      </c>
      <c r="AV57" s="2">
        <v>0.93916999999999995</v>
      </c>
      <c r="AW57" s="2">
        <v>1.0404800000000001</v>
      </c>
      <c r="AX57" s="2">
        <v>0.10199999999999999</v>
      </c>
    </row>
    <row r="58" spans="1:50" x14ac:dyDescent="0.3">
      <c r="A58" s="2" t="s">
        <v>61</v>
      </c>
      <c r="B58" s="2">
        <v>10.82</v>
      </c>
      <c r="C58" s="2">
        <v>277.2</v>
      </c>
      <c r="D58" s="2">
        <v>6870</v>
      </c>
      <c r="E58" s="2">
        <v>502.9</v>
      </c>
      <c r="F58" s="2">
        <v>4688</v>
      </c>
      <c r="G58" s="2">
        <v>46890</v>
      </c>
      <c r="H58" s="2">
        <v>48230</v>
      </c>
      <c r="I58" s="2">
        <v>237.7</v>
      </c>
      <c r="J58" s="2">
        <v>2.1520000000000001</v>
      </c>
      <c r="K58" s="2">
        <v>2.14</v>
      </c>
      <c r="L58" s="2">
        <v>157.6</v>
      </c>
      <c r="M58" s="2">
        <v>1073</v>
      </c>
      <c r="N58" s="2">
        <v>0.50600000000000001</v>
      </c>
      <c r="O58" s="2">
        <v>3.1190000000000002</v>
      </c>
      <c r="P58" s="2">
        <v>13.04</v>
      </c>
      <c r="Q58" s="2">
        <v>25.89</v>
      </c>
      <c r="R58" s="2">
        <v>1.5289999999999999</v>
      </c>
      <c r="S58" s="2">
        <v>0.88722000000000001</v>
      </c>
      <c r="T58" s="2">
        <v>0.8891</v>
      </c>
      <c r="U58" s="2">
        <v>0.25600000000000001</v>
      </c>
      <c r="V58" s="2">
        <v>4.0170000000000003</v>
      </c>
      <c r="W58" s="2">
        <v>14.66</v>
      </c>
      <c r="X58" s="2">
        <v>280.39999999999998</v>
      </c>
      <c r="Y58" s="2">
        <v>7.3999999999999996E-2</v>
      </c>
      <c r="Z58" s="2">
        <v>1.0189999999999999</v>
      </c>
      <c r="AA58" s="2">
        <v>1E-3</v>
      </c>
      <c r="AB58" s="2">
        <v>8.9999999999999993E-3</v>
      </c>
      <c r="AC58" s="2">
        <v>0.13300000000000001</v>
      </c>
      <c r="AD58" s="2">
        <v>1.6259999999999999</v>
      </c>
      <c r="AE58" s="2">
        <v>6.6000000000000003E-2</v>
      </c>
      <c r="AF58" s="2">
        <v>0.94103000000000003</v>
      </c>
      <c r="AG58" s="2">
        <v>1.0972200000000001</v>
      </c>
      <c r="AH58" s="2">
        <v>0.434</v>
      </c>
      <c r="AI58" s="2">
        <v>-1.4999999999999999E-2</v>
      </c>
      <c r="AJ58" s="2">
        <v>2E-3</v>
      </c>
      <c r="AK58" s="2">
        <v>0.23200000000000001</v>
      </c>
      <c r="AL58" s="2">
        <v>49.19</v>
      </c>
      <c r="AM58" s="2">
        <v>2.1000000000000001E-2</v>
      </c>
      <c r="AN58" s="2">
        <v>0.11700000000000001</v>
      </c>
      <c r="AO58" s="2">
        <v>0.157</v>
      </c>
      <c r="AP58" s="2">
        <v>0.156</v>
      </c>
      <c r="AQ58" s="2">
        <v>0</v>
      </c>
      <c r="AR58" s="2">
        <v>0</v>
      </c>
      <c r="AS58" s="2">
        <v>0.33700000000000002</v>
      </c>
      <c r="AT58" s="2">
        <v>1.0999999999999999E-2</v>
      </c>
      <c r="AU58" s="2">
        <v>0.71699999999999997</v>
      </c>
      <c r="AV58" s="2">
        <v>0.96462000000000003</v>
      </c>
      <c r="AW58" s="2">
        <v>1.05341</v>
      </c>
      <c r="AX58" s="2">
        <v>3.6999999999999998E-2</v>
      </c>
    </row>
    <row r="59" spans="1:50" x14ac:dyDescent="0.3">
      <c r="A59" s="2" t="s">
        <v>62</v>
      </c>
      <c r="B59" s="2">
        <v>9.8640000000000008</v>
      </c>
      <c r="C59" s="2">
        <v>190</v>
      </c>
      <c r="D59" s="2">
        <v>6234</v>
      </c>
      <c r="E59" s="2">
        <v>703.9</v>
      </c>
      <c r="F59" s="2">
        <v>4142</v>
      </c>
      <c r="G59" s="2">
        <v>52050</v>
      </c>
      <c r="H59" s="2">
        <v>47890</v>
      </c>
      <c r="I59" s="2">
        <v>242.9</v>
      </c>
      <c r="J59" s="2">
        <v>3.1019999999999999</v>
      </c>
      <c r="K59" s="2">
        <v>2.84</v>
      </c>
      <c r="L59" s="2">
        <v>140</v>
      </c>
      <c r="M59" s="2">
        <v>1604</v>
      </c>
      <c r="N59" s="2">
        <v>0.751</v>
      </c>
      <c r="O59" s="2">
        <v>3.3119999999999998</v>
      </c>
      <c r="P59" s="2">
        <v>16.350000000000001</v>
      </c>
      <c r="Q59" s="2">
        <v>28.9</v>
      </c>
      <c r="R59" s="2">
        <v>1.224</v>
      </c>
      <c r="S59" s="2">
        <v>0.87156999999999996</v>
      </c>
      <c r="T59" s="2">
        <v>0.88227</v>
      </c>
      <c r="U59" s="2">
        <v>0.35799999999999998</v>
      </c>
      <c r="V59" s="2">
        <v>2.524</v>
      </c>
      <c r="W59" s="2">
        <v>20.14</v>
      </c>
      <c r="X59" s="2">
        <v>278</v>
      </c>
      <c r="Y59" s="2">
        <v>8.3000000000000004E-2</v>
      </c>
      <c r="Z59" s="2">
        <v>1.472</v>
      </c>
      <c r="AA59" s="2">
        <v>2E-3</v>
      </c>
      <c r="AB59" s="2">
        <v>8.9999999999999993E-3</v>
      </c>
      <c r="AC59" s="2">
        <v>0.13100000000000001</v>
      </c>
      <c r="AD59" s="2">
        <v>1.7210000000000001</v>
      </c>
      <c r="AE59" s="2">
        <v>7.9000000000000001E-2</v>
      </c>
      <c r="AF59" s="2">
        <v>0.93354999999999999</v>
      </c>
      <c r="AG59" s="2">
        <v>1.1000099999999999</v>
      </c>
      <c r="AH59" s="2">
        <v>0.78600000000000003</v>
      </c>
      <c r="AI59" s="2">
        <v>-1.0999999999999999E-2</v>
      </c>
      <c r="AJ59" s="2">
        <v>2E-3</v>
      </c>
      <c r="AK59" s="2">
        <v>0.33100000000000002</v>
      </c>
      <c r="AL59" s="2">
        <v>33.770000000000003</v>
      </c>
      <c r="AM59" s="2">
        <v>1.4E-2</v>
      </c>
      <c r="AN59" s="2">
        <v>0.13200000000000001</v>
      </c>
      <c r="AO59" s="2">
        <v>0.13800000000000001</v>
      </c>
      <c r="AP59" s="2">
        <v>0.14099999999999999</v>
      </c>
      <c r="AQ59" s="2">
        <v>0</v>
      </c>
      <c r="AR59" s="2">
        <v>0</v>
      </c>
      <c r="AS59" s="2">
        <v>0.36199999999999999</v>
      </c>
      <c r="AT59" s="2">
        <v>1.7000000000000001E-2</v>
      </c>
      <c r="AU59" s="2">
        <v>0.98699999999999999</v>
      </c>
      <c r="AV59" s="2">
        <v>0.88092000000000004</v>
      </c>
      <c r="AW59" s="2">
        <v>1.0521499999999999</v>
      </c>
      <c r="AX59" s="2">
        <v>0.05</v>
      </c>
    </row>
    <row r="60" spans="1:50" x14ac:dyDescent="0.3">
      <c r="A60" s="2" t="s">
        <v>63</v>
      </c>
      <c r="B60" s="2">
        <v>12.36</v>
      </c>
      <c r="C60" s="2">
        <v>119.4</v>
      </c>
      <c r="D60" s="2">
        <v>5332</v>
      </c>
      <c r="E60" s="2">
        <v>562.20000000000005</v>
      </c>
      <c r="F60" s="2">
        <v>4950</v>
      </c>
      <c r="G60" s="2">
        <v>54720</v>
      </c>
      <c r="H60" s="2">
        <v>41000</v>
      </c>
      <c r="I60" s="2">
        <v>214.7</v>
      </c>
      <c r="J60" s="2">
        <v>3.21</v>
      </c>
      <c r="K60" s="2">
        <v>3.0760000000000001</v>
      </c>
      <c r="L60" s="2">
        <v>159.6</v>
      </c>
      <c r="M60" s="2">
        <v>1315</v>
      </c>
      <c r="N60" s="2">
        <v>1.0880000000000001</v>
      </c>
      <c r="O60" s="2">
        <v>7.5039999999999996</v>
      </c>
      <c r="P60" s="2">
        <v>26.24</v>
      </c>
      <c r="Q60" s="2">
        <v>18.61</v>
      </c>
      <c r="R60" s="2">
        <v>1.4930000000000001</v>
      </c>
      <c r="S60" s="2">
        <v>0.88402999999999998</v>
      </c>
      <c r="T60" s="2">
        <v>0.88590999999999998</v>
      </c>
      <c r="U60" s="2">
        <v>0.29099999999999998</v>
      </c>
      <c r="V60" s="2">
        <v>6.1239999999999997</v>
      </c>
      <c r="W60" s="2">
        <v>26.09</v>
      </c>
      <c r="X60" s="2">
        <v>319.10000000000002</v>
      </c>
      <c r="Y60" s="2">
        <v>7.0999999999999994E-2</v>
      </c>
      <c r="Z60" s="2">
        <v>0.91100000000000003</v>
      </c>
      <c r="AA60" s="2">
        <v>3.0000000000000001E-3</v>
      </c>
      <c r="AB60" s="2">
        <v>0.01</v>
      </c>
      <c r="AC60" s="2">
        <v>0.16</v>
      </c>
      <c r="AD60" s="2">
        <v>1.607</v>
      </c>
      <c r="AE60" s="2">
        <v>8.4000000000000005E-2</v>
      </c>
      <c r="AF60" s="2">
        <v>0.93732000000000004</v>
      </c>
      <c r="AG60" s="2">
        <v>1.0994600000000001</v>
      </c>
      <c r="AH60" s="2">
        <v>0.223</v>
      </c>
      <c r="AI60" s="2">
        <v>-0.01</v>
      </c>
      <c r="AJ60" s="2">
        <v>3.0000000000000001E-3</v>
      </c>
      <c r="AK60" s="2">
        <v>0.26300000000000001</v>
      </c>
      <c r="AL60" s="2">
        <v>46.58</v>
      </c>
      <c r="AM60" s="2">
        <v>1.2E-2</v>
      </c>
      <c r="AN60" s="2">
        <v>0.105</v>
      </c>
      <c r="AO60" s="2">
        <v>0.23499999999999999</v>
      </c>
      <c r="AP60" s="2">
        <v>0.23100000000000001</v>
      </c>
      <c r="AQ60" s="2">
        <v>0</v>
      </c>
      <c r="AR60" s="2">
        <v>0</v>
      </c>
      <c r="AS60" s="2">
        <v>0.314</v>
      </c>
      <c r="AT60" s="2">
        <v>1.4E-2</v>
      </c>
      <c r="AU60" s="2">
        <v>0.997</v>
      </c>
      <c r="AV60" s="2">
        <v>0.96597999999999995</v>
      </c>
      <c r="AW60" s="2">
        <v>1.05643</v>
      </c>
      <c r="AX60" s="2">
        <v>4.5999999999999999E-2</v>
      </c>
    </row>
    <row r="61" spans="1:50" x14ac:dyDescent="0.3">
      <c r="A61" s="2" t="s">
        <v>64</v>
      </c>
      <c r="B61" s="2">
        <v>16.39</v>
      </c>
      <c r="C61" s="2">
        <v>394.4</v>
      </c>
      <c r="D61" s="2">
        <v>5441</v>
      </c>
      <c r="E61" s="2">
        <v>784.9</v>
      </c>
      <c r="F61" s="2">
        <v>4776</v>
      </c>
      <c r="G61" s="2">
        <v>51200</v>
      </c>
      <c r="H61" s="2">
        <v>51440</v>
      </c>
      <c r="I61" s="2">
        <v>281.5</v>
      </c>
      <c r="J61" s="2">
        <v>3.177</v>
      </c>
      <c r="K61" s="2">
        <v>2.73</v>
      </c>
      <c r="L61" s="2">
        <v>166.9</v>
      </c>
      <c r="M61" s="2">
        <v>1505</v>
      </c>
      <c r="N61" s="2">
        <v>0.98</v>
      </c>
      <c r="O61" s="2">
        <v>5.9279999999999999</v>
      </c>
      <c r="P61" s="2">
        <v>21.36</v>
      </c>
      <c r="Q61" s="2">
        <v>23.26</v>
      </c>
      <c r="R61" s="2">
        <v>1.857</v>
      </c>
      <c r="S61" s="2">
        <v>0.87483</v>
      </c>
      <c r="T61" s="2">
        <v>0.87514000000000003</v>
      </c>
      <c r="U61" s="2">
        <v>0.42599999999999999</v>
      </c>
      <c r="V61" s="2">
        <v>3.1840000000000002</v>
      </c>
      <c r="W61" s="2">
        <v>20.149999999999999</v>
      </c>
      <c r="X61" s="2">
        <v>245.4</v>
      </c>
      <c r="Y61" s="2">
        <v>0.13900000000000001</v>
      </c>
      <c r="Z61" s="2">
        <v>0.58899999999999997</v>
      </c>
      <c r="AA61" s="2">
        <v>4.0000000000000001E-3</v>
      </c>
      <c r="AB61" s="2">
        <v>8.0000000000000002E-3</v>
      </c>
      <c r="AC61" s="2">
        <v>0.13300000000000001</v>
      </c>
      <c r="AD61" s="2">
        <v>1.625</v>
      </c>
      <c r="AE61" s="2">
        <v>5.3999999999999999E-2</v>
      </c>
      <c r="AF61" s="2">
        <v>0.92105000000000004</v>
      </c>
      <c r="AG61" s="2">
        <v>1.0841400000000001</v>
      </c>
      <c r="AH61" s="2">
        <v>0.57199999999999995</v>
      </c>
      <c r="AI61" s="2">
        <v>1.0999999999999999E-2</v>
      </c>
      <c r="AJ61" s="2">
        <v>2E-3</v>
      </c>
      <c r="AK61" s="2">
        <v>0.312</v>
      </c>
      <c r="AL61" s="2">
        <v>58.26</v>
      </c>
      <c r="AM61" s="2">
        <v>3.1E-2</v>
      </c>
      <c r="AN61" s="2">
        <v>0.104</v>
      </c>
      <c r="AO61" s="2">
        <v>0.12</v>
      </c>
      <c r="AP61" s="2">
        <v>0.12</v>
      </c>
      <c r="AQ61" s="2">
        <v>0</v>
      </c>
      <c r="AR61" s="2">
        <v>1E-3</v>
      </c>
      <c r="AS61" s="2">
        <v>0.307</v>
      </c>
      <c r="AT61" s="2">
        <v>1.9E-2</v>
      </c>
      <c r="AU61" s="2">
        <v>1.3839999999999999</v>
      </c>
      <c r="AV61" s="2">
        <v>0.90039999999999998</v>
      </c>
      <c r="AW61" s="2">
        <v>1.0428999999999999</v>
      </c>
      <c r="AX61" s="2">
        <v>5.3999999999999999E-2</v>
      </c>
    </row>
    <row r="62" spans="1:50" x14ac:dyDescent="0.3">
      <c r="A62" s="2" t="s">
        <v>65</v>
      </c>
      <c r="B62" s="2">
        <v>24.55</v>
      </c>
      <c r="C62" s="2">
        <v>642.1</v>
      </c>
      <c r="D62" s="2">
        <v>4868</v>
      </c>
      <c r="E62" s="2">
        <v>977.5</v>
      </c>
      <c r="F62" s="2">
        <v>3074</v>
      </c>
      <c r="G62" s="2">
        <v>53150</v>
      </c>
      <c r="H62" s="2">
        <v>63490</v>
      </c>
      <c r="I62" s="2">
        <v>370.1</v>
      </c>
      <c r="J62" s="2">
        <v>4.0279999999999996</v>
      </c>
      <c r="K62" s="2">
        <v>3.3559999999999999</v>
      </c>
      <c r="L62" s="2">
        <v>247.9</v>
      </c>
      <c r="M62" s="2">
        <v>2000</v>
      </c>
      <c r="N62" s="2">
        <v>1.1519999999999999</v>
      </c>
      <c r="O62" s="2">
        <v>3.89</v>
      </c>
      <c r="P62" s="2">
        <v>20.149999999999999</v>
      </c>
      <c r="Q62" s="2">
        <v>25.33</v>
      </c>
      <c r="R62" s="2">
        <v>2.1309999999999998</v>
      </c>
      <c r="S62" s="2">
        <v>0.87341999999999997</v>
      </c>
      <c r="T62" s="2">
        <v>0.88063000000000002</v>
      </c>
      <c r="U62" s="2">
        <v>0.36299999999999999</v>
      </c>
      <c r="V62" s="2">
        <v>3.9289999999999998</v>
      </c>
      <c r="W62" s="2">
        <v>30.75</v>
      </c>
      <c r="X62" s="2">
        <v>252.9</v>
      </c>
      <c r="Y62" s="2">
        <v>0.222</v>
      </c>
      <c r="Z62" s="2">
        <v>0.65400000000000003</v>
      </c>
      <c r="AA62" s="2">
        <v>5.0000000000000001E-3</v>
      </c>
      <c r="AB62" s="2">
        <v>8.0000000000000002E-3</v>
      </c>
      <c r="AC62" s="2">
        <v>0.127</v>
      </c>
      <c r="AD62" s="2">
        <v>1.6759999999999999</v>
      </c>
      <c r="AE62" s="2">
        <v>0.17100000000000001</v>
      </c>
      <c r="AF62" s="2">
        <v>0.91617000000000004</v>
      </c>
      <c r="AG62" s="2">
        <v>1.08107</v>
      </c>
      <c r="AH62" s="2">
        <v>0.60299999999999998</v>
      </c>
      <c r="AI62" s="2">
        <v>1.4999999999999999E-2</v>
      </c>
      <c r="AJ62" s="2">
        <v>4.0000000000000001E-3</v>
      </c>
      <c r="AK62" s="2">
        <v>0.40600000000000003</v>
      </c>
      <c r="AL62" s="2">
        <v>67.56</v>
      </c>
      <c r="AM62" s="2">
        <v>0.03</v>
      </c>
      <c r="AN62" s="2">
        <v>0.161</v>
      </c>
      <c r="AO62" s="2">
        <v>0.17299999999999999</v>
      </c>
      <c r="AP62" s="2">
        <v>0.17199999999999999</v>
      </c>
      <c r="AQ62" s="2">
        <v>0</v>
      </c>
      <c r="AR62" s="2">
        <v>0</v>
      </c>
      <c r="AS62" s="2">
        <v>0.32100000000000001</v>
      </c>
      <c r="AT62" s="2">
        <v>1.6E-2</v>
      </c>
      <c r="AU62" s="2">
        <v>1.7150000000000001</v>
      </c>
      <c r="AV62" s="2">
        <v>0.90361999999999998</v>
      </c>
      <c r="AW62" s="2">
        <v>1.0430900000000001</v>
      </c>
      <c r="AX62" s="2">
        <v>6.9000000000000006E-2</v>
      </c>
    </row>
    <row r="63" spans="1:50" x14ac:dyDescent="0.3">
      <c r="A63" s="2" t="s">
        <v>70</v>
      </c>
      <c r="B63" s="2">
        <v>-1.2110000000000001</v>
      </c>
      <c r="C63" s="2">
        <v>-3.5609999999999999</v>
      </c>
      <c r="D63" s="2">
        <v>5.6769999999999996</v>
      </c>
      <c r="E63" s="2">
        <v>-5.5529999999999999</v>
      </c>
      <c r="F63" s="2">
        <v>56.84</v>
      </c>
      <c r="G63" s="2">
        <v>4.62</v>
      </c>
      <c r="H63" s="2">
        <v>-12.63</v>
      </c>
      <c r="I63" s="2">
        <v>0.124</v>
      </c>
      <c r="J63" s="2">
        <v>8.1000000000000003E-2</v>
      </c>
      <c r="K63" s="2">
        <v>-3.1E-2</v>
      </c>
      <c r="L63" s="2">
        <v>7.3999999999999996E-2</v>
      </c>
      <c r="M63" s="2">
        <v>-0.57499999999999996</v>
      </c>
      <c r="N63" s="2">
        <v>-6.0000000000000001E-3</v>
      </c>
      <c r="O63" s="2">
        <v>-0.80900000000000005</v>
      </c>
      <c r="P63" s="2">
        <v>-0.214</v>
      </c>
      <c r="Q63" s="2">
        <v>3.536</v>
      </c>
      <c r="R63" s="2">
        <v>-3.7999999999999999E-2</v>
      </c>
      <c r="S63" s="2">
        <v>0.93567999999999996</v>
      </c>
      <c r="T63" s="2">
        <v>0.90888999999999998</v>
      </c>
      <c r="U63" s="2">
        <v>-8.9999999999999993E-3</v>
      </c>
      <c r="V63" s="2">
        <v>7.2999999999999995E-2</v>
      </c>
      <c r="W63" s="2">
        <v>6.0000000000000001E-3</v>
      </c>
      <c r="X63" s="2">
        <v>0.19600000000000001</v>
      </c>
      <c r="Y63" s="2">
        <v>0</v>
      </c>
      <c r="Z63" s="2">
        <v>1E-3</v>
      </c>
      <c r="AA63" s="2">
        <v>0</v>
      </c>
      <c r="AB63" s="2">
        <v>0</v>
      </c>
      <c r="AC63" s="2">
        <v>0</v>
      </c>
      <c r="AD63" s="2">
        <v>1.6559999999999999</v>
      </c>
      <c r="AE63" s="2">
        <v>0</v>
      </c>
      <c r="AF63" s="2">
        <v>0.96887000000000001</v>
      </c>
      <c r="AG63" s="2">
        <v>1.12161</v>
      </c>
      <c r="AH63" s="2">
        <v>-1.9E-2</v>
      </c>
      <c r="AI63" s="2">
        <v>-3.5999999999999997E-2</v>
      </c>
      <c r="AJ63" s="2">
        <v>1E-3</v>
      </c>
      <c r="AK63" s="2">
        <v>-1E-3</v>
      </c>
      <c r="AL63" s="2">
        <v>-1.4339999999999999</v>
      </c>
      <c r="AM63" s="2">
        <v>0</v>
      </c>
      <c r="AN63" s="2">
        <v>3.0000000000000001E-3</v>
      </c>
      <c r="AO63" s="2">
        <v>0</v>
      </c>
      <c r="AP63" s="2">
        <v>0</v>
      </c>
      <c r="AQ63" s="2">
        <v>0</v>
      </c>
      <c r="AR63" s="2">
        <v>0</v>
      </c>
      <c r="AS63" s="2">
        <v>0.27</v>
      </c>
      <c r="AT63" s="2">
        <v>-4.0000000000000001E-3</v>
      </c>
      <c r="AU63" s="2">
        <v>0.03</v>
      </c>
      <c r="AV63" s="2">
        <v>1.07589</v>
      </c>
      <c r="AW63" s="2">
        <v>1.1354500000000001</v>
      </c>
      <c r="AX63" s="2">
        <v>0</v>
      </c>
    </row>
    <row r="64" spans="1:50" x14ac:dyDescent="0.3">
      <c r="A64" s="2" t="s">
        <v>71</v>
      </c>
      <c r="B64" s="2">
        <v>6.1909999999999998</v>
      </c>
      <c r="C64" s="2">
        <v>24.35</v>
      </c>
      <c r="D64" s="2">
        <v>12060</v>
      </c>
      <c r="E64" s="2">
        <v>371.7</v>
      </c>
      <c r="F64" s="2">
        <v>3346</v>
      </c>
      <c r="G64" s="2">
        <v>65610</v>
      </c>
      <c r="H64" s="2">
        <v>43940</v>
      </c>
      <c r="I64" s="2">
        <v>211.5</v>
      </c>
      <c r="J64" s="2">
        <v>1.746</v>
      </c>
      <c r="K64" s="2">
        <v>3.3</v>
      </c>
      <c r="L64" s="2">
        <v>267.5</v>
      </c>
      <c r="M64" s="2">
        <v>673.5</v>
      </c>
      <c r="N64" s="2">
        <v>0.216</v>
      </c>
      <c r="O64" s="2">
        <v>1.034</v>
      </c>
      <c r="P64" s="2">
        <v>8.7409999999999997</v>
      </c>
      <c r="Q64" s="2">
        <v>38.74</v>
      </c>
      <c r="R64" s="2">
        <v>8.4009999999999998</v>
      </c>
      <c r="S64" s="2">
        <v>0.91054999999999997</v>
      </c>
      <c r="T64" s="2">
        <v>0.90239999999999998</v>
      </c>
      <c r="U64" s="2">
        <v>1.111</v>
      </c>
      <c r="V64" s="2">
        <v>1.9019999999999999</v>
      </c>
      <c r="W64" s="2">
        <v>47.91</v>
      </c>
      <c r="X64" s="2">
        <v>150.4</v>
      </c>
      <c r="Y64" s="2">
        <v>4.5999999999999999E-2</v>
      </c>
      <c r="Z64" s="2">
        <v>0.13100000000000001</v>
      </c>
      <c r="AA64" s="2">
        <v>1E-3</v>
      </c>
      <c r="AB64" s="2">
        <v>5.0000000000000001E-3</v>
      </c>
      <c r="AC64" s="2">
        <v>7.5999999999999998E-2</v>
      </c>
      <c r="AD64" s="2">
        <v>1.5329999999999999</v>
      </c>
      <c r="AE64" s="2">
        <v>5.1999999999999998E-2</v>
      </c>
      <c r="AF64" s="2">
        <v>0.94279999999999997</v>
      </c>
      <c r="AG64" s="2">
        <v>1.10117</v>
      </c>
      <c r="AH64" s="2">
        <v>0.68799999999999994</v>
      </c>
      <c r="AI64" s="2">
        <v>-2E-3</v>
      </c>
      <c r="AJ64" s="2">
        <v>-1E-3</v>
      </c>
      <c r="AK64" s="2">
        <v>0.18099999999999999</v>
      </c>
      <c r="AL64" s="2">
        <v>306.89999999999998</v>
      </c>
      <c r="AM64" s="2">
        <v>0.02</v>
      </c>
      <c r="AN64" s="2">
        <v>4.2999999999999997E-2</v>
      </c>
      <c r="AO64" s="2">
        <v>0</v>
      </c>
      <c r="AP64" s="2">
        <v>0</v>
      </c>
      <c r="AQ64" s="2">
        <v>0</v>
      </c>
      <c r="AR64" s="2">
        <v>0</v>
      </c>
      <c r="AS64" s="2">
        <v>0.26700000000000002</v>
      </c>
      <c r="AT64" s="2">
        <v>4.8000000000000001E-2</v>
      </c>
      <c r="AU64" s="2">
        <v>2.1379999999999999</v>
      </c>
      <c r="AV64" s="2">
        <v>0.94762999999999997</v>
      </c>
      <c r="AW64" s="2">
        <v>1.0467</v>
      </c>
      <c r="AX64" s="2">
        <v>2.7E-2</v>
      </c>
    </row>
    <row r="65" spans="1:50" x14ac:dyDescent="0.3">
      <c r="A65" s="2" t="s">
        <v>72</v>
      </c>
      <c r="B65" s="2">
        <v>0.34</v>
      </c>
      <c r="C65" s="2">
        <v>175.6</v>
      </c>
      <c r="D65" s="2">
        <v>382.9</v>
      </c>
      <c r="E65" s="2">
        <v>337.1</v>
      </c>
      <c r="F65" s="2">
        <v>160</v>
      </c>
      <c r="G65" s="2">
        <v>367.5</v>
      </c>
      <c r="H65" s="2">
        <v>220.8</v>
      </c>
      <c r="I65" s="2">
        <v>171.5</v>
      </c>
      <c r="J65" s="2">
        <v>8.3829999999999991</v>
      </c>
      <c r="K65" s="2">
        <v>3.403</v>
      </c>
      <c r="L65" s="2">
        <v>32.47</v>
      </c>
      <c r="M65" s="2">
        <v>417.3</v>
      </c>
      <c r="N65" s="2">
        <v>3.4830000000000001</v>
      </c>
      <c r="O65" s="2">
        <v>3.0529999999999999</v>
      </c>
      <c r="P65" s="2">
        <v>3.407</v>
      </c>
      <c r="Q65" s="2">
        <v>3.3650000000000002</v>
      </c>
      <c r="R65" s="2">
        <v>1.405</v>
      </c>
      <c r="S65" s="2">
        <v>0.98501000000000005</v>
      </c>
      <c r="T65" s="2">
        <v>0.92123999999999995</v>
      </c>
      <c r="U65" s="2">
        <v>1.5980000000000001</v>
      </c>
      <c r="V65" s="2">
        <v>2.2909999999999999</v>
      </c>
      <c r="W65" s="2">
        <v>8.2070000000000007</v>
      </c>
      <c r="X65" s="2">
        <v>3.286</v>
      </c>
      <c r="Y65" s="2">
        <v>1.2809999999999999</v>
      </c>
      <c r="Z65" s="2">
        <v>3.3250000000000002</v>
      </c>
      <c r="AA65" s="2">
        <v>0.26400000000000001</v>
      </c>
      <c r="AB65" s="2">
        <v>0.25700000000000001</v>
      </c>
      <c r="AC65" s="2">
        <v>0.183</v>
      </c>
      <c r="AD65" s="2">
        <v>8.4390000000000001</v>
      </c>
      <c r="AE65" s="2">
        <v>3.3559999999999999</v>
      </c>
      <c r="AF65" s="2">
        <v>0.96870000000000001</v>
      </c>
      <c r="AG65" s="2">
        <v>1.07856</v>
      </c>
      <c r="AH65" s="2">
        <v>0.252</v>
      </c>
      <c r="AI65" s="2">
        <v>0.315</v>
      </c>
      <c r="AJ65" s="2">
        <v>0.251</v>
      </c>
      <c r="AK65" s="2">
        <v>1.611</v>
      </c>
      <c r="AL65" s="2">
        <v>15.12</v>
      </c>
      <c r="AM65" s="2">
        <v>3.3109999999999999</v>
      </c>
      <c r="AN65" s="2">
        <v>1.5780000000000001</v>
      </c>
      <c r="AO65" s="2">
        <v>1.663</v>
      </c>
      <c r="AP65" s="2">
        <v>1.64</v>
      </c>
      <c r="AQ65" s="2">
        <v>0.24199999999999999</v>
      </c>
      <c r="AR65" s="2">
        <v>0.245</v>
      </c>
      <c r="AS65" s="2">
        <v>0.28599999999999998</v>
      </c>
      <c r="AT65" s="2">
        <v>11.84</v>
      </c>
      <c r="AU65" s="2">
        <v>1.6990000000000001</v>
      </c>
      <c r="AV65" s="2">
        <v>1.1110899999999999</v>
      </c>
      <c r="AW65" s="2">
        <v>1.1365400000000001</v>
      </c>
      <c r="AX65" s="2">
        <v>1.9830000000000001</v>
      </c>
    </row>
    <row r="66" spans="1:50" x14ac:dyDescent="0.3">
      <c r="A66" s="2" t="s">
        <v>73</v>
      </c>
      <c r="B66" s="2">
        <v>-0.91500000000000004</v>
      </c>
      <c r="C66" s="2">
        <v>-37.92</v>
      </c>
      <c r="D66" s="2">
        <v>0.45</v>
      </c>
      <c r="E66" s="2">
        <v>-4.2999999999999997E-2</v>
      </c>
      <c r="F66" s="2">
        <v>-11.38</v>
      </c>
      <c r="G66" s="2">
        <v>-0.13200000000000001</v>
      </c>
      <c r="H66" s="2">
        <v>-30.76</v>
      </c>
      <c r="I66" s="2">
        <v>9.7000000000000003E-2</v>
      </c>
      <c r="J66" s="2">
        <v>3.1E-2</v>
      </c>
      <c r="K66" s="2">
        <v>-0.126</v>
      </c>
      <c r="L66" s="2">
        <v>3.2000000000000001E-2</v>
      </c>
      <c r="M66" s="2">
        <v>0.224</v>
      </c>
      <c r="N66" s="2">
        <v>1E-3</v>
      </c>
      <c r="O66" s="2">
        <v>-0.871</v>
      </c>
      <c r="P66" s="2">
        <v>-0.23499999999999999</v>
      </c>
      <c r="Q66" s="2">
        <v>-0.98199999999999998</v>
      </c>
      <c r="R66" s="2">
        <v>-2.1000000000000001E-2</v>
      </c>
      <c r="S66" s="2">
        <v>0.97982999999999998</v>
      </c>
      <c r="T66" s="2">
        <v>0.93418999999999996</v>
      </c>
      <c r="U66" s="2">
        <v>4.0000000000000001E-3</v>
      </c>
      <c r="V66" s="2">
        <v>-0.21</v>
      </c>
      <c r="W66" s="2">
        <v>6.0000000000000001E-3</v>
      </c>
      <c r="X66" s="2">
        <v>1.6E-2</v>
      </c>
      <c r="Y66" s="2">
        <v>4.0000000000000001E-3</v>
      </c>
      <c r="Z66" s="2">
        <v>5.0000000000000001E-3</v>
      </c>
      <c r="AA66" s="2">
        <v>0</v>
      </c>
      <c r="AB66" s="2">
        <v>0</v>
      </c>
      <c r="AC66" s="2">
        <v>0</v>
      </c>
      <c r="AD66" s="2">
        <v>1.4810000000000001</v>
      </c>
      <c r="AE66" s="2">
        <v>0</v>
      </c>
      <c r="AF66" s="2">
        <v>0.95694000000000001</v>
      </c>
      <c r="AG66" s="2">
        <v>1.08097</v>
      </c>
      <c r="AH66" s="2">
        <v>-0.06</v>
      </c>
      <c r="AI66" s="2">
        <v>-5.0000000000000001E-3</v>
      </c>
      <c r="AJ66" s="2">
        <v>1E-3</v>
      </c>
      <c r="AK66" s="2">
        <v>1E-3</v>
      </c>
      <c r="AL66" s="2">
        <v>-0.97599999999999998</v>
      </c>
      <c r="AM66" s="2">
        <v>1E-3</v>
      </c>
      <c r="AN66" s="2">
        <v>2E-3</v>
      </c>
      <c r="AO66" s="2">
        <v>1E-3</v>
      </c>
      <c r="AP66" s="2">
        <v>1E-3</v>
      </c>
      <c r="AQ66" s="2">
        <v>0</v>
      </c>
      <c r="AR66" s="2">
        <v>0</v>
      </c>
      <c r="AS66" s="2">
        <v>0.26600000000000001</v>
      </c>
      <c r="AT66" s="2">
        <v>3.0000000000000001E-3</v>
      </c>
      <c r="AU66" s="2">
        <v>-1E-3</v>
      </c>
      <c r="AV66" s="2">
        <v>1.11578</v>
      </c>
      <c r="AW66" s="2">
        <v>1.14401</v>
      </c>
      <c r="AX66" s="2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O83"/>
  <sheetViews>
    <sheetView topLeftCell="A73" workbookViewId="0">
      <selection activeCell="M16" sqref="M16"/>
    </sheetView>
  </sheetViews>
  <sheetFormatPr defaultRowHeight="15.75" x14ac:dyDescent="0.25"/>
  <cols>
    <col min="1" max="1" width="9.140625" style="5"/>
    <col min="2" max="2" width="12.85546875" style="5" customWidth="1"/>
    <col min="3" max="3" width="13.140625" style="5" customWidth="1"/>
    <col min="4" max="4" width="15" style="5" customWidth="1"/>
    <col min="5" max="5" width="13" style="5" bestFit="1" customWidth="1"/>
    <col min="6" max="6" width="12.85546875" style="5" customWidth="1"/>
    <col min="7" max="7" width="13" style="5" bestFit="1" customWidth="1"/>
    <col min="8" max="8" width="14.28515625" style="5" customWidth="1"/>
    <col min="9" max="9" width="12.7109375" style="5" customWidth="1"/>
    <col min="10" max="10" width="11.42578125" style="5" bestFit="1" customWidth="1"/>
    <col min="11" max="16" width="9.140625" style="5"/>
    <col min="17" max="17" width="12.5703125" style="5" customWidth="1"/>
    <col min="18" max="18" width="12.140625" style="5" customWidth="1"/>
    <col min="19" max="33" width="9.140625" style="5"/>
    <col min="34" max="34" width="15" style="5" customWidth="1"/>
    <col min="35" max="35" width="15.42578125" style="5" customWidth="1"/>
    <col min="36" max="36" width="14.5703125" style="5" customWidth="1"/>
    <col min="37" max="37" width="17.140625" style="5" customWidth="1"/>
    <col min="38" max="38" width="14.28515625" style="5" customWidth="1"/>
    <col min="39" max="39" width="14.42578125" style="5" customWidth="1"/>
    <col min="40" max="40" width="12.140625" style="5" customWidth="1"/>
    <col min="41" max="41" width="12.28515625" style="5" customWidth="1"/>
    <col min="42" max="42" width="14.140625" style="5" customWidth="1"/>
    <col min="43" max="43" width="15.140625" style="5" customWidth="1"/>
    <col min="44" max="44" width="12.7109375" style="5" customWidth="1"/>
    <col min="45" max="46" width="14.42578125" style="5" customWidth="1"/>
    <col min="47" max="47" width="12.7109375" style="5" customWidth="1"/>
    <col min="48" max="48" width="15.140625" style="5" customWidth="1"/>
    <col min="49" max="49" width="16.28515625" style="5" customWidth="1"/>
    <col min="50" max="50" width="14.7109375" style="5" customWidth="1"/>
    <col min="51" max="51" width="14.85546875" style="5" customWidth="1"/>
    <col min="52" max="52" width="14.42578125" style="5" customWidth="1"/>
    <col min="53" max="53" width="11.28515625" style="5" customWidth="1"/>
    <col min="54" max="54" width="14.85546875" style="5" customWidth="1"/>
    <col min="55" max="55" width="11.7109375" style="5" customWidth="1"/>
    <col min="56" max="56" width="13.7109375" style="5" customWidth="1"/>
    <col min="57" max="57" width="13" style="5" customWidth="1"/>
    <col min="58" max="58" width="13.42578125" style="5" customWidth="1"/>
    <col min="59" max="59" width="11.5703125" style="5" customWidth="1"/>
    <col min="60" max="60" width="14.140625" style="5" customWidth="1"/>
    <col min="61" max="61" width="11.5703125" style="5" customWidth="1"/>
    <col min="62" max="62" width="13.42578125" style="5" customWidth="1"/>
    <col min="63" max="63" width="9.140625" style="5"/>
    <col min="64" max="64" width="11.28515625" style="5" customWidth="1"/>
    <col min="65" max="65" width="12" style="5" customWidth="1"/>
    <col min="66" max="66" width="12.85546875" style="5" customWidth="1"/>
    <col min="67" max="67" width="12" style="5" customWidth="1"/>
    <col min="68" max="16384" width="9.140625" style="5"/>
  </cols>
  <sheetData>
    <row r="2" spans="1:11" ht="20.100000000000001" customHeight="1" thickBot="1" x14ac:dyDescent="0.3"/>
    <row r="3" spans="1:11" ht="20.100000000000001" customHeight="1" x14ac:dyDescent="0.3">
      <c r="B3" s="6" t="s">
        <v>124</v>
      </c>
      <c r="C3" s="6" t="s">
        <v>125</v>
      </c>
      <c r="D3" s="6" t="s">
        <v>126</v>
      </c>
      <c r="E3" s="6" t="s">
        <v>127</v>
      </c>
      <c r="F3" s="6" t="s">
        <v>128</v>
      </c>
      <c r="G3" s="6" t="s">
        <v>129</v>
      </c>
      <c r="H3" s="6" t="s">
        <v>130</v>
      </c>
      <c r="J3" s="6" t="s">
        <v>131</v>
      </c>
    </row>
    <row r="4" spans="1:11" ht="20.100000000000001" customHeight="1" x14ac:dyDescent="0.3">
      <c r="B4" s="7" t="s">
        <v>121</v>
      </c>
      <c r="C4" s="7" t="s">
        <v>122</v>
      </c>
      <c r="D4" s="7" t="s">
        <v>123</v>
      </c>
      <c r="E4" s="8">
        <v>6.9444444444444434E-2</v>
      </c>
      <c r="F4" s="8">
        <v>5.5555555555555552E-2</v>
      </c>
      <c r="G4" s="8">
        <v>4.8611111111111112E-2</v>
      </c>
      <c r="H4" s="9" t="s">
        <v>119</v>
      </c>
      <c r="J4" s="7" t="s">
        <v>118</v>
      </c>
    </row>
    <row r="5" spans="1:11" ht="20.100000000000001" customHeight="1" thickBot="1" x14ac:dyDescent="0.35">
      <c r="B5" s="10" t="s">
        <v>91</v>
      </c>
      <c r="C5" s="10" t="s">
        <v>91</v>
      </c>
      <c r="D5" s="10" t="s">
        <v>91</v>
      </c>
      <c r="E5" s="10" t="s">
        <v>91</v>
      </c>
      <c r="F5" s="10" t="s">
        <v>91</v>
      </c>
      <c r="G5" s="10" t="s">
        <v>91</v>
      </c>
      <c r="H5" s="10" t="s">
        <v>91</v>
      </c>
      <c r="J5" s="11" t="s">
        <v>91</v>
      </c>
    </row>
    <row r="6" spans="1:11" ht="20.100000000000001" customHeight="1" thickBot="1" x14ac:dyDescent="0.4">
      <c r="A6" s="12" t="s">
        <v>132</v>
      </c>
      <c r="B6" s="13">
        <v>51.152847152847173</v>
      </c>
      <c r="C6" s="13">
        <v>255.76423576423585</v>
      </c>
      <c r="D6" s="14">
        <v>511.5284715284717</v>
      </c>
      <c r="E6" s="13">
        <v>1278.8211788211793</v>
      </c>
      <c r="F6" s="13">
        <v>2557.6423576423585</v>
      </c>
      <c r="G6" s="13">
        <v>5115.2847152847171</v>
      </c>
      <c r="H6" s="15">
        <v>51152.847152847171</v>
      </c>
      <c r="J6" s="16">
        <v>1278.8211788211793</v>
      </c>
    </row>
    <row r="7" spans="1:11" ht="20.100000000000001" customHeight="1" thickBot="1" x14ac:dyDescent="0.4">
      <c r="A7" s="17" t="s">
        <v>74</v>
      </c>
      <c r="B7" s="13">
        <v>2.0979020979020994E-2</v>
      </c>
      <c r="C7" s="13">
        <v>0.10489510489510497</v>
      </c>
      <c r="D7" s="14">
        <v>0.20979020979020993</v>
      </c>
      <c r="E7" s="13">
        <v>0.52447552447552481</v>
      </c>
      <c r="F7" s="13">
        <v>1.0489510489510496</v>
      </c>
      <c r="G7" s="13">
        <v>2.0979020979020992</v>
      </c>
      <c r="H7" s="15">
        <v>20.979020979020994</v>
      </c>
      <c r="J7" s="16">
        <v>0.52447552447552481</v>
      </c>
    </row>
    <row r="8" spans="1:11" ht="20.100000000000001" customHeight="1" thickBot="1" x14ac:dyDescent="0.4">
      <c r="A8" s="18" t="s">
        <v>133</v>
      </c>
      <c r="B8" s="13">
        <v>0.99900099900101325</v>
      </c>
      <c r="C8" s="13">
        <v>4.9950049950050666</v>
      </c>
      <c r="D8" s="14">
        <v>9.9900099900101331</v>
      </c>
      <c r="E8" s="13">
        <v>24.975024975025331</v>
      </c>
      <c r="F8" s="13">
        <v>49.950049950050662</v>
      </c>
      <c r="G8" s="13">
        <v>99.900099900101324</v>
      </c>
      <c r="H8" s="15">
        <v>999.00099900101327</v>
      </c>
      <c r="J8" s="16">
        <v>24.975024975025331</v>
      </c>
    </row>
    <row r="9" spans="1:11" ht="20.100000000000001" customHeight="1" x14ac:dyDescent="0.35">
      <c r="A9" s="19" t="s">
        <v>90</v>
      </c>
      <c r="B9" s="13">
        <v>5.2552380523171585E-2</v>
      </c>
      <c r="C9" s="13">
        <v>0.26276190261585791</v>
      </c>
      <c r="D9" s="14">
        <v>0.52552380523171582</v>
      </c>
      <c r="E9" s="13">
        <v>1.3138095130792897</v>
      </c>
      <c r="F9" s="13">
        <v>2.6276190261585795</v>
      </c>
      <c r="G9" s="13">
        <v>5.2552380523171589</v>
      </c>
      <c r="H9" s="15">
        <v>52.552380523171585</v>
      </c>
      <c r="J9" s="16">
        <v>1.3138095130792897</v>
      </c>
    </row>
    <row r="10" spans="1:11" ht="20.100000000000001" customHeight="1" thickBot="1" x14ac:dyDescent="0.4">
      <c r="A10" s="20" t="s">
        <v>96</v>
      </c>
      <c r="B10" s="21">
        <v>5.1348735161810023E-2</v>
      </c>
      <c r="C10" s="21">
        <v>0.25674367580905011</v>
      </c>
      <c r="D10" s="22">
        <v>0.51348735161810022</v>
      </c>
      <c r="E10" s="21">
        <v>1.2837183790452507</v>
      </c>
      <c r="F10" s="21">
        <v>2.5674367580905013</v>
      </c>
      <c r="G10" s="21">
        <v>5.1348735161810026</v>
      </c>
      <c r="H10" s="23">
        <v>51.348735161810026</v>
      </c>
      <c r="J10" s="24">
        <v>1.2837183790452507</v>
      </c>
    </row>
    <row r="11" spans="1:11" ht="20.100000000000001" customHeight="1" x14ac:dyDescent="0.35">
      <c r="A11" s="25" t="s">
        <v>101</v>
      </c>
      <c r="B11" s="13">
        <v>0.4971056260273482</v>
      </c>
      <c r="C11" s="13">
        <v>2.4855281301367409</v>
      </c>
      <c r="D11" s="14">
        <v>4.9710562602734818</v>
      </c>
      <c r="E11" s="13">
        <v>12.427640650683704</v>
      </c>
      <c r="F11" s="13">
        <v>24.855281301367409</v>
      </c>
      <c r="G11" s="13">
        <v>49.710562602734818</v>
      </c>
      <c r="H11" s="26">
        <v>497.10562602734819</v>
      </c>
      <c r="J11" s="16">
        <v>12.427640650683704</v>
      </c>
      <c r="K11" s="27"/>
    </row>
    <row r="12" spans="1:11" ht="20.100000000000001" customHeight="1" thickBot="1" x14ac:dyDescent="0.4">
      <c r="A12" s="28" t="s">
        <v>115</v>
      </c>
      <c r="B12" s="21">
        <v>0.51330387630654384</v>
      </c>
      <c r="C12" s="21">
        <v>2.5665193815327196</v>
      </c>
      <c r="D12" s="22">
        <v>5.1330387630654393</v>
      </c>
      <c r="E12" s="21">
        <v>12.832596907663596</v>
      </c>
      <c r="F12" s="21">
        <v>25.665193815327193</v>
      </c>
      <c r="G12" s="21">
        <v>51.330387630654386</v>
      </c>
      <c r="H12" s="29">
        <v>513.30387630654388</v>
      </c>
      <c r="J12" s="24">
        <v>12.832596907663596</v>
      </c>
    </row>
    <row r="13" spans="1:11" ht="20.100000000000001" customHeight="1" x14ac:dyDescent="0.35">
      <c r="A13" s="30" t="s">
        <v>114</v>
      </c>
      <c r="B13" s="13">
        <v>1.0035908828614687E-2</v>
      </c>
      <c r="C13" s="13">
        <v>5.0179544143073435E-2</v>
      </c>
      <c r="D13" s="14">
        <v>0.10035908828614687</v>
      </c>
      <c r="E13" s="13">
        <v>0.2508977207153672</v>
      </c>
      <c r="F13" s="13">
        <v>0.5017954414307344</v>
      </c>
      <c r="G13" s="31">
        <v>1.0035908828614688</v>
      </c>
      <c r="H13" s="26">
        <v>10.035908828614687</v>
      </c>
      <c r="J13" s="16">
        <v>0.2508977207153672</v>
      </c>
    </row>
    <row r="14" spans="1:11" ht="20.100000000000001" customHeight="1" x14ac:dyDescent="0.35">
      <c r="A14" s="32" t="s">
        <v>109</v>
      </c>
      <c r="B14" s="33">
        <v>1.0035908828614687E-2</v>
      </c>
      <c r="C14" s="33">
        <v>5.0179544143073435E-2</v>
      </c>
      <c r="D14" s="34">
        <v>0.10035908828614687</v>
      </c>
      <c r="E14" s="33">
        <v>0.2508977207153672</v>
      </c>
      <c r="F14" s="33">
        <v>0.5017954414307344</v>
      </c>
      <c r="G14" s="35">
        <v>1.0035908828614688</v>
      </c>
      <c r="H14" s="29">
        <v>10.035908828614687</v>
      </c>
      <c r="J14" s="36">
        <v>0.2508977207153672</v>
      </c>
    </row>
    <row r="15" spans="1:11" ht="20.100000000000001" customHeight="1" x14ac:dyDescent="0.35">
      <c r="A15" s="37" t="s">
        <v>112</v>
      </c>
      <c r="B15" s="33">
        <v>1.0035908828614687E-2</v>
      </c>
      <c r="C15" s="33">
        <v>5.0179544143073435E-2</v>
      </c>
      <c r="D15" s="34">
        <v>0.10035908828614687</v>
      </c>
      <c r="E15" s="33">
        <v>0.2508977207153672</v>
      </c>
      <c r="F15" s="33">
        <v>0.5017954414307344</v>
      </c>
      <c r="G15" s="35">
        <v>1.0035908828614688</v>
      </c>
      <c r="H15" s="29">
        <v>10.035908828614687</v>
      </c>
      <c r="J15" s="36">
        <v>0.2508977207153672</v>
      </c>
    </row>
    <row r="16" spans="1:11" ht="20.100000000000001" customHeight="1" x14ac:dyDescent="0.35">
      <c r="A16" s="37" t="s">
        <v>100</v>
      </c>
      <c r="B16" s="33">
        <v>1.0035908828614687E-2</v>
      </c>
      <c r="C16" s="33">
        <v>5.0179544143073435E-2</v>
      </c>
      <c r="D16" s="34">
        <v>0.10035908828614687</v>
      </c>
      <c r="E16" s="33">
        <v>0.2508977207153672</v>
      </c>
      <c r="F16" s="33">
        <v>0.5017954414307344</v>
      </c>
      <c r="G16" s="35">
        <v>1.0035908828614688</v>
      </c>
      <c r="H16" s="29">
        <v>10.035908828614687</v>
      </c>
      <c r="J16" s="36">
        <v>0.2508977207153672</v>
      </c>
    </row>
    <row r="17" spans="1:10" ht="20.100000000000001" customHeight="1" x14ac:dyDescent="0.35">
      <c r="A17" s="37" t="s">
        <v>113</v>
      </c>
      <c r="B17" s="33">
        <v>1.0035908828614687E-2</v>
      </c>
      <c r="C17" s="33">
        <v>5.0179544143073435E-2</v>
      </c>
      <c r="D17" s="34">
        <v>0.10035908828614687</v>
      </c>
      <c r="E17" s="33">
        <v>0.2508977207153672</v>
      </c>
      <c r="F17" s="33">
        <v>0.5017954414307344</v>
      </c>
      <c r="G17" s="35">
        <v>1.0035908828614688</v>
      </c>
      <c r="H17" s="29">
        <v>10.035908828614687</v>
      </c>
      <c r="J17" s="36">
        <v>0.2508977207153672</v>
      </c>
    </row>
    <row r="18" spans="1:10" ht="20.100000000000001" customHeight="1" x14ac:dyDescent="0.35">
      <c r="A18" s="37" t="s">
        <v>99</v>
      </c>
      <c r="B18" s="33">
        <v>1.0035908828614687E-2</v>
      </c>
      <c r="C18" s="33">
        <v>5.0179544143073435E-2</v>
      </c>
      <c r="D18" s="34">
        <v>0.10035908828614687</v>
      </c>
      <c r="E18" s="33">
        <v>0.2508977207153672</v>
      </c>
      <c r="F18" s="33">
        <v>0.5017954414307344</v>
      </c>
      <c r="G18" s="35">
        <v>1.0035908828614688</v>
      </c>
      <c r="H18" s="29">
        <v>10.035908828614687</v>
      </c>
      <c r="J18" s="36">
        <v>0.2508977207153672</v>
      </c>
    </row>
    <row r="19" spans="1:10" ht="20.100000000000001" customHeight="1" x14ac:dyDescent="0.35">
      <c r="A19" s="37" t="s">
        <v>98</v>
      </c>
      <c r="B19" s="33">
        <v>1.0035908828614687E-2</v>
      </c>
      <c r="C19" s="33">
        <v>5.0179544143073435E-2</v>
      </c>
      <c r="D19" s="34">
        <v>0.10035908828614687</v>
      </c>
      <c r="E19" s="33">
        <v>0.2508977207153672</v>
      </c>
      <c r="F19" s="33">
        <v>0.5017954414307344</v>
      </c>
      <c r="G19" s="35">
        <v>1.0035908828614688</v>
      </c>
      <c r="H19" s="29">
        <v>10.035908828614687</v>
      </c>
      <c r="J19" s="36">
        <v>0.2508977207153672</v>
      </c>
    </row>
    <row r="20" spans="1:10" ht="20.100000000000001" customHeight="1" x14ac:dyDescent="0.35">
      <c r="A20" s="37" t="s">
        <v>104</v>
      </c>
      <c r="B20" s="33">
        <v>1.0035908828614687E-2</v>
      </c>
      <c r="C20" s="33">
        <v>5.0179544143073435E-2</v>
      </c>
      <c r="D20" s="34">
        <v>0.10035908828614687</v>
      </c>
      <c r="E20" s="33">
        <v>0.2508977207153672</v>
      </c>
      <c r="F20" s="33">
        <v>0.5017954414307344</v>
      </c>
      <c r="G20" s="35">
        <v>1.0035908828614688</v>
      </c>
      <c r="H20" s="29">
        <v>10.035908828614687</v>
      </c>
      <c r="J20" s="36">
        <v>0.2508977207153672</v>
      </c>
    </row>
    <row r="21" spans="1:10" ht="20.100000000000001" customHeight="1" x14ac:dyDescent="0.35">
      <c r="A21" s="37" t="s">
        <v>103</v>
      </c>
      <c r="B21" s="33">
        <v>1.0035908828614687E-2</v>
      </c>
      <c r="C21" s="33">
        <v>5.0179544143073435E-2</v>
      </c>
      <c r="D21" s="34">
        <v>0.10035908828614687</v>
      </c>
      <c r="E21" s="33">
        <v>0.2508977207153672</v>
      </c>
      <c r="F21" s="33">
        <v>0.5017954414307344</v>
      </c>
      <c r="G21" s="35">
        <v>1.0035908828614688</v>
      </c>
      <c r="H21" s="29">
        <v>10.035908828614687</v>
      </c>
      <c r="J21" s="36">
        <v>0.2508977207153672</v>
      </c>
    </row>
    <row r="22" spans="1:10" ht="20.100000000000001" customHeight="1" thickBot="1" x14ac:dyDescent="0.4">
      <c r="A22" s="38" t="s">
        <v>105</v>
      </c>
      <c r="B22" s="21">
        <v>1.0035908828614687E-2</v>
      </c>
      <c r="C22" s="21">
        <v>5.0179544143073435E-2</v>
      </c>
      <c r="D22" s="22">
        <v>0.10035908828614687</v>
      </c>
      <c r="E22" s="21">
        <v>0.2508977207153672</v>
      </c>
      <c r="F22" s="21">
        <v>0.5017954414307344</v>
      </c>
      <c r="G22" s="39">
        <v>1.0035908828614688</v>
      </c>
      <c r="H22" s="40">
        <v>10.035908828614687</v>
      </c>
      <c r="J22" s="24">
        <v>0.2508977207153672</v>
      </c>
    </row>
    <row r="23" spans="1:10" ht="20.100000000000001" customHeight="1" x14ac:dyDescent="0.35">
      <c r="A23" s="41" t="s">
        <v>108</v>
      </c>
      <c r="B23" s="13">
        <v>1.9502248315332663E-2</v>
      </c>
      <c r="C23" s="13">
        <v>9.7511241576663299E-2</v>
      </c>
      <c r="D23" s="14">
        <v>0.1950224831533266</v>
      </c>
      <c r="E23" s="13">
        <v>0.48755620788331655</v>
      </c>
      <c r="F23" s="13">
        <v>0.9751124157666331</v>
      </c>
      <c r="G23" s="13">
        <v>1.9502248315332662</v>
      </c>
      <c r="H23" s="29">
        <v>19.502248315332661</v>
      </c>
      <c r="J23" s="16">
        <v>0.48755620788331655</v>
      </c>
    </row>
    <row r="24" spans="1:10" ht="20.100000000000001" customHeight="1" x14ac:dyDescent="0.35">
      <c r="A24" s="42" t="s">
        <v>134</v>
      </c>
      <c r="B24" s="33">
        <v>1.9502248315332663E-2</v>
      </c>
      <c r="C24" s="33">
        <v>9.7511241576663299E-2</v>
      </c>
      <c r="D24" s="34">
        <v>0.1950224831533266</v>
      </c>
      <c r="E24" s="33">
        <v>0.48755620788331655</v>
      </c>
      <c r="F24" s="33">
        <v>0.9751124157666331</v>
      </c>
      <c r="G24" s="33">
        <v>1.9502248315332662</v>
      </c>
      <c r="H24" s="29">
        <v>19.502248315332661</v>
      </c>
      <c r="J24" s="36">
        <v>0.48755620788331655</v>
      </c>
    </row>
    <row r="25" spans="1:10" ht="20.100000000000001" customHeight="1" x14ac:dyDescent="0.35">
      <c r="A25" s="42" t="s">
        <v>135</v>
      </c>
      <c r="B25" s="33">
        <v>1.9502248315332663E-2</v>
      </c>
      <c r="C25" s="33">
        <v>9.7511241576663299E-2</v>
      </c>
      <c r="D25" s="34">
        <v>0.1950224831533266</v>
      </c>
      <c r="E25" s="33">
        <v>0.48755620788331655</v>
      </c>
      <c r="F25" s="33">
        <v>0.9751124157666331</v>
      </c>
      <c r="G25" s="33">
        <v>1.9502248315332662</v>
      </c>
      <c r="H25" s="29">
        <v>19.502248315332661</v>
      </c>
      <c r="J25" s="36">
        <v>0.48755620788331655</v>
      </c>
    </row>
    <row r="26" spans="1:10" ht="20.100000000000001" customHeight="1" x14ac:dyDescent="0.35">
      <c r="A26" s="42" t="s">
        <v>136</v>
      </c>
      <c r="B26" s="33">
        <v>1.9502248315332663E-2</v>
      </c>
      <c r="C26" s="33">
        <v>9.7511241576663299E-2</v>
      </c>
      <c r="D26" s="34">
        <v>0.1950224831533266</v>
      </c>
      <c r="E26" s="33">
        <v>0.48755620788331655</v>
      </c>
      <c r="F26" s="33">
        <v>0.9751124157666331</v>
      </c>
      <c r="G26" s="33">
        <v>1.9502248315332662</v>
      </c>
      <c r="H26" s="29">
        <v>19.502248315332661</v>
      </c>
      <c r="J26" s="36">
        <v>0.48755620788331655</v>
      </c>
    </row>
    <row r="27" spans="1:10" ht="20.100000000000001" customHeight="1" x14ac:dyDescent="0.35">
      <c r="A27" s="42" t="s">
        <v>137</v>
      </c>
      <c r="B27" s="33">
        <v>1.9502248315332663E-2</v>
      </c>
      <c r="C27" s="33">
        <v>9.7511241576663299E-2</v>
      </c>
      <c r="D27" s="34">
        <v>0.1950224831533266</v>
      </c>
      <c r="E27" s="33">
        <v>0.48755620788331655</v>
      </c>
      <c r="F27" s="33">
        <v>0.9751124157666331</v>
      </c>
      <c r="G27" s="33">
        <v>1.9502248315332662</v>
      </c>
      <c r="H27" s="29">
        <v>19.502248315332661</v>
      </c>
      <c r="J27" s="36">
        <v>0.48755620788331655</v>
      </c>
    </row>
    <row r="28" spans="1:10" ht="20.100000000000001" customHeight="1" x14ac:dyDescent="0.35">
      <c r="A28" s="42" t="s">
        <v>138</v>
      </c>
      <c r="B28" s="33">
        <v>1.9502248315332663E-2</v>
      </c>
      <c r="C28" s="33">
        <v>9.7511241576663299E-2</v>
      </c>
      <c r="D28" s="34">
        <v>0.1950224831533266</v>
      </c>
      <c r="E28" s="33">
        <v>0.48755620788331655</v>
      </c>
      <c r="F28" s="33">
        <v>0.9751124157666331</v>
      </c>
      <c r="G28" s="33">
        <v>1.9502248315332662</v>
      </c>
      <c r="H28" s="29">
        <v>19.502248315332661</v>
      </c>
      <c r="J28" s="36">
        <v>0.48755620788331655</v>
      </c>
    </row>
    <row r="29" spans="1:10" ht="20.100000000000001" customHeight="1" x14ac:dyDescent="0.35">
      <c r="A29" s="42" t="s">
        <v>139</v>
      </c>
      <c r="B29" s="33">
        <v>1.9502248315332663E-2</v>
      </c>
      <c r="C29" s="33">
        <v>9.7511241576663299E-2</v>
      </c>
      <c r="D29" s="34">
        <v>0.1950224831533266</v>
      </c>
      <c r="E29" s="33">
        <v>0.48755620788331655</v>
      </c>
      <c r="F29" s="33">
        <v>0.9751124157666331</v>
      </c>
      <c r="G29" s="33">
        <v>1.9502248315332662</v>
      </c>
      <c r="H29" s="29">
        <v>19.502248315332661</v>
      </c>
      <c r="J29" s="36">
        <v>0.48755620788331655</v>
      </c>
    </row>
    <row r="30" spans="1:10" ht="20.100000000000001" customHeight="1" x14ac:dyDescent="0.35">
      <c r="A30" s="42" t="s">
        <v>140</v>
      </c>
      <c r="B30" s="33">
        <v>1.9502248315332663E-2</v>
      </c>
      <c r="C30" s="33">
        <v>9.7511241576663299E-2</v>
      </c>
      <c r="D30" s="34">
        <v>0.1950224831533266</v>
      </c>
      <c r="E30" s="33">
        <v>0.48755620788331655</v>
      </c>
      <c r="F30" s="33">
        <v>0.9751124157666331</v>
      </c>
      <c r="G30" s="33">
        <v>1.9502248315332662</v>
      </c>
      <c r="H30" s="29">
        <v>19.502248315332661</v>
      </c>
      <c r="J30" s="36">
        <v>0.48755620788331655</v>
      </c>
    </row>
    <row r="31" spans="1:10" ht="20.100000000000001" customHeight="1" x14ac:dyDescent="0.35">
      <c r="A31" s="42" t="s">
        <v>141</v>
      </c>
      <c r="B31" s="33">
        <v>1.9502248315332663E-2</v>
      </c>
      <c r="C31" s="33">
        <v>9.7511241576663299E-2</v>
      </c>
      <c r="D31" s="34">
        <v>0.1950224831533266</v>
      </c>
      <c r="E31" s="33">
        <v>0.48755620788331655</v>
      </c>
      <c r="F31" s="33">
        <v>0.9751124157666331</v>
      </c>
      <c r="G31" s="33">
        <v>1.9502248315332662</v>
      </c>
      <c r="H31" s="29">
        <v>19.502248315332661</v>
      </c>
      <c r="J31" s="36">
        <v>0.48755620788331655</v>
      </c>
    </row>
    <row r="32" spans="1:10" ht="20.100000000000001" customHeight="1" x14ac:dyDescent="0.35">
      <c r="A32" s="42" t="s">
        <v>142</v>
      </c>
      <c r="B32" s="33">
        <v>1.9502248315332663E-2</v>
      </c>
      <c r="C32" s="33">
        <v>9.7511241576663299E-2</v>
      </c>
      <c r="D32" s="34">
        <v>0.1950224831533266</v>
      </c>
      <c r="E32" s="33">
        <v>0.48755620788331655</v>
      </c>
      <c r="F32" s="33">
        <v>0.9751124157666331</v>
      </c>
      <c r="G32" s="33">
        <v>1.9502248315332662</v>
      </c>
      <c r="H32" s="29">
        <v>19.502248315332661</v>
      </c>
      <c r="J32" s="36">
        <v>0.48755620788331655</v>
      </c>
    </row>
    <row r="33" spans="1:10" ht="20.100000000000001" customHeight="1" x14ac:dyDescent="0.35">
      <c r="A33" s="42" t="s">
        <v>143</v>
      </c>
      <c r="B33" s="33">
        <v>1.9502248315332663E-2</v>
      </c>
      <c r="C33" s="33">
        <v>9.7511241576663299E-2</v>
      </c>
      <c r="D33" s="34">
        <v>0.1950224831533266</v>
      </c>
      <c r="E33" s="33">
        <v>0.48755620788331655</v>
      </c>
      <c r="F33" s="33">
        <v>0.9751124157666331</v>
      </c>
      <c r="G33" s="33">
        <v>1.9502248315332662</v>
      </c>
      <c r="H33" s="29">
        <v>19.502248315332661</v>
      </c>
      <c r="J33" s="36">
        <v>0.48755620788331655</v>
      </c>
    </row>
    <row r="34" spans="1:10" ht="20.100000000000001" customHeight="1" x14ac:dyDescent="0.35">
      <c r="A34" s="42" t="s">
        <v>144</v>
      </c>
      <c r="B34" s="33">
        <v>1.9502248315332663E-2</v>
      </c>
      <c r="C34" s="33">
        <v>9.7511241576663299E-2</v>
      </c>
      <c r="D34" s="34">
        <v>0.1950224831533266</v>
      </c>
      <c r="E34" s="33">
        <v>0.48755620788331655</v>
      </c>
      <c r="F34" s="33">
        <v>0.9751124157666331</v>
      </c>
      <c r="G34" s="33">
        <v>1.9502248315332662</v>
      </c>
      <c r="H34" s="29">
        <v>19.502248315332661</v>
      </c>
      <c r="J34" s="36">
        <v>0.48755620788331655</v>
      </c>
    </row>
    <row r="35" spans="1:10" ht="20.100000000000001" customHeight="1" x14ac:dyDescent="0.35">
      <c r="A35" s="42" t="s">
        <v>145</v>
      </c>
      <c r="B35" s="33">
        <v>1.9502248315332663E-2</v>
      </c>
      <c r="C35" s="33">
        <v>9.7511241576663299E-2</v>
      </c>
      <c r="D35" s="34">
        <v>0.1950224831533266</v>
      </c>
      <c r="E35" s="33">
        <v>0.48755620788331655</v>
      </c>
      <c r="F35" s="33">
        <v>0.9751124157666331</v>
      </c>
      <c r="G35" s="33">
        <v>1.9502248315332662</v>
      </c>
      <c r="H35" s="29">
        <v>19.502248315332661</v>
      </c>
      <c r="J35" s="36">
        <v>0.48755620788331655</v>
      </c>
    </row>
    <row r="36" spans="1:10" ht="20.100000000000001" customHeight="1" x14ac:dyDescent="0.35">
      <c r="A36" s="42" t="s">
        <v>146</v>
      </c>
      <c r="B36" s="33">
        <v>1.9502248315332663E-2</v>
      </c>
      <c r="C36" s="33">
        <v>9.7511241576663299E-2</v>
      </c>
      <c r="D36" s="34">
        <v>0.1950224831533266</v>
      </c>
      <c r="E36" s="33">
        <v>0.48755620788331655</v>
      </c>
      <c r="F36" s="33">
        <v>0.9751124157666331</v>
      </c>
      <c r="G36" s="33">
        <v>1.9502248315332662</v>
      </c>
      <c r="H36" s="29">
        <v>19.502248315332661</v>
      </c>
      <c r="J36" s="36">
        <v>0.48755620788331655</v>
      </c>
    </row>
    <row r="37" spans="1:10" ht="20.100000000000001" customHeight="1" x14ac:dyDescent="0.35">
      <c r="A37" s="42" t="s">
        <v>147</v>
      </c>
      <c r="B37" s="33">
        <v>1.9502248315332663E-2</v>
      </c>
      <c r="C37" s="33">
        <v>9.7511241576663299E-2</v>
      </c>
      <c r="D37" s="34">
        <v>0.1950224831533266</v>
      </c>
      <c r="E37" s="33">
        <v>0.48755620788331655</v>
      </c>
      <c r="F37" s="33">
        <v>0.9751124157666331</v>
      </c>
      <c r="G37" s="33">
        <v>1.9502248315332662</v>
      </c>
      <c r="H37" s="29">
        <v>19.502248315332661</v>
      </c>
      <c r="J37" s="36">
        <v>0.48755620788331655</v>
      </c>
    </row>
    <row r="38" spans="1:10" ht="20.100000000000001" customHeight="1" x14ac:dyDescent="0.35">
      <c r="A38" s="32" t="s">
        <v>117</v>
      </c>
      <c r="B38" s="33">
        <v>1.9502248315332663E-2</v>
      </c>
      <c r="C38" s="33">
        <v>9.7511241576663299E-2</v>
      </c>
      <c r="D38" s="34">
        <v>0.1950224831533266</v>
      </c>
      <c r="E38" s="33">
        <v>0.48755620788331655</v>
      </c>
      <c r="F38" s="33">
        <v>0.9751124157666331</v>
      </c>
      <c r="G38" s="33">
        <v>1.9502248315332662</v>
      </c>
      <c r="H38" s="29">
        <v>19.502248315332661</v>
      </c>
      <c r="J38" s="36">
        <v>0.48755620788331655</v>
      </c>
    </row>
    <row r="39" spans="1:10" ht="20.100000000000001" customHeight="1" x14ac:dyDescent="0.35">
      <c r="A39" s="42" t="s">
        <v>148</v>
      </c>
      <c r="B39" s="33">
        <v>1.9502248315332663E-2</v>
      </c>
      <c r="C39" s="33">
        <v>9.7511241576663299E-2</v>
      </c>
      <c r="D39" s="34">
        <v>0.1950224831533266</v>
      </c>
      <c r="E39" s="33">
        <v>0.48755620788331655</v>
      </c>
      <c r="F39" s="33">
        <v>0.9751124157666331</v>
      </c>
      <c r="G39" s="33">
        <v>1.9502248315332662</v>
      </c>
      <c r="H39" s="29">
        <v>19.502248315332661</v>
      </c>
      <c r="J39" s="36">
        <v>0.48755620788331655</v>
      </c>
    </row>
    <row r="40" spans="1:10" ht="20.100000000000001" customHeight="1" thickBot="1" x14ac:dyDescent="0.4">
      <c r="A40" s="43" t="s">
        <v>149</v>
      </c>
      <c r="B40" s="33">
        <v>1.9502248315332663E-2</v>
      </c>
      <c r="C40" s="21">
        <v>9.7511241576663299E-2</v>
      </c>
      <c r="D40" s="22">
        <v>0.1950224831533266</v>
      </c>
      <c r="E40" s="21">
        <v>0.48755620788331655</v>
      </c>
      <c r="F40" s="21">
        <v>0.9751124157666331</v>
      </c>
      <c r="G40" s="21">
        <v>1.9502248315332662</v>
      </c>
      <c r="H40" s="29">
        <v>19.502248315332661</v>
      </c>
      <c r="J40" s="24">
        <v>0.48755620788331655</v>
      </c>
    </row>
    <row r="41" spans="1:10" ht="20.100000000000001" customHeight="1" x14ac:dyDescent="0.35">
      <c r="A41" s="44" t="s">
        <v>77</v>
      </c>
      <c r="B41" s="13">
        <v>13.422614033748705</v>
      </c>
      <c r="C41" s="13">
        <v>67.113070168743519</v>
      </c>
      <c r="D41" s="13">
        <v>134.22614033748704</v>
      </c>
      <c r="E41" s="13">
        <v>335.56535084371762</v>
      </c>
      <c r="F41" s="13">
        <v>671.13070168743525</v>
      </c>
      <c r="G41" s="31">
        <v>1342.2614033748705</v>
      </c>
      <c r="H41" s="26">
        <v>13422.614033748705</v>
      </c>
      <c r="J41" s="36">
        <v>335.56535084371762</v>
      </c>
    </row>
    <row r="42" spans="1:10" ht="20.100000000000001" customHeight="1" x14ac:dyDescent="0.35">
      <c r="A42" s="45" t="s">
        <v>92</v>
      </c>
      <c r="B42" s="33">
        <v>6.3074724083657344E-2</v>
      </c>
      <c r="C42" s="33">
        <v>0.3153736204182867</v>
      </c>
      <c r="D42" s="33">
        <v>0.63074724083657341</v>
      </c>
      <c r="E42" s="33">
        <v>1.5768681020914337</v>
      </c>
      <c r="F42" s="33">
        <v>3.1537362041828674</v>
      </c>
      <c r="G42" s="35">
        <v>6.3074724083657348</v>
      </c>
      <c r="H42" s="29">
        <v>63.074724083657344</v>
      </c>
      <c r="J42" s="36">
        <v>1.5768681020914337</v>
      </c>
    </row>
    <row r="43" spans="1:10" ht="20.100000000000001" customHeight="1" x14ac:dyDescent="0.35">
      <c r="A43" s="45" t="s">
        <v>107</v>
      </c>
      <c r="B43" s="33">
        <v>0.64826554384519719</v>
      </c>
      <c r="C43" s="33">
        <v>3.2413277192259859</v>
      </c>
      <c r="D43" s="33">
        <v>6.4826554384519719</v>
      </c>
      <c r="E43" s="33">
        <v>16.206638596129928</v>
      </c>
      <c r="F43" s="33">
        <v>32.413277192259855</v>
      </c>
      <c r="G43" s="35">
        <v>64.82655438451971</v>
      </c>
      <c r="H43" s="29">
        <v>648.26554384519716</v>
      </c>
      <c r="J43" s="36">
        <v>16.206638596129928</v>
      </c>
    </row>
    <row r="44" spans="1:10" ht="20.100000000000001" customHeight="1" x14ac:dyDescent="0.35">
      <c r="A44" s="45" t="s">
        <v>80</v>
      </c>
      <c r="B44" s="33">
        <v>8.1596239644100379</v>
      </c>
      <c r="C44" s="33">
        <v>40.798119822050197</v>
      </c>
      <c r="D44" s="33">
        <v>81.596239644100393</v>
      </c>
      <c r="E44" s="33">
        <v>203.99059911025097</v>
      </c>
      <c r="F44" s="33">
        <v>407.98119822050194</v>
      </c>
      <c r="G44" s="35">
        <v>815.96239644100388</v>
      </c>
      <c r="H44" s="29">
        <v>8159.6239644100388</v>
      </c>
      <c r="J44" s="36">
        <v>203.99059911025097</v>
      </c>
    </row>
    <row r="45" spans="1:10" ht="20.100000000000001" customHeight="1" x14ac:dyDescent="0.35">
      <c r="A45" s="45" t="s">
        <v>102</v>
      </c>
      <c r="B45" s="33">
        <v>0.13162724816825838</v>
      </c>
      <c r="C45" s="33">
        <v>0.65813624084129185</v>
      </c>
      <c r="D45" s="33">
        <v>1.3162724816825837</v>
      </c>
      <c r="E45" s="33">
        <v>3.2906812042064595</v>
      </c>
      <c r="F45" s="33">
        <v>6.581362408412919</v>
      </c>
      <c r="G45" s="35">
        <v>13.162724816825838</v>
      </c>
      <c r="H45" s="29">
        <v>131.62724816825838</v>
      </c>
      <c r="J45" s="36">
        <v>3.2906812042064595</v>
      </c>
    </row>
    <row r="46" spans="1:10" ht="20.100000000000001" customHeight="1" x14ac:dyDescent="0.35">
      <c r="A46" s="45" t="s">
        <v>86</v>
      </c>
      <c r="B46" s="33">
        <v>0.13116366981147048</v>
      </c>
      <c r="C46" s="33">
        <v>0.65581834905735248</v>
      </c>
      <c r="D46" s="33">
        <v>1.311636698114705</v>
      </c>
      <c r="E46" s="33">
        <v>3.2790917452867623</v>
      </c>
      <c r="F46" s="33">
        <v>6.5581834905735246</v>
      </c>
      <c r="G46" s="35">
        <v>13.116366981147049</v>
      </c>
      <c r="H46" s="29">
        <v>131.1636698114705</v>
      </c>
      <c r="J46" s="36">
        <v>3.2790917452867623</v>
      </c>
    </row>
    <row r="47" spans="1:10" ht="20.100000000000001" customHeight="1" x14ac:dyDescent="0.35">
      <c r="A47" s="45" t="s">
        <v>83</v>
      </c>
      <c r="B47" s="33">
        <v>0.13448220159846117</v>
      </c>
      <c r="C47" s="33">
        <v>0.6724110079923058</v>
      </c>
      <c r="D47" s="33">
        <v>1.3448220159846116</v>
      </c>
      <c r="E47" s="33">
        <v>3.362055039961529</v>
      </c>
      <c r="F47" s="33">
        <v>6.724110079923058</v>
      </c>
      <c r="G47" s="35">
        <v>13.448220159846116</v>
      </c>
      <c r="H47" s="29">
        <v>134.48220159846116</v>
      </c>
      <c r="J47" s="36">
        <v>3.362055039961529</v>
      </c>
    </row>
    <row r="48" spans="1:10" ht="20.100000000000001" customHeight="1" x14ac:dyDescent="0.35">
      <c r="A48" s="45" t="s">
        <v>106</v>
      </c>
      <c r="B48" s="33">
        <v>6.3356526142242783E-2</v>
      </c>
      <c r="C48" s="33">
        <v>0.31678263071121388</v>
      </c>
      <c r="D48" s="33">
        <v>0.63356526142242775</v>
      </c>
      <c r="E48" s="33">
        <v>1.5839131535560695</v>
      </c>
      <c r="F48" s="33">
        <v>3.1678263071121391</v>
      </c>
      <c r="G48" s="35">
        <v>6.3356526142242782</v>
      </c>
      <c r="H48" s="29">
        <v>63.356526142242778</v>
      </c>
      <c r="J48" s="36">
        <v>1.5839131535560695</v>
      </c>
    </row>
    <row r="49" spans="1:10" ht="20.100000000000001" customHeight="1" x14ac:dyDescent="0.35">
      <c r="A49" s="45" t="s">
        <v>88</v>
      </c>
      <c r="B49" s="33">
        <v>0.13195690988034264</v>
      </c>
      <c r="C49" s="33">
        <v>0.65978454940171316</v>
      </c>
      <c r="D49" s="33">
        <v>1.3195690988034263</v>
      </c>
      <c r="E49" s="33">
        <v>3.2989227470085658</v>
      </c>
      <c r="F49" s="33">
        <v>6.5978454940171316</v>
      </c>
      <c r="G49" s="35">
        <v>13.195690988034263</v>
      </c>
      <c r="H49" s="29">
        <v>131.95690988034264</v>
      </c>
      <c r="J49" s="36">
        <v>3.2989227470085658</v>
      </c>
    </row>
    <row r="50" spans="1:10" ht="20.100000000000001" customHeight="1" x14ac:dyDescent="0.35">
      <c r="A50" s="45" t="s">
        <v>85</v>
      </c>
      <c r="B50" s="33">
        <v>14.544872076664877</v>
      </c>
      <c r="C50" s="33">
        <v>72.724360383324381</v>
      </c>
      <c r="D50" s="33">
        <v>145.44872076664876</v>
      </c>
      <c r="E50" s="33">
        <v>363.62180191662191</v>
      </c>
      <c r="F50" s="33">
        <v>727.24360383324381</v>
      </c>
      <c r="G50" s="35">
        <v>1454.4872076664876</v>
      </c>
      <c r="H50" s="29">
        <v>14544.872076664877</v>
      </c>
      <c r="J50" s="36">
        <v>363.62180191662191</v>
      </c>
    </row>
    <row r="51" spans="1:10" ht="20.100000000000001" customHeight="1" x14ac:dyDescent="0.35">
      <c r="A51" s="32" t="s">
        <v>109</v>
      </c>
      <c r="B51" s="33">
        <v>0.13447390157696154</v>
      </c>
      <c r="C51" s="33">
        <v>0.67236950788480765</v>
      </c>
      <c r="D51" s="33">
        <v>1.3447390157696153</v>
      </c>
      <c r="E51" s="33">
        <v>3.3618475394240384</v>
      </c>
      <c r="F51" s="33">
        <v>6.7236950788480767</v>
      </c>
      <c r="G51" s="35">
        <v>13.447390157696153</v>
      </c>
      <c r="H51" s="29">
        <v>134.47390157696154</v>
      </c>
      <c r="J51" s="36">
        <v>3.3618475394240384</v>
      </c>
    </row>
    <row r="52" spans="1:10" ht="20.100000000000001" customHeight="1" x14ac:dyDescent="0.35">
      <c r="A52" s="45" t="s">
        <v>79</v>
      </c>
      <c r="B52" s="33">
        <v>13.264294547105322</v>
      </c>
      <c r="C52" s="33">
        <v>66.321472735526612</v>
      </c>
      <c r="D52" s="33">
        <v>132.64294547105322</v>
      </c>
      <c r="E52" s="33">
        <v>331.60736367763309</v>
      </c>
      <c r="F52" s="33">
        <v>663.21472735526618</v>
      </c>
      <c r="G52" s="35">
        <v>1326.4294547105324</v>
      </c>
      <c r="H52" s="29">
        <v>13264.294547105323</v>
      </c>
      <c r="J52" s="36">
        <v>331.60736367763309</v>
      </c>
    </row>
    <row r="53" spans="1:10" ht="20.100000000000001" customHeight="1" x14ac:dyDescent="0.35">
      <c r="A53" s="45" t="s">
        <v>76</v>
      </c>
      <c r="B53" s="33">
        <v>13.647112379182785</v>
      </c>
      <c r="C53" s="33">
        <v>68.235561895913918</v>
      </c>
      <c r="D53" s="33">
        <v>136.47112379182784</v>
      </c>
      <c r="E53" s="33">
        <v>341.17780947956965</v>
      </c>
      <c r="F53" s="33">
        <v>682.35561895913929</v>
      </c>
      <c r="G53" s="35">
        <v>1364.7112379182786</v>
      </c>
      <c r="H53" s="29">
        <v>13647.112379182785</v>
      </c>
      <c r="J53" s="36">
        <v>341.17780947956965</v>
      </c>
    </row>
    <row r="54" spans="1:10" ht="20.100000000000001" customHeight="1" x14ac:dyDescent="0.35">
      <c r="A54" s="45" t="s">
        <v>84</v>
      </c>
      <c r="B54" s="33">
        <v>1.285485882939744</v>
      </c>
      <c r="C54" s="33">
        <v>6.4274294146987199</v>
      </c>
      <c r="D54" s="33">
        <v>12.85485882939744</v>
      </c>
      <c r="E54" s="33">
        <v>32.137147073493601</v>
      </c>
      <c r="F54" s="33">
        <v>64.274294146987202</v>
      </c>
      <c r="G54" s="35">
        <v>128.5485882939744</v>
      </c>
      <c r="H54" s="29">
        <v>1285.485882939744</v>
      </c>
      <c r="J54" s="36">
        <v>32.137147073493601</v>
      </c>
    </row>
    <row r="55" spans="1:10" ht="20.100000000000001" customHeight="1" x14ac:dyDescent="0.35">
      <c r="A55" s="45" t="s">
        <v>97</v>
      </c>
      <c r="B55" s="33">
        <v>0.13222977382538192</v>
      </c>
      <c r="C55" s="33">
        <v>0.66114886912690962</v>
      </c>
      <c r="D55" s="33">
        <v>1.3222977382538192</v>
      </c>
      <c r="E55" s="33">
        <v>3.3057443456345483</v>
      </c>
      <c r="F55" s="33">
        <v>6.6114886912690967</v>
      </c>
      <c r="G55" s="35">
        <v>13.222977382538193</v>
      </c>
      <c r="H55" s="29">
        <v>132.22977382538193</v>
      </c>
      <c r="J55" s="36">
        <v>3.3057443456345483</v>
      </c>
    </row>
    <row r="56" spans="1:10" ht="20.100000000000001" customHeight="1" x14ac:dyDescent="0.35">
      <c r="A56" s="45" t="s">
        <v>75</v>
      </c>
      <c r="B56" s="33">
        <v>6.5555210768798036</v>
      </c>
      <c r="C56" s="33">
        <v>32.777605384399017</v>
      </c>
      <c r="D56" s="33">
        <v>65.555210768798034</v>
      </c>
      <c r="E56" s="33">
        <v>163.88802692199508</v>
      </c>
      <c r="F56" s="33">
        <v>327.77605384399016</v>
      </c>
      <c r="G56" s="35">
        <v>655.55210768798031</v>
      </c>
      <c r="H56" s="29">
        <v>6555.5210768798033</v>
      </c>
      <c r="J56" s="36">
        <v>163.88802692199508</v>
      </c>
    </row>
    <row r="57" spans="1:10" ht="20.100000000000001" customHeight="1" x14ac:dyDescent="0.35">
      <c r="A57" s="45" t="s">
        <v>87</v>
      </c>
      <c r="B57" s="33">
        <v>0.13412576130417933</v>
      </c>
      <c r="C57" s="33">
        <v>0.67062880652089663</v>
      </c>
      <c r="D57" s="33">
        <v>1.3412576130417933</v>
      </c>
      <c r="E57" s="33">
        <v>3.353144032604483</v>
      </c>
      <c r="F57" s="33">
        <v>6.706288065208966</v>
      </c>
      <c r="G57" s="35">
        <v>13.412576130417932</v>
      </c>
      <c r="H57" s="29">
        <v>134.12576130417932</v>
      </c>
      <c r="J57" s="36">
        <v>3.353144032604483</v>
      </c>
    </row>
    <row r="58" spans="1:10" ht="20.100000000000001" customHeight="1" x14ac:dyDescent="0.35">
      <c r="A58" s="45" t="s">
        <v>78</v>
      </c>
      <c r="B58" s="33">
        <v>6.4633127645704391</v>
      </c>
      <c r="C58" s="33">
        <v>32.316563822852196</v>
      </c>
      <c r="D58" s="33">
        <v>64.633127645704391</v>
      </c>
      <c r="E58" s="33">
        <v>161.58281911426099</v>
      </c>
      <c r="F58" s="33">
        <v>323.16563822852197</v>
      </c>
      <c r="G58" s="35">
        <v>646.33127645704394</v>
      </c>
      <c r="H58" s="29">
        <v>6463.312764570439</v>
      </c>
      <c r="J58" s="36">
        <v>161.58281911426099</v>
      </c>
    </row>
    <row r="59" spans="1:10" ht="20.100000000000001" customHeight="1" x14ac:dyDescent="0.35">
      <c r="A59" s="45" t="s">
        <v>116</v>
      </c>
      <c r="B59" s="33">
        <v>6.6479062173301795E-2</v>
      </c>
      <c r="C59" s="33">
        <v>0.33239531086650898</v>
      </c>
      <c r="D59" s="33">
        <v>0.66479062173301795</v>
      </c>
      <c r="E59" s="33">
        <v>1.6619765543325449</v>
      </c>
      <c r="F59" s="33">
        <v>3.3239531086650898</v>
      </c>
      <c r="G59" s="35">
        <v>6.6479062173301795</v>
      </c>
      <c r="H59" s="29">
        <v>66.479062173301799</v>
      </c>
      <c r="J59" s="36">
        <v>1.6619765543325449</v>
      </c>
    </row>
    <row r="60" spans="1:10" ht="20.100000000000001" customHeight="1" x14ac:dyDescent="0.35">
      <c r="A60" s="45" t="s">
        <v>94</v>
      </c>
      <c r="B60" s="33">
        <v>0.32198735326647343</v>
      </c>
      <c r="C60" s="33">
        <v>1.6099367663323669</v>
      </c>
      <c r="D60" s="33">
        <v>3.2198735326647339</v>
      </c>
      <c r="E60" s="33">
        <v>8.0496838316618344</v>
      </c>
      <c r="F60" s="33">
        <v>16.099367663323669</v>
      </c>
      <c r="G60" s="35">
        <v>32.198735326647338</v>
      </c>
      <c r="H60" s="29">
        <v>321.98735326647341</v>
      </c>
      <c r="J60" s="36">
        <v>8.0496838316618344</v>
      </c>
    </row>
    <row r="61" spans="1:10" ht="20.100000000000001" customHeight="1" x14ac:dyDescent="0.35">
      <c r="A61" s="45" t="s">
        <v>111</v>
      </c>
      <c r="B61" s="33">
        <v>6.7596487626173818E-2</v>
      </c>
      <c r="C61" s="33">
        <v>0.33798243813086903</v>
      </c>
      <c r="D61" s="33">
        <v>0.67596487626173807</v>
      </c>
      <c r="E61" s="33">
        <v>1.6899121906543453</v>
      </c>
      <c r="F61" s="33">
        <v>3.3798243813086906</v>
      </c>
      <c r="G61" s="35">
        <v>6.7596487626173811</v>
      </c>
      <c r="H61" s="29">
        <v>67.596487626173811</v>
      </c>
      <c r="J61" s="36">
        <v>1.6899121906543453</v>
      </c>
    </row>
    <row r="62" spans="1:10" ht="20.100000000000001" customHeight="1" x14ac:dyDescent="0.35">
      <c r="A62" s="45" t="s">
        <v>93</v>
      </c>
      <c r="B62" s="33">
        <v>6.4285226314041058E-2</v>
      </c>
      <c r="C62" s="33">
        <v>0.32142613157020528</v>
      </c>
      <c r="D62" s="33">
        <v>0.64285226314041055</v>
      </c>
      <c r="E62" s="33">
        <v>1.6071306578510263</v>
      </c>
      <c r="F62" s="33">
        <v>3.2142613157020525</v>
      </c>
      <c r="G62" s="35">
        <v>6.4285226314041051</v>
      </c>
      <c r="H62" s="29">
        <v>64.285226314041054</v>
      </c>
      <c r="J62" s="36">
        <v>1.6071306578510263</v>
      </c>
    </row>
    <row r="63" spans="1:10" ht="20.100000000000001" customHeight="1" x14ac:dyDescent="0.35">
      <c r="A63" s="45" t="s">
        <v>95</v>
      </c>
      <c r="B63" s="33">
        <v>0.1293511240149629</v>
      </c>
      <c r="C63" s="33">
        <v>0.64675562007481446</v>
      </c>
      <c r="D63" s="33">
        <v>1.2935112401496289</v>
      </c>
      <c r="E63" s="33">
        <v>3.2337781003740722</v>
      </c>
      <c r="F63" s="33">
        <v>6.4675562007481444</v>
      </c>
      <c r="G63" s="35">
        <v>12.935112401496289</v>
      </c>
      <c r="H63" s="29">
        <v>129.35112401496289</v>
      </c>
      <c r="J63" s="36">
        <v>3.2337781003740722</v>
      </c>
    </row>
    <row r="64" spans="1:10" ht="20.100000000000001" customHeight="1" x14ac:dyDescent="0.35">
      <c r="A64" s="45" t="s">
        <v>81</v>
      </c>
      <c r="B64" s="33">
        <v>6.5982837204326632</v>
      </c>
      <c r="C64" s="33">
        <v>32.991418602163314</v>
      </c>
      <c r="D64" s="33">
        <v>65.982837204326628</v>
      </c>
      <c r="E64" s="33">
        <v>164.95709301081658</v>
      </c>
      <c r="F64" s="33">
        <v>329.91418602163316</v>
      </c>
      <c r="G64" s="35">
        <v>659.82837204326631</v>
      </c>
      <c r="H64" s="29">
        <v>6598.2837204326634</v>
      </c>
      <c r="J64" s="36">
        <v>164.95709301081658</v>
      </c>
    </row>
    <row r="65" spans="1:67" ht="20.100000000000001" customHeight="1" x14ac:dyDescent="0.35">
      <c r="A65" s="32" t="s">
        <v>117</v>
      </c>
      <c r="B65" s="33">
        <v>6.6999559128932781E-2</v>
      </c>
      <c r="C65" s="33">
        <v>0.33499779564466392</v>
      </c>
      <c r="D65" s="33">
        <v>0.66999559128932784</v>
      </c>
      <c r="E65" s="33">
        <v>1.6749889782233196</v>
      </c>
      <c r="F65" s="33">
        <v>3.3499779564466392</v>
      </c>
      <c r="G65" s="35">
        <v>6.6999559128932784</v>
      </c>
      <c r="H65" s="29">
        <v>66.999559128932788</v>
      </c>
      <c r="J65" s="36">
        <v>1.6749889782233196</v>
      </c>
    </row>
    <row r="66" spans="1:67" ht="20.100000000000001" customHeight="1" x14ac:dyDescent="0.35">
      <c r="A66" s="45" t="s">
        <v>82</v>
      </c>
      <c r="B66" s="33">
        <v>0.32632795836784784</v>
      </c>
      <c r="C66" s="33">
        <v>1.6316397918392391</v>
      </c>
      <c r="D66" s="33">
        <v>3.2632795836784783</v>
      </c>
      <c r="E66" s="33">
        <v>8.158198959196195</v>
      </c>
      <c r="F66" s="33">
        <v>16.31639791839239</v>
      </c>
      <c r="G66" s="35">
        <v>32.63279583678478</v>
      </c>
      <c r="H66" s="29">
        <v>326.32795836784783</v>
      </c>
      <c r="J66" s="36">
        <v>8.158198959196195</v>
      </c>
    </row>
    <row r="67" spans="1:67" ht="20.100000000000001" customHeight="1" x14ac:dyDescent="0.35">
      <c r="A67" s="45" t="s">
        <v>110</v>
      </c>
      <c r="B67" s="33">
        <v>6.6118066939957185E-2</v>
      </c>
      <c r="C67" s="33">
        <v>0.33059033469978594</v>
      </c>
      <c r="D67" s="33">
        <v>0.66118066939957187</v>
      </c>
      <c r="E67" s="33">
        <v>1.6529516734989298</v>
      </c>
      <c r="F67" s="33">
        <v>3.3059033469978596</v>
      </c>
      <c r="G67" s="35">
        <v>6.6118066939957192</v>
      </c>
      <c r="H67" s="29">
        <v>66.118066939957188</v>
      </c>
      <c r="J67" s="36">
        <v>1.6529516734989298</v>
      </c>
    </row>
    <row r="68" spans="1:67" ht="20.100000000000001" customHeight="1" x14ac:dyDescent="0.35">
      <c r="A68" s="46" t="s">
        <v>89</v>
      </c>
      <c r="B68" s="33">
        <v>0.13496814714212219</v>
      </c>
      <c r="C68" s="33">
        <v>0.67484073571061087</v>
      </c>
      <c r="D68" s="33">
        <v>1.3496814714212217</v>
      </c>
      <c r="E68" s="33">
        <v>3.3742036785530543</v>
      </c>
      <c r="F68" s="33">
        <v>6.7484073571061085</v>
      </c>
      <c r="G68" s="35">
        <v>13.496814714212217</v>
      </c>
      <c r="H68" s="29">
        <v>134.96814714212218</v>
      </c>
      <c r="J68" s="36">
        <v>3.3742036785530543</v>
      </c>
    </row>
    <row r="69" spans="1:67" ht="20.100000000000001" customHeight="1" thickBot="1" x14ac:dyDescent="0.4">
      <c r="A69" s="47" t="s">
        <v>150</v>
      </c>
      <c r="B69" s="21">
        <v>0.33179739311261774</v>
      </c>
      <c r="C69" s="21">
        <v>1.6589869655630887</v>
      </c>
      <c r="D69" s="21">
        <v>3.3179739311261773</v>
      </c>
      <c r="E69" s="21">
        <v>8.2949348278154424</v>
      </c>
      <c r="F69" s="21">
        <v>16.589869655630885</v>
      </c>
      <c r="G69" s="39">
        <v>33.17973931126177</v>
      </c>
      <c r="H69" s="40">
        <v>331.79739311261773</v>
      </c>
      <c r="J69" s="24">
        <v>3.3742036785530543</v>
      </c>
    </row>
    <row r="71" spans="1:67" ht="20.100000000000001" customHeight="1" x14ac:dyDescent="0.25">
      <c r="A71" s="32" t="s">
        <v>117</v>
      </c>
      <c r="B71" s="48">
        <v>8.6501807444265444E-2</v>
      </c>
      <c r="C71" s="48">
        <v>0.43250903722132722</v>
      </c>
      <c r="D71" s="48">
        <v>0.86501807444265444</v>
      </c>
      <c r="E71" s="48">
        <v>2.162545186106636</v>
      </c>
      <c r="F71" s="48">
        <v>4.3250903722132721</v>
      </c>
      <c r="G71" s="48">
        <v>8.6501807444265442</v>
      </c>
      <c r="H71" s="48">
        <v>86.501807444265452</v>
      </c>
    </row>
    <row r="72" spans="1:67" ht="20.100000000000001" customHeight="1" x14ac:dyDescent="0.25">
      <c r="A72" s="32" t="s">
        <v>109</v>
      </c>
      <c r="B72" s="48">
        <v>0.14450981040557623</v>
      </c>
      <c r="C72" s="48">
        <v>0.72254905202788111</v>
      </c>
      <c r="D72" s="48">
        <v>1.4450981040557622</v>
      </c>
      <c r="E72" s="48">
        <v>3.6127452601394054</v>
      </c>
      <c r="F72" s="48">
        <v>7.2254905202788109</v>
      </c>
      <c r="G72" s="48">
        <v>14.450981040557622</v>
      </c>
      <c r="H72" s="48">
        <v>144.50981040557622</v>
      </c>
    </row>
    <row r="73" spans="1:67" ht="20.100000000000001" customHeight="1" x14ac:dyDescent="0.35">
      <c r="D73" s="49"/>
      <c r="E73" s="50"/>
      <c r="F73" s="50"/>
      <c r="G73" s="51"/>
      <c r="H73" s="51"/>
      <c r="I73" s="52"/>
      <c r="J73" s="52"/>
      <c r="K73" s="52"/>
      <c r="L73" s="52"/>
      <c r="M73" s="52"/>
      <c r="N73" s="52"/>
      <c r="O73" s="52"/>
      <c r="P73" s="52"/>
      <c r="Q73" s="52"/>
      <c r="R73" s="53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</row>
    <row r="74" spans="1:67" ht="20.100000000000001" customHeight="1" x14ac:dyDescent="0.25">
      <c r="AC74" s="54"/>
      <c r="AD74" s="54"/>
      <c r="AE74" s="54"/>
      <c r="AF74" s="54"/>
      <c r="AG74" s="54"/>
      <c r="AH74" s="54"/>
      <c r="AI74" s="54"/>
    </row>
    <row r="75" spans="1:67" ht="20.100000000000001" customHeight="1" x14ac:dyDescent="0.25"/>
    <row r="76" spans="1:67" ht="20.100000000000001" customHeight="1" x14ac:dyDescent="0.35">
      <c r="D76" s="55" t="s">
        <v>132</v>
      </c>
      <c r="E76" s="56" t="s">
        <v>74</v>
      </c>
      <c r="F76" s="57" t="s">
        <v>133</v>
      </c>
      <c r="G76" s="58" t="s">
        <v>90</v>
      </c>
      <c r="H76" s="58" t="s">
        <v>96</v>
      </c>
      <c r="I76" s="59" t="s">
        <v>101</v>
      </c>
      <c r="J76" s="59" t="s">
        <v>115</v>
      </c>
      <c r="K76" s="60" t="s">
        <v>114</v>
      </c>
      <c r="L76" s="61" t="s">
        <v>109</v>
      </c>
      <c r="M76" s="60" t="s">
        <v>112</v>
      </c>
      <c r="N76" s="60" t="s">
        <v>100</v>
      </c>
      <c r="O76" s="60" t="s">
        <v>113</v>
      </c>
      <c r="P76" s="60" t="s">
        <v>99</v>
      </c>
      <c r="Q76" s="60" t="s">
        <v>98</v>
      </c>
      <c r="R76" s="60" t="s">
        <v>104</v>
      </c>
      <c r="S76" s="60" t="s">
        <v>103</v>
      </c>
      <c r="T76" s="62" t="s">
        <v>105</v>
      </c>
      <c r="U76" s="63" t="s">
        <v>108</v>
      </c>
      <c r="V76" s="63" t="s">
        <v>134</v>
      </c>
      <c r="W76" s="63" t="s">
        <v>135</v>
      </c>
      <c r="X76" s="63" t="s">
        <v>136</v>
      </c>
      <c r="Y76" s="63" t="s">
        <v>137</v>
      </c>
      <c r="Z76" s="63" t="s">
        <v>138</v>
      </c>
      <c r="AA76" s="63" t="s">
        <v>139</v>
      </c>
      <c r="AB76" s="63" t="s">
        <v>140</v>
      </c>
      <c r="AC76" s="63" t="s">
        <v>141</v>
      </c>
      <c r="AD76" s="63" t="s">
        <v>142</v>
      </c>
      <c r="AE76" s="63" t="s">
        <v>143</v>
      </c>
      <c r="AF76" s="63" t="s">
        <v>144</v>
      </c>
      <c r="AG76" s="63" t="s">
        <v>145</v>
      </c>
      <c r="AH76" s="63" t="s">
        <v>146</v>
      </c>
      <c r="AI76" s="63" t="s">
        <v>147</v>
      </c>
      <c r="AJ76" s="61" t="s">
        <v>117</v>
      </c>
      <c r="AK76" s="63" t="s">
        <v>148</v>
      </c>
      <c r="AL76" s="63" t="s">
        <v>149</v>
      </c>
      <c r="AM76" s="46" t="s">
        <v>77</v>
      </c>
      <c r="AN76" s="46" t="s">
        <v>92</v>
      </c>
      <c r="AO76" s="46" t="s">
        <v>107</v>
      </c>
      <c r="AP76" s="46" t="s">
        <v>80</v>
      </c>
      <c r="AQ76" s="46" t="s">
        <v>102</v>
      </c>
      <c r="AR76" s="46" t="s">
        <v>86</v>
      </c>
      <c r="AS76" s="46" t="s">
        <v>83</v>
      </c>
      <c r="AT76" s="46" t="s">
        <v>106</v>
      </c>
      <c r="AU76" s="46" t="s">
        <v>88</v>
      </c>
      <c r="AV76" s="46" t="s">
        <v>85</v>
      </c>
      <c r="AW76" s="61" t="s">
        <v>109</v>
      </c>
      <c r="AX76" s="46" t="s">
        <v>79</v>
      </c>
      <c r="AY76" s="46" t="s">
        <v>76</v>
      </c>
      <c r="AZ76" s="46" t="s">
        <v>84</v>
      </c>
      <c r="BA76" s="46" t="s">
        <v>97</v>
      </c>
      <c r="BB76" s="46" t="s">
        <v>75</v>
      </c>
      <c r="BC76" s="46" t="s">
        <v>87</v>
      </c>
      <c r="BD76" s="46" t="s">
        <v>78</v>
      </c>
      <c r="BE76" s="46" t="s">
        <v>116</v>
      </c>
      <c r="BF76" s="46" t="s">
        <v>94</v>
      </c>
      <c r="BG76" s="46" t="s">
        <v>111</v>
      </c>
      <c r="BH76" s="46" t="s">
        <v>93</v>
      </c>
      <c r="BI76" s="46" t="s">
        <v>95</v>
      </c>
      <c r="BJ76" s="46" t="s">
        <v>81</v>
      </c>
      <c r="BK76" s="61" t="s">
        <v>117</v>
      </c>
      <c r="BL76" s="46" t="s">
        <v>82</v>
      </c>
      <c r="BM76" s="46" t="s">
        <v>110</v>
      </c>
      <c r="BN76" s="46" t="s">
        <v>89</v>
      </c>
      <c r="BO76" s="46" t="s">
        <v>150</v>
      </c>
    </row>
    <row r="77" spans="1:67" ht="20.100000000000001" customHeight="1" x14ac:dyDescent="0.35">
      <c r="A77" s="64" t="s">
        <v>124</v>
      </c>
      <c r="B77" s="65" t="s">
        <v>121</v>
      </c>
      <c r="C77" s="64" t="s">
        <v>91</v>
      </c>
      <c r="D77" s="34">
        <v>51.152847152847173</v>
      </c>
      <c r="E77" s="34">
        <v>2.0979020979020994E-2</v>
      </c>
      <c r="F77" s="34">
        <v>0.99900099900101325</v>
      </c>
      <c r="G77" s="34">
        <v>5.2552380523171585E-2</v>
      </c>
      <c r="H77" s="34">
        <v>5.1348735161810023E-2</v>
      </c>
      <c r="I77" s="34">
        <v>0.4971056260273482</v>
      </c>
      <c r="J77" s="34">
        <v>0.51330387630654384</v>
      </c>
      <c r="K77" s="34">
        <v>1.0035908828614687E-2</v>
      </c>
      <c r="L77" s="34">
        <v>1.0035908828614687E-2</v>
      </c>
      <c r="M77" s="34">
        <v>1.0035908828614687E-2</v>
      </c>
      <c r="N77" s="34">
        <v>1.0035908828614687E-2</v>
      </c>
      <c r="O77" s="34">
        <v>1.0035908828614687E-2</v>
      </c>
      <c r="P77" s="34">
        <v>1.0035908828614687E-2</v>
      </c>
      <c r="Q77" s="34">
        <v>1.0035908828614687E-2</v>
      </c>
      <c r="R77" s="34">
        <v>1.0035908828614687E-2</v>
      </c>
      <c r="S77" s="34">
        <v>1.0035908828614687E-2</v>
      </c>
      <c r="T77" s="34">
        <v>1.0035908828614687E-2</v>
      </c>
      <c r="U77" s="34">
        <v>1.9502248315332663E-2</v>
      </c>
      <c r="V77" s="34">
        <v>1.9502248315332663E-2</v>
      </c>
      <c r="W77" s="34">
        <v>1.9502248315332663E-2</v>
      </c>
      <c r="X77" s="34">
        <v>1.9502248315332663E-2</v>
      </c>
      <c r="Y77" s="34">
        <v>1.9502248315332663E-2</v>
      </c>
      <c r="Z77" s="34">
        <v>1.9502248315332663E-2</v>
      </c>
      <c r="AA77" s="34">
        <v>1.9502248315332663E-2</v>
      </c>
      <c r="AB77" s="34">
        <v>1.9502248315332663E-2</v>
      </c>
      <c r="AC77" s="34">
        <v>1.9502248315332663E-2</v>
      </c>
      <c r="AD77" s="34">
        <v>1.9502248315332663E-2</v>
      </c>
      <c r="AE77" s="34">
        <v>1.9502248315332663E-2</v>
      </c>
      <c r="AF77" s="34">
        <v>1.9502248315332663E-2</v>
      </c>
      <c r="AG77" s="34">
        <v>1.9502248315332663E-2</v>
      </c>
      <c r="AH77" s="34">
        <v>1.9502248315332663E-2</v>
      </c>
      <c r="AI77" s="34">
        <v>1.9502248315332663E-2</v>
      </c>
      <c r="AJ77" s="34">
        <v>1.9502248315332663E-2</v>
      </c>
      <c r="AK77" s="34">
        <v>1.9502248315332663E-2</v>
      </c>
      <c r="AL77" s="34">
        <v>1.9502248315332663E-2</v>
      </c>
      <c r="AM77" s="34">
        <v>13.422614033748705</v>
      </c>
      <c r="AN77" s="34">
        <v>6.3074724083657344E-2</v>
      </c>
      <c r="AO77" s="34">
        <v>0.64826554384519719</v>
      </c>
      <c r="AP77" s="34">
        <v>8.1596239644100379</v>
      </c>
      <c r="AQ77" s="34">
        <v>0.13162724816825838</v>
      </c>
      <c r="AR77" s="34">
        <v>0.13116366981147048</v>
      </c>
      <c r="AS77" s="34">
        <v>0.13448220159846117</v>
      </c>
      <c r="AT77" s="34">
        <v>6.3356526142242783E-2</v>
      </c>
      <c r="AU77" s="34">
        <v>0.13195690988034264</v>
      </c>
      <c r="AV77" s="34">
        <v>14.544872076664877</v>
      </c>
      <c r="AW77" s="34">
        <v>0.13447390157696154</v>
      </c>
      <c r="AX77" s="34">
        <v>13.264294547105322</v>
      </c>
      <c r="AY77" s="34">
        <v>13.647112379182785</v>
      </c>
      <c r="AZ77" s="34">
        <v>1.285485882939744</v>
      </c>
      <c r="BA77" s="34">
        <v>0.13222977382538192</v>
      </c>
      <c r="BB77" s="34">
        <v>6.5555210768798036</v>
      </c>
      <c r="BC77" s="34">
        <v>0.13412576130417933</v>
      </c>
      <c r="BD77" s="34">
        <v>6.4633127645704391</v>
      </c>
      <c r="BE77" s="34">
        <v>6.6479062173301795E-2</v>
      </c>
      <c r="BF77" s="34">
        <v>0.32198735326647343</v>
      </c>
      <c r="BG77" s="34">
        <v>6.7596487626173818E-2</v>
      </c>
      <c r="BH77" s="34">
        <v>6.4285226314041058E-2</v>
      </c>
      <c r="BI77" s="34">
        <v>0.1293511240149629</v>
      </c>
      <c r="BJ77" s="34">
        <v>6.5982837204326632</v>
      </c>
      <c r="BK77" s="34">
        <v>6.6999559128932781E-2</v>
      </c>
      <c r="BL77" s="34">
        <v>0.32632795836784784</v>
      </c>
      <c r="BM77" s="34">
        <v>6.6118066939957185E-2</v>
      </c>
      <c r="BN77" s="34">
        <v>0.13496814714212219</v>
      </c>
      <c r="BO77" s="34">
        <v>0.33179739311261774</v>
      </c>
    </row>
    <row r="78" spans="1:67" ht="20.100000000000001" customHeight="1" x14ac:dyDescent="0.35">
      <c r="A78" s="64" t="s">
        <v>125</v>
      </c>
      <c r="B78" s="65" t="s">
        <v>122</v>
      </c>
      <c r="C78" s="64" t="s">
        <v>91</v>
      </c>
      <c r="D78" s="34">
        <v>255.76423576423585</v>
      </c>
      <c r="E78" s="34">
        <v>0.10489510489510497</v>
      </c>
      <c r="F78" s="34">
        <v>4.9950049950050666</v>
      </c>
      <c r="G78" s="34">
        <v>0.26276190261585791</v>
      </c>
      <c r="H78" s="34">
        <v>0.25674367580905011</v>
      </c>
      <c r="I78" s="34">
        <v>2.4855281301367409</v>
      </c>
      <c r="J78" s="34">
        <v>2.5665193815327196</v>
      </c>
      <c r="K78" s="34">
        <v>5.0179544143073435E-2</v>
      </c>
      <c r="L78" s="34">
        <v>5.0179544143073435E-2</v>
      </c>
      <c r="M78" s="34">
        <v>5.0179544143073435E-2</v>
      </c>
      <c r="N78" s="34">
        <v>5.0179544143073435E-2</v>
      </c>
      <c r="O78" s="34">
        <v>5.0179544143073435E-2</v>
      </c>
      <c r="P78" s="34">
        <v>5.0179544143073435E-2</v>
      </c>
      <c r="Q78" s="34">
        <v>5.0179544143073435E-2</v>
      </c>
      <c r="R78" s="34">
        <v>5.0179544143073435E-2</v>
      </c>
      <c r="S78" s="34">
        <v>5.0179544143073435E-2</v>
      </c>
      <c r="T78" s="34">
        <v>5.0179544143073435E-2</v>
      </c>
      <c r="U78" s="34">
        <v>9.7511241576663299E-2</v>
      </c>
      <c r="V78" s="34">
        <v>9.7511241576663299E-2</v>
      </c>
      <c r="W78" s="34">
        <v>9.7511241576663299E-2</v>
      </c>
      <c r="X78" s="34">
        <v>9.7511241576663299E-2</v>
      </c>
      <c r="Y78" s="34">
        <v>9.7511241576663299E-2</v>
      </c>
      <c r="Z78" s="34">
        <v>9.7511241576663299E-2</v>
      </c>
      <c r="AA78" s="34">
        <v>9.7511241576663299E-2</v>
      </c>
      <c r="AB78" s="34">
        <v>9.7511241576663299E-2</v>
      </c>
      <c r="AC78" s="34">
        <v>9.7511241576663299E-2</v>
      </c>
      <c r="AD78" s="34">
        <v>9.7511241576663299E-2</v>
      </c>
      <c r="AE78" s="34">
        <v>9.7511241576663299E-2</v>
      </c>
      <c r="AF78" s="34">
        <v>9.7511241576663299E-2</v>
      </c>
      <c r="AG78" s="34">
        <v>9.7511241576663299E-2</v>
      </c>
      <c r="AH78" s="34">
        <v>9.7511241576663299E-2</v>
      </c>
      <c r="AI78" s="34">
        <v>9.7511241576663299E-2</v>
      </c>
      <c r="AJ78" s="34">
        <v>9.7511241576663299E-2</v>
      </c>
      <c r="AK78" s="34">
        <v>9.7511241576663299E-2</v>
      </c>
      <c r="AL78" s="34">
        <v>9.7511241576663299E-2</v>
      </c>
      <c r="AM78" s="34">
        <v>67.113070168743519</v>
      </c>
      <c r="AN78" s="34">
        <v>0.3153736204182867</v>
      </c>
      <c r="AO78" s="34">
        <v>3.2413277192259859</v>
      </c>
      <c r="AP78" s="34">
        <v>40.798119822050197</v>
      </c>
      <c r="AQ78" s="34">
        <v>0.65813624084129185</v>
      </c>
      <c r="AR78" s="34">
        <v>0.65581834905735248</v>
      </c>
      <c r="AS78" s="34">
        <v>0.6724110079923058</v>
      </c>
      <c r="AT78" s="34">
        <v>0.31678263071121388</v>
      </c>
      <c r="AU78" s="34">
        <v>0.65978454940171316</v>
      </c>
      <c r="AV78" s="34">
        <v>72.724360383324381</v>
      </c>
      <c r="AW78" s="34">
        <v>0.67236950788480765</v>
      </c>
      <c r="AX78" s="34">
        <v>66.321472735526612</v>
      </c>
      <c r="AY78" s="34">
        <v>68.235561895913918</v>
      </c>
      <c r="AZ78" s="34">
        <v>6.4274294146987199</v>
      </c>
      <c r="BA78" s="34">
        <v>0.66114886912690962</v>
      </c>
      <c r="BB78" s="34">
        <v>32.777605384399017</v>
      </c>
      <c r="BC78" s="34">
        <v>0.67062880652089663</v>
      </c>
      <c r="BD78" s="34">
        <v>32.316563822852196</v>
      </c>
      <c r="BE78" s="34">
        <v>0.33239531086650898</v>
      </c>
      <c r="BF78" s="34">
        <v>1.6099367663323669</v>
      </c>
      <c r="BG78" s="34">
        <v>0.33798243813086903</v>
      </c>
      <c r="BH78" s="34">
        <v>0.32142613157020528</v>
      </c>
      <c r="BI78" s="34">
        <v>0.64675562007481446</v>
      </c>
      <c r="BJ78" s="34">
        <v>32.991418602163314</v>
      </c>
      <c r="BK78" s="34">
        <v>0.33499779564466392</v>
      </c>
      <c r="BL78" s="34">
        <v>1.6316397918392391</v>
      </c>
      <c r="BM78" s="34">
        <v>0.33059033469978594</v>
      </c>
      <c r="BN78" s="34">
        <v>0.67484073571061087</v>
      </c>
      <c r="BO78" s="34">
        <v>1.6589869655630887</v>
      </c>
    </row>
    <row r="79" spans="1:67" ht="20.100000000000001" customHeight="1" x14ac:dyDescent="0.35">
      <c r="A79" s="64" t="s">
        <v>126</v>
      </c>
      <c r="B79" s="65" t="s">
        <v>123</v>
      </c>
      <c r="C79" s="64" t="s">
        <v>91</v>
      </c>
      <c r="D79" s="34">
        <v>511.5284715284717</v>
      </c>
      <c r="E79" s="34">
        <v>0.20979020979020993</v>
      </c>
      <c r="F79" s="34">
        <v>9.9900099900101331</v>
      </c>
      <c r="G79" s="34">
        <v>0.52552380523171582</v>
      </c>
      <c r="H79" s="34">
        <v>0.51348735161810022</v>
      </c>
      <c r="I79" s="34">
        <v>4.9710562602734818</v>
      </c>
      <c r="J79" s="34">
        <v>5.1330387630654393</v>
      </c>
      <c r="K79" s="34">
        <v>0.10035908828614687</v>
      </c>
      <c r="L79" s="34">
        <v>0.10035908828614687</v>
      </c>
      <c r="M79" s="34">
        <v>0.10035908828614687</v>
      </c>
      <c r="N79" s="34">
        <v>0.10035908828614687</v>
      </c>
      <c r="O79" s="34">
        <v>0.10035908828614687</v>
      </c>
      <c r="P79" s="34">
        <v>0.10035908828614687</v>
      </c>
      <c r="Q79" s="34">
        <v>0.10035908828614687</v>
      </c>
      <c r="R79" s="34">
        <v>0.10035908828614687</v>
      </c>
      <c r="S79" s="34">
        <v>0.10035908828614687</v>
      </c>
      <c r="T79" s="34">
        <v>0.10035908828614687</v>
      </c>
      <c r="U79" s="34">
        <v>0.1950224831533266</v>
      </c>
      <c r="V79" s="34">
        <v>0.1950224831533266</v>
      </c>
      <c r="W79" s="34">
        <v>0.1950224831533266</v>
      </c>
      <c r="X79" s="34">
        <v>0.1950224831533266</v>
      </c>
      <c r="Y79" s="34">
        <v>0.1950224831533266</v>
      </c>
      <c r="Z79" s="34">
        <v>0.1950224831533266</v>
      </c>
      <c r="AA79" s="34">
        <v>0.1950224831533266</v>
      </c>
      <c r="AB79" s="34">
        <v>0.1950224831533266</v>
      </c>
      <c r="AC79" s="34">
        <v>0.1950224831533266</v>
      </c>
      <c r="AD79" s="34">
        <v>0.1950224831533266</v>
      </c>
      <c r="AE79" s="34">
        <v>0.1950224831533266</v>
      </c>
      <c r="AF79" s="34">
        <v>0.1950224831533266</v>
      </c>
      <c r="AG79" s="34">
        <v>0.1950224831533266</v>
      </c>
      <c r="AH79" s="34">
        <v>0.1950224831533266</v>
      </c>
      <c r="AI79" s="34">
        <v>0.1950224831533266</v>
      </c>
      <c r="AJ79" s="34">
        <v>0.1950224831533266</v>
      </c>
      <c r="AK79" s="34">
        <v>0.1950224831533266</v>
      </c>
      <c r="AL79" s="34">
        <v>0.1950224831533266</v>
      </c>
      <c r="AM79" s="34">
        <v>134.22614033748704</v>
      </c>
      <c r="AN79" s="34">
        <v>0.63074724083657341</v>
      </c>
      <c r="AO79" s="34">
        <v>6.4826554384519719</v>
      </c>
      <c r="AP79" s="34">
        <v>81.596239644100393</v>
      </c>
      <c r="AQ79" s="34">
        <v>1.3162724816825837</v>
      </c>
      <c r="AR79" s="34">
        <v>1.311636698114705</v>
      </c>
      <c r="AS79" s="34">
        <v>1.3448220159846116</v>
      </c>
      <c r="AT79" s="34">
        <v>0.63356526142242775</v>
      </c>
      <c r="AU79" s="34">
        <v>1.3195690988034263</v>
      </c>
      <c r="AV79" s="34">
        <v>145.44872076664876</v>
      </c>
      <c r="AW79" s="34">
        <v>1.3447390157696153</v>
      </c>
      <c r="AX79" s="34">
        <v>132.64294547105322</v>
      </c>
      <c r="AY79" s="34">
        <v>136.47112379182784</v>
      </c>
      <c r="AZ79" s="34">
        <v>12.85485882939744</v>
      </c>
      <c r="BA79" s="34">
        <v>1.3222977382538192</v>
      </c>
      <c r="BB79" s="34">
        <v>65.555210768798034</v>
      </c>
      <c r="BC79" s="34">
        <v>1.3412576130417933</v>
      </c>
      <c r="BD79" s="34">
        <v>64.633127645704391</v>
      </c>
      <c r="BE79" s="34">
        <v>0.66479062173301795</v>
      </c>
      <c r="BF79" s="34">
        <v>3.2198735326647339</v>
      </c>
      <c r="BG79" s="34">
        <v>0.67596487626173807</v>
      </c>
      <c r="BH79" s="34">
        <v>0.64285226314041055</v>
      </c>
      <c r="BI79" s="34">
        <v>1.2935112401496289</v>
      </c>
      <c r="BJ79" s="34">
        <v>65.982837204326628</v>
      </c>
      <c r="BK79" s="34">
        <v>0.66999559128932784</v>
      </c>
      <c r="BL79" s="34">
        <v>3.2632795836784783</v>
      </c>
      <c r="BM79" s="34">
        <v>0.66118066939957187</v>
      </c>
      <c r="BN79" s="34">
        <v>1.3496814714212217</v>
      </c>
      <c r="BO79" s="34">
        <v>3.3179739311261773</v>
      </c>
    </row>
    <row r="80" spans="1:67" ht="20.100000000000001" customHeight="1" x14ac:dyDescent="0.35">
      <c r="A80" s="64" t="s">
        <v>127</v>
      </c>
      <c r="B80" s="66">
        <v>6.9444444444444434E-2</v>
      </c>
      <c r="C80" s="64" t="s">
        <v>91</v>
      </c>
      <c r="D80" s="34">
        <v>1278.8211788211793</v>
      </c>
      <c r="E80" s="34">
        <v>0.52447552447552481</v>
      </c>
      <c r="F80" s="34">
        <v>24.975024975025331</v>
      </c>
      <c r="G80" s="34">
        <v>1.3138095130792897</v>
      </c>
      <c r="H80" s="34">
        <v>1.2837183790452507</v>
      </c>
      <c r="I80" s="34">
        <v>12.427640650683704</v>
      </c>
      <c r="J80" s="34">
        <v>12.832596907663596</v>
      </c>
      <c r="K80" s="34">
        <v>0.2508977207153672</v>
      </c>
      <c r="L80" s="34">
        <v>0.2508977207153672</v>
      </c>
      <c r="M80" s="34">
        <v>0.2508977207153672</v>
      </c>
      <c r="N80" s="34">
        <v>0.2508977207153672</v>
      </c>
      <c r="O80" s="34">
        <v>0.2508977207153672</v>
      </c>
      <c r="P80" s="34">
        <v>0.2508977207153672</v>
      </c>
      <c r="Q80" s="34">
        <v>0.2508977207153672</v>
      </c>
      <c r="R80" s="34">
        <v>0.2508977207153672</v>
      </c>
      <c r="S80" s="34">
        <v>0.2508977207153672</v>
      </c>
      <c r="T80" s="34">
        <v>0.2508977207153672</v>
      </c>
      <c r="U80" s="34">
        <v>0.48755620788331655</v>
      </c>
      <c r="V80" s="34">
        <v>0.48755620788331655</v>
      </c>
      <c r="W80" s="34">
        <v>0.48755620788331655</v>
      </c>
      <c r="X80" s="34">
        <v>0.48755620788331655</v>
      </c>
      <c r="Y80" s="34">
        <v>0.48755620788331655</v>
      </c>
      <c r="Z80" s="34">
        <v>0.48755620788331655</v>
      </c>
      <c r="AA80" s="34">
        <v>0.48755620788331655</v>
      </c>
      <c r="AB80" s="34">
        <v>0.48755620788331655</v>
      </c>
      <c r="AC80" s="34">
        <v>0.48755620788331655</v>
      </c>
      <c r="AD80" s="34">
        <v>0.48755620788331655</v>
      </c>
      <c r="AE80" s="34">
        <v>0.48755620788331655</v>
      </c>
      <c r="AF80" s="34">
        <v>0.48755620788331655</v>
      </c>
      <c r="AG80" s="34">
        <v>0.48755620788331655</v>
      </c>
      <c r="AH80" s="34">
        <v>0.48755620788331655</v>
      </c>
      <c r="AI80" s="34">
        <v>0.48755620788331655</v>
      </c>
      <c r="AJ80" s="34">
        <v>0.48755620788331655</v>
      </c>
      <c r="AK80" s="34">
        <v>0.48755620788331655</v>
      </c>
      <c r="AL80" s="34">
        <v>0.48755620788331655</v>
      </c>
      <c r="AM80" s="34">
        <v>335.56535084371762</v>
      </c>
      <c r="AN80" s="34">
        <v>1.5768681020914337</v>
      </c>
      <c r="AO80" s="34">
        <v>16.206638596129928</v>
      </c>
      <c r="AP80" s="34">
        <v>203.99059911025097</v>
      </c>
      <c r="AQ80" s="34">
        <v>3.2906812042064595</v>
      </c>
      <c r="AR80" s="34">
        <v>3.2790917452867623</v>
      </c>
      <c r="AS80" s="34">
        <v>3.362055039961529</v>
      </c>
      <c r="AT80" s="34">
        <v>1.5839131535560695</v>
      </c>
      <c r="AU80" s="34">
        <v>3.2989227470085658</v>
      </c>
      <c r="AV80" s="34">
        <v>363.62180191662191</v>
      </c>
      <c r="AW80" s="34">
        <v>3.3618475394240384</v>
      </c>
      <c r="AX80" s="34">
        <v>331.60736367763309</v>
      </c>
      <c r="AY80" s="34">
        <v>341.17780947956965</v>
      </c>
      <c r="AZ80" s="34">
        <v>32.137147073493601</v>
      </c>
      <c r="BA80" s="34">
        <v>3.3057443456345483</v>
      </c>
      <c r="BB80" s="34">
        <v>163.88802692199508</v>
      </c>
      <c r="BC80" s="34">
        <v>3.353144032604483</v>
      </c>
      <c r="BD80" s="34">
        <v>161.58281911426099</v>
      </c>
      <c r="BE80" s="34">
        <v>1.6619765543325449</v>
      </c>
      <c r="BF80" s="34">
        <v>8.0496838316618344</v>
      </c>
      <c r="BG80" s="34">
        <v>1.6899121906543453</v>
      </c>
      <c r="BH80" s="34">
        <v>1.6071306578510263</v>
      </c>
      <c r="BI80" s="34">
        <v>3.2337781003740722</v>
      </c>
      <c r="BJ80" s="34">
        <v>164.95709301081658</v>
      </c>
      <c r="BK80" s="34">
        <v>1.6749889782233196</v>
      </c>
      <c r="BL80" s="34">
        <v>8.158198959196195</v>
      </c>
      <c r="BM80" s="34">
        <v>1.6529516734989298</v>
      </c>
      <c r="BN80" s="34">
        <v>3.3742036785530543</v>
      </c>
      <c r="BO80" s="34">
        <v>8.2949348278154424</v>
      </c>
    </row>
    <row r="81" spans="1:67" ht="20.100000000000001" customHeight="1" x14ac:dyDescent="0.35">
      <c r="A81" s="64" t="s">
        <v>128</v>
      </c>
      <c r="B81" s="66">
        <v>5.5555555555555552E-2</v>
      </c>
      <c r="C81" s="64" t="s">
        <v>91</v>
      </c>
      <c r="D81" s="34">
        <v>2557.6423576423585</v>
      </c>
      <c r="E81" s="34">
        <v>1.0489510489510496</v>
      </c>
      <c r="F81" s="34">
        <v>49.950049950050662</v>
      </c>
      <c r="G81" s="34">
        <v>2.6276190261585795</v>
      </c>
      <c r="H81" s="34">
        <v>2.5674367580905013</v>
      </c>
      <c r="I81" s="34">
        <v>24.855281301367409</v>
      </c>
      <c r="J81" s="34">
        <v>25.665193815327193</v>
      </c>
      <c r="K81" s="34">
        <v>0.5017954414307344</v>
      </c>
      <c r="L81" s="34">
        <v>0.5017954414307344</v>
      </c>
      <c r="M81" s="34">
        <v>0.5017954414307344</v>
      </c>
      <c r="N81" s="34">
        <v>0.5017954414307344</v>
      </c>
      <c r="O81" s="34">
        <v>0.5017954414307344</v>
      </c>
      <c r="P81" s="34">
        <v>0.5017954414307344</v>
      </c>
      <c r="Q81" s="34">
        <v>0.5017954414307344</v>
      </c>
      <c r="R81" s="34">
        <v>0.5017954414307344</v>
      </c>
      <c r="S81" s="34">
        <v>0.5017954414307344</v>
      </c>
      <c r="T81" s="34">
        <v>0.5017954414307344</v>
      </c>
      <c r="U81" s="34">
        <v>0.9751124157666331</v>
      </c>
      <c r="V81" s="34">
        <v>0.9751124157666331</v>
      </c>
      <c r="W81" s="34">
        <v>0.9751124157666331</v>
      </c>
      <c r="X81" s="34">
        <v>0.9751124157666331</v>
      </c>
      <c r="Y81" s="34">
        <v>0.9751124157666331</v>
      </c>
      <c r="Z81" s="34">
        <v>0.9751124157666331</v>
      </c>
      <c r="AA81" s="34">
        <v>0.9751124157666331</v>
      </c>
      <c r="AB81" s="34">
        <v>0.9751124157666331</v>
      </c>
      <c r="AC81" s="34">
        <v>0.9751124157666331</v>
      </c>
      <c r="AD81" s="34">
        <v>0.9751124157666331</v>
      </c>
      <c r="AE81" s="34">
        <v>0.9751124157666331</v>
      </c>
      <c r="AF81" s="34">
        <v>0.9751124157666331</v>
      </c>
      <c r="AG81" s="34">
        <v>0.9751124157666331</v>
      </c>
      <c r="AH81" s="34">
        <v>0.9751124157666331</v>
      </c>
      <c r="AI81" s="34">
        <v>0.9751124157666331</v>
      </c>
      <c r="AJ81" s="34">
        <v>0.9751124157666331</v>
      </c>
      <c r="AK81" s="34">
        <v>0.9751124157666331</v>
      </c>
      <c r="AL81" s="34">
        <v>0.9751124157666331</v>
      </c>
      <c r="AM81" s="34">
        <v>671.13070168743525</v>
      </c>
      <c r="AN81" s="34">
        <v>3.1537362041828674</v>
      </c>
      <c r="AO81" s="34">
        <v>32.413277192259855</v>
      </c>
      <c r="AP81" s="34">
        <v>407.98119822050194</v>
      </c>
      <c r="AQ81" s="34">
        <v>6.581362408412919</v>
      </c>
      <c r="AR81" s="34">
        <v>6.5581834905735246</v>
      </c>
      <c r="AS81" s="34">
        <v>6.724110079923058</v>
      </c>
      <c r="AT81" s="34">
        <v>3.1678263071121391</v>
      </c>
      <c r="AU81" s="34">
        <v>6.5978454940171316</v>
      </c>
      <c r="AV81" s="34">
        <v>727.24360383324381</v>
      </c>
      <c r="AW81" s="34">
        <v>6.7236950788480767</v>
      </c>
      <c r="AX81" s="34">
        <v>663.21472735526618</v>
      </c>
      <c r="AY81" s="34">
        <v>682.35561895913929</v>
      </c>
      <c r="AZ81" s="34">
        <v>64.274294146987202</v>
      </c>
      <c r="BA81" s="34">
        <v>6.6114886912690967</v>
      </c>
      <c r="BB81" s="34">
        <v>327.77605384399016</v>
      </c>
      <c r="BC81" s="34">
        <v>6.706288065208966</v>
      </c>
      <c r="BD81" s="34">
        <v>323.16563822852197</v>
      </c>
      <c r="BE81" s="34">
        <v>3.3239531086650898</v>
      </c>
      <c r="BF81" s="34">
        <v>16.099367663323669</v>
      </c>
      <c r="BG81" s="34">
        <v>3.3798243813086906</v>
      </c>
      <c r="BH81" s="34">
        <v>3.2142613157020525</v>
      </c>
      <c r="BI81" s="34">
        <v>6.4675562007481444</v>
      </c>
      <c r="BJ81" s="34">
        <v>329.91418602163316</v>
      </c>
      <c r="BK81" s="34">
        <v>3.3499779564466392</v>
      </c>
      <c r="BL81" s="34">
        <v>16.31639791839239</v>
      </c>
      <c r="BM81" s="34">
        <v>3.3059033469978596</v>
      </c>
      <c r="BN81" s="34">
        <v>6.7484073571061085</v>
      </c>
      <c r="BO81" s="34">
        <v>16.589869655630885</v>
      </c>
    </row>
    <row r="82" spans="1:67" ht="20.100000000000001" customHeight="1" x14ac:dyDescent="0.35">
      <c r="A82" s="64" t="s">
        <v>129</v>
      </c>
      <c r="B82" s="66">
        <v>4.8611111111111112E-2</v>
      </c>
      <c r="C82" s="64" t="s">
        <v>91</v>
      </c>
      <c r="D82" s="34">
        <v>5115.2847152847171</v>
      </c>
      <c r="E82" s="34">
        <v>2.0979020979020992</v>
      </c>
      <c r="F82" s="34">
        <v>99.900099900101324</v>
      </c>
      <c r="G82" s="34">
        <v>5.2552380523171589</v>
      </c>
      <c r="H82" s="34">
        <v>5.1348735161810026</v>
      </c>
      <c r="I82" s="34">
        <v>49.710562602734818</v>
      </c>
      <c r="J82" s="34">
        <v>51.330387630654386</v>
      </c>
      <c r="K82" s="34">
        <v>1.0035908828614688</v>
      </c>
      <c r="L82" s="34">
        <v>1.0035908828614688</v>
      </c>
      <c r="M82" s="34">
        <v>1.0035908828614688</v>
      </c>
      <c r="N82" s="34">
        <v>1.0035908828614688</v>
      </c>
      <c r="O82" s="34">
        <v>1.0035908828614688</v>
      </c>
      <c r="P82" s="34">
        <v>1.0035908828614688</v>
      </c>
      <c r="Q82" s="34">
        <v>1.0035908828614688</v>
      </c>
      <c r="R82" s="34">
        <v>1.0035908828614688</v>
      </c>
      <c r="S82" s="34">
        <v>1.0035908828614688</v>
      </c>
      <c r="T82" s="34">
        <v>1.0035908828614688</v>
      </c>
      <c r="U82" s="34">
        <v>1.9502248315332662</v>
      </c>
      <c r="V82" s="34">
        <v>1.9502248315332662</v>
      </c>
      <c r="W82" s="34">
        <v>1.9502248315332662</v>
      </c>
      <c r="X82" s="34">
        <v>1.9502248315332662</v>
      </c>
      <c r="Y82" s="34">
        <v>1.9502248315332662</v>
      </c>
      <c r="Z82" s="34">
        <v>1.9502248315332662</v>
      </c>
      <c r="AA82" s="34">
        <v>1.9502248315332662</v>
      </c>
      <c r="AB82" s="34">
        <v>1.9502248315332662</v>
      </c>
      <c r="AC82" s="34">
        <v>1.9502248315332662</v>
      </c>
      <c r="AD82" s="34">
        <v>1.9502248315332662</v>
      </c>
      <c r="AE82" s="34">
        <v>1.9502248315332662</v>
      </c>
      <c r="AF82" s="34">
        <v>1.9502248315332662</v>
      </c>
      <c r="AG82" s="34">
        <v>1.9502248315332662</v>
      </c>
      <c r="AH82" s="34">
        <v>1.9502248315332662</v>
      </c>
      <c r="AI82" s="34">
        <v>1.9502248315332662</v>
      </c>
      <c r="AJ82" s="34">
        <v>1.9502248315332662</v>
      </c>
      <c r="AK82" s="34">
        <v>1.9502248315332662</v>
      </c>
      <c r="AL82" s="34">
        <v>1.9502248315332662</v>
      </c>
      <c r="AM82" s="34">
        <v>1342.2614033748705</v>
      </c>
      <c r="AN82" s="34">
        <v>6.3074724083657348</v>
      </c>
      <c r="AO82" s="34">
        <v>64.82655438451971</v>
      </c>
      <c r="AP82" s="34">
        <v>815.96239644100388</v>
      </c>
      <c r="AQ82" s="34">
        <v>13.162724816825838</v>
      </c>
      <c r="AR82" s="34">
        <v>13.116366981147049</v>
      </c>
      <c r="AS82" s="34">
        <v>13.448220159846116</v>
      </c>
      <c r="AT82" s="34">
        <v>6.3356526142242782</v>
      </c>
      <c r="AU82" s="34">
        <v>13.195690988034263</v>
      </c>
      <c r="AV82" s="34">
        <v>1454.4872076664876</v>
      </c>
      <c r="AW82" s="34">
        <v>13.447390157696153</v>
      </c>
      <c r="AX82" s="34">
        <v>1326.4294547105324</v>
      </c>
      <c r="AY82" s="34">
        <v>1364.7112379182786</v>
      </c>
      <c r="AZ82" s="34">
        <v>128.5485882939744</v>
      </c>
      <c r="BA82" s="34">
        <v>13.222977382538193</v>
      </c>
      <c r="BB82" s="34">
        <v>655.55210768798031</v>
      </c>
      <c r="BC82" s="34">
        <v>13.412576130417932</v>
      </c>
      <c r="BD82" s="34">
        <v>646.33127645704394</v>
      </c>
      <c r="BE82" s="34">
        <v>6.6479062173301795</v>
      </c>
      <c r="BF82" s="34">
        <v>32.198735326647338</v>
      </c>
      <c r="BG82" s="34">
        <v>6.7596487626173811</v>
      </c>
      <c r="BH82" s="34">
        <v>6.4285226314041051</v>
      </c>
      <c r="BI82" s="34">
        <v>12.935112401496289</v>
      </c>
      <c r="BJ82" s="34">
        <v>659.82837204326631</v>
      </c>
      <c r="BK82" s="34">
        <v>6.6999559128932784</v>
      </c>
      <c r="BL82" s="34">
        <v>32.63279583678478</v>
      </c>
      <c r="BM82" s="34">
        <v>6.6118066939957192</v>
      </c>
      <c r="BN82" s="34">
        <v>13.496814714212217</v>
      </c>
      <c r="BO82" s="34">
        <v>33.17973931126177</v>
      </c>
    </row>
    <row r="83" spans="1:67" ht="20.100000000000001" customHeight="1" x14ac:dyDescent="0.3">
      <c r="A83" s="64" t="s">
        <v>130</v>
      </c>
      <c r="B83" s="67" t="s">
        <v>119</v>
      </c>
      <c r="C83" s="64" t="s">
        <v>91</v>
      </c>
      <c r="D83" s="68">
        <v>51152.847152847171</v>
      </c>
      <c r="E83" s="68">
        <v>20.979020979020994</v>
      </c>
      <c r="F83" s="68">
        <v>999.00099900101327</v>
      </c>
      <c r="G83" s="68">
        <v>52.552380523171585</v>
      </c>
      <c r="H83" s="68">
        <v>51.348735161810026</v>
      </c>
      <c r="I83" s="69">
        <v>497.10562602734819</v>
      </c>
      <c r="J83" s="69">
        <v>513.30387630654388</v>
      </c>
      <c r="K83" s="69">
        <v>10.035908828614687</v>
      </c>
      <c r="L83" s="69">
        <v>10.035908828614687</v>
      </c>
      <c r="M83" s="69">
        <v>10.035908828614687</v>
      </c>
      <c r="N83" s="69">
        <v>10.035908828614687</v>
      </c>
      <c r="O83" s="69">
        <v>10.035908828614687</v>
      </c>
      <c r="P83" s="69">
        <v>10.035908828614687</v>
      </c>
      <c r="Q83" s="69">
        <v>10.035908828614687</v>
      </c>
      <c r="R83" s="69">
        <v>10.035908828614687</v>
      </c>
      <c r="S83" s="69">
        <v>10.035908828614687</v>
      </c>
      <c r="T83" s="69">
        <v>10.035908828614687</v>
      </c>
      <c r="U83" s="69">
        <v>19.502248315332661</v>
      </c>
      <c r="V83" s="69">
        <v>19.502248315332661</v>
      </c>
      <c r="W83" s="69">
        <v>19.502248315332661</v>
      </c>
      <c r="X83" s="69">
        <v>19.502248315332661</v>
      </c>
      <c r="Y83" s="69">
        <v>19.502248315332661</v>
      </c>
      <c r="Z83" s="69">
        <v>19.502248315332661</v>
      </c>
      <c r="AA83" s="69">
        <v>19.502248315332661</v>
      </c>
      <c r="AB83" s="69">
        <v>19.502248315332661</v>
      </c>
      <c r="AC83" s="69">
        <v>19.502248315332661</v>
      </c>
      <c r="AD83" s="69">
        <v>19.502248315332661</v>
      </c>
      <c r="AE83" s="69">
        <v>19.502248315332661</v>
      </c>
      <c r="AF83" s="69">
        <v>19.502248315332661</v>
      </c>
      <c r="AG83" s="69">
        <v>19.502248315332661</v>
      </c>
      <c r="AH83" s="69">
        <v>19.502248315332661</v>
      </c>
      <c r="AI83" s="69">
        <v>19.502248315332661</v>
      </c>
      <c r="AJ83" s="69">
        <v>19.502248315332661</v>
      </c>
      <c r="AK83" s="69">
        <v>19.502248315332661</v>
      </c>
      <c r="AL83" s="69">
        <v>19.502248315332661</v>
      </c>
      <c r="AM83" s="69">
        <v>13422.614033748705</v>
      </c>
      <c r="AN83" s="69">
        <v>63.074724083657344</v>
      </c>
      <c r="AO83" s="69">
        <v>648.26554384519716</v>
      </c>
      <c r="AP83" s="69">
        <v>8159.6239644100388</v>
      </c>
      <c r="AQ83" s="69">
        <v>131.62724816825838</v>
      </c>
      <c r="AR83" s="69">
        <v>131.1636698114705</v>
      </c>
      <c r="AS83" s="69">
        <v>134.48220159846116</v>
      </c>
      <c r="AT83" s="69">
        <v>63.356526142242778</v>
      </c>
      <c r="AU83" s="69">
        <v>131.95690988034264</v>
      </c>
      <c r="AV83" s="69">
        <v>14544.872076664877</v>
      </c>
      <c r="AW83" s="69">
        <v>134.47390157696154</v>
      </c>
      <c r="AX83" s="69">
        <v>13264.294547105323</v>
      </c>
      <c r="AY83" s="69">
        <v>13647.112379182785</v>
      </c>
      <c r="AZ83" s="69">
        <v>1285.485882939744</v>
      </c>
      <c r="BA83" s="69">
        <v>132.22977382538193</v>
      </c>
      <c r="BB83" s="69">
        <v>6555.5210768798033</v>
      </c>
      <c r="BC83" s="69">
        <v>134.12576130417932</v>
      </c>
      <c r="BD83" s="69">
        <v>6463.312764570439</v>
      </c>
      <c r="BE83" s="69">
        <v>66.479062173301799</v>
      </c>
      <c r="BF83" s="69">
        <v>321.98735326647341</v>
      </c>
      <c r="BG83" s="69">
        <v>67.596487626173811</v>
      </c>
      <c r="BH83" s="69">
        <v>64.285226314041054</v>
      </c>
      <c r="BI83" s="69">
        <v>129.35112401496289</v>
      </c>
      <c r="BJ83" s="69">
        <v>6598.2837204326634</v>
      </c>
      <c r="BK83" s="69">
        <v>66.999559128932788</v>
      </c>
      <c r="BL83" s="69">
        <v>326.32795836784783</v>
      </c>
      <c r="BM83" s="69">
        <v>66.118066939957188</v>
      </c>
      <c r="BN83" s="69">
        <v>134.96814714212218</v>
      </c>
      <c r="BO83" s="69">
        <v>331.79739311261773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Concentration</vt:lpstr>
      <vt:lpstr>Input</vt:lpstr>
      <vt:lpstr>Standards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ThermoFisher</dc:creator>
  <cp:lastModifiedBy>Marisa Masles</cp:lastModifiedBy>
  <dcterms:created xsi:type="dcterms:W3CDTF">2016-10-21T16:26:58Z</dcterms:created>
  <dcterms:modified xsi:type="dcterms:W3CDTF">2016-10-21T22:26:15Z</dcterms:modified>
</cp:coreProperties>
</file>