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20" yWindow="165" windowWidth="24240" windowHeight="3540"/>
  </bookViews>
  <sheets>
    <sheet name="Concentration" sheetId="7" r:id="rId1"/>
    <sheet name="Input" sheetId="3" r:id="rId2"/>
    <sheet name="Standards" sheetId="6" r:id="rId3"/>
  </sheets>
  <calcPr calcId="145621"/>
</workbook>
</file>

<file path=xl/calcChain.xml><?xml version="1.0" encoding="utf-8"?>
<calcChain xmlns="http://schemas.openxmlformats.org/spreadsheetml/2006/main">
  <c r="BA30" i="7" l="1"/>
  <c r="BA29" i="7"/>
  <c r="BA28" i="7"/>
  <c r="BA27" i="7"/>
  <c r="BA26" i="7"/>
  <c r="BA25" i="7"/>
  <c r="BA24" i="7"/>
  <c r="BA23" i="7"/>
  <c r="BA22" i="7"/>
  <c r="BA21" i="7"/>
  <c r="BA20" i="7"/>
  <c r="BA19" i="7"/>
  <c r="BA18" i="7"/>
  <c r="BA17" i="7"/>
  <c r="BA16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U30" i="7"/>
  <c r="V30" i="7"/>
  <c r="W30" i="7"/>
  <c r="X30" i="7"/>
  <c r="Y30" i="7"/>
  <c r="Z30" i="7"/>
  <c r="AA30" i="7"/>
  <c r="AB30" i="7"/>
  <c r="AC30" i="7"/>
  <c r="AD30" i="7"/>
  <c r="AE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U30" i="7"/>
  <c r="AX30" i="7"/>
  <c r="B30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U29" i="7"/>
  <c r="V29" i="7"/>
  <c r="W29" i="7"/>
  <c r="X29" i="7"/>
  <c r="Y29" i="7"/>
  <c r="Z29" i="7"/>
  <c r="AA29" i="7"/>
  <c r="AB29" i="7"/>
  <c r="AC29" i="7"/>
  <c r="AD29" i="7"/>
  <c r="AE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U29" i="7"/>
  <c r="AX29" i="7"/>
  <c r="B29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U28" i="7"/>
  <c r="V28" i="7"/>
  <c r="W28" i="7"/>
  <c r="X28" i="7"/>
  <c r="Y28" i="7"/>
  <c r="Z28" i="7"/>
  <c r="AA28" i="7"/>
  <c r="AB28" i="7"/>
  <c r="AC28" i="7"/>
  <c r="AD28" i="7"/>
  <c r="AE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U28" i="7"/>
  <c r="AX28" i="7"/>
  <c r="B28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U27" i="7"/>
  <c r="V27" i="7"/>
  <c r="W27" i="7"/>
  <c r="X27" i="7"/>
  <c r="Y27" i="7"/>
  <c r="Z27" i="7"/>
  <c r="AA27" i="7"/>
  <c r="AB27" i="7"/>
  <c r="AC27" i="7"/>
  <c r="AD27" i="7"/>
  <c r="AE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U27" i="7"/>
  <c r="AX27" i="7"/>
  <c r="B27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U26" i="7"/>
  <c r="V26" i="7"/>
  <c r="W26" i="7"/>
  <c r="X26" i="7"/>
  <c r="Y26" i="7"/>
  <c r="Z26" i="7"/>
  <c r="AA26" i="7"/>
  <c r="AB26" i="7"/>
  <c r="AC26" i="7"/>
  <c r="AD26" i="7"/>
  <c r="AE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X26" i="7"/>
  <c r="B26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U25" i="7"/>
  <c r="V25" i="7"/>
  <c r="W25" i="7"/>
  <c r="X25" i="7"/>
  <c r="Y25" i="7"/>
  <c r="Z25" i="7"/>
  <c r="AA25" i="7"/>
  <c r="AB25" i="7"/>
  <c r="AC25" i="7"/>
  <c r="AD25" i="7"/>
  <c r="AE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X25" i="7"/>
  <c r="B25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U24" i="7"/>
  <c r="V24" i="7"/>
  <c r="W24" i="7"/>
  <c r="X24" i="7"/>
  <c r="Y24" i="7"/>
  <c r="Z24" i="7"/>
  <c r="AA24" i="7"/>
  <c r="AB24" i="7"/>
  <c r="AC24" i="7"/>
  <c r="AD24" i="7"/>
  <c r="AE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X24" i="7"/>
  <c r="B24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U23" i="7"/>
  <c r="V23" i="7"/>
  <c r="W23" i="7"/>
  <c r="X23" i="7"/>
  <c r="Y23" i="7"/>
  <c r="Z23" i="7"/>
  <c r="AA23" i="7"/>
  <c r="AB23" i="7"/>
  <c r="AC23" i="7"/>
  <c r="AD23" i="7"/>
  <c r="AE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X23" i="7"/>
  <c r="B23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U22" i="7"/>
  <c r="V22" i="7"/>
  <c r="W22" i="7"/>
  <c r="X22" i="7"/>
  <c r="Y22" i="7"/>
  <c r="Z22" i="7"/>
  <c r="AA22" i="7"/>
  <c r="AB22" i="7"/>
  <c r="AC22" i="7"/>
  <c r="AD22" i="7"/>
  <c r="AE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X22" i="7"/>
  <c r="B22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U21" i="7"/>
  <c r="V21" i="7"/>
  <c r="W21" i="7"/>
  <c r="X21" i="7"/>
  <c r="Y21" i="7"/>
  <c r="Z21" i="7"/>
  <c r="AA21" i="7"/>
  <c r="AB21" i="7"/>
  <c r="AC21" i="7"/>
  <c r="AD21" i="7"/>
  <c r="AE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X21" i="7"/>
  <c r="B21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U20" i="7"/>
  <c r="V20" i="7"/>
  <c r="W20" i="7"/>
  <c r="X20" i="7"/>
  <c r="Y20" i="7"/>
  <c r="Z20" i="7"/>
  <c r="AA20" i="7"/>
  <c r="AB20" i="7"/>
  <c r="AC20" i="7"/>
  <c r="AD20" i="7"/>
  <c r="AE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X20" i="7"/>
  <c r="B20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U19" i="7"/>
  <c r="V19" i="7"/>
  <c r="W19" i="7"/>
  <c r="X19" i="7"/>
  <c r="Y19" i="7"/>
  <c r="Z19" i="7"/>
  <c r="AA19" i="7"/>
  <c r="AB19" i="7"/>
  <c r="AC19" i="7"/>
  <c r="AD19" i="7"/>
  <c r="AE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X19" i="7"/>
  <c r="B19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U18" i="7"/>
  <c r="V18" i="7"/>
  <c r="W18" i="7"/>
  <c r="X18" i="7"/>
  <c r="Y18" i="7"/>
  <c r="Z18" i="7"/>
  <c r="AA18" i="7"/>
  <c r="AB18" i="7"/>
  <c r="AC18" i="7"/>
  <c r="AD18" i="7"/>
  <c r="AE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X18" i="7"/>
  <c r="B18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U17" i="7"/>
  <c r="V17" i="7"/>
  <c r="W17" i="7"/>
  <c r="X17" i="7"/>
  <c r="Y17" i="7"/>
  <c r="Z17" i="7"/>
  <c r="AA17" i="7"/>
  <c r="AB17" i="7"/>
  <c r="AC17" i="7"/>
  <c r="AD17" i="7"/>
  <c r="AE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X17" i="7"/>
  <c r="B17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U16" i="7"/>
  <c r="V16" i="7"/>
  <c r="W16" i="7"/>
  <c r="X16" i="7"/>
  <c r="Y16" i="7"/>
  <c r="Z16" i="7"/>
  <c r="AA16" i="7"/>
  <c r="AB16" i="7"/>
  <c r="AC16" i="7"/>
  <c r="AD16" i="7"/>
  <c r="AE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X16" i="7"/>
  <c r="B16" i="7"/>
  <c r="BA15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U15" i="7"/>
  <c r="V15" i="7"/>
  <c r="W15" i="7"/>
  <c r="X15" i="7"/>
  <c r="Y15" i="7"/>
  <c r="Z15" i="7"/>
  <c r="AA15" i="7"/>
  <c r="AB15" i="7"/>
  <c r="AC15" i="7"/>
  <c r="AD15" i="7"/>
  <c r="AE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X15" i="7"/>
  <c r="B15" i="7"/>
  <c r="BO82" i="6"/>
  <c r="BN82" i="6"/>
  <c r="BM82" i="6"/>
  <c r="BL82" i="6"/>
  <c r="BK82" i="6"/>
  <c r="BJ82" i="6"/>
  <c r="BI82" i="6"/>
  <c r="BH82" i="6"/>
  <c r="BG82" i="6"/>
  <c r="BF82" i="6"/>
  <c r="BE82" i="6"/>
  <c r="BD82" i="6"/>
  <c r="BC82" i="6"/>
  <c r="BB82" i="6"/>
  <c r="BA82" i="6"/>
  <c r="AZ82" i="6"/>
  <c r="AY82" i="6"/>
  <c r="AX82" i="6"/>
  <c r="AW82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BO81" i="6"/>
  <c r="BN81" i="6"/>
  <c r="BM81" i="6"/>
  <c r="BL81" i="6"/>
  <c r="BK81" i="6"/>
  <c r="BJ81" i="6"/>
  <c r="BI81" i="6"/>
  <c r="BH81" i="6"/>
  <c r="BG81" i="6"/>
  <c r="BF81" i="6"/>
  <c r="BE81" i="6"/>
  <c r="BD81" i="6"/>
  <c r="BC81" i="6"/>
  <c r="BB81" i="6"/>
  <c r="BA81" i="6"/>
  <c r="AZ81" i="6"/>
  <c r="AY81" i="6"/>
  <c r="AX81" i="6"/>
  <c r="AW81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BO80" i="6"/>
  <c r="BN80" i="6"/>
  <c r="BM80" i="6"/>
  <c r="BL80" i="6"/>
  <c r="BK80" i="6"/>
  <c r="BJ80" i="6"/>
  <c r="BI80" i="6"/>
  <c r="BH80" i="6"/>
  <c r="BG80" i="6"/>
  <c r="BF80" i="6"/>
  <c r="BE80" i="6"/>
  <c r="BD80" i="6"/>
  <c r="BC80" i="6"/>
  <c r="BB80" i="6"/>
  <c r="BA80" i="6"/>
  <c r="AZ80" i="6"/>
  <c r="AY80" i="6"/>
  <c r="AX80" i="6"/>
  <c r="AW80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BO79" i="6"/>
  <c r="BN79" i="6"/>
  <c r="BM79" i="6"/>
  <c r="BL79" i="6"/>
  <c r="BK79" i="6"/>
  <c r="BJ79" i="6"/>
  <c r="BI79" i="6"/>
  <c r="BH79" i="6"/>
  <c r="BG79" i="6"/>
  <c r="BF79" i="6"/>
  <c r="BE79" i="6"/>
  <c r="BD79" i="6"/>
  <c r="BC79" i="6"/>
  <c r="BB79" i="6"/>
  <c r="BA79" i="6"/>
  <c r="AZ79" i="6"/>
  <c r="AY79" i="6"/>
  <c r="AX79" i="6"/>
  <c r="AW79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BO78" i="6"/>
  <c r="BN78" i="6"/>
  <c r="BM78" i="6"/>
  <c r="BL78" i="6"/>
  <c r="BK78" i="6"/>
  <c r="BJ78" i="6"/>
  <c r="BI78" i="6"/>
  <c r="BH78" i="6"/>
  <c r="BG78" i="6"/>
  <c r="BF78" i="6"/>
  <c r="BE78" i="6"/>
  <c r="BD78" i="6"/>
  <c r="BC78" i="6"/>
  <c r="BB78" i="6"/>
  <c r="BA78" i="6"/>
  <c r="AZ78" i="6"/>
  <c r="AY78" i="6"/>
  <c r="AX78" i="6"/>
  <c r="AW78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BO77" i="6"/>
  <c r="BN77" i="6"/>
  <c r="BM77" i="6"/>
  <c r="BL77" i="6"/>
  <c r="BK77" i="6"/>
  <c r="BJ77" i="6"/>
  <c r="BI77" i="6"/>
  <c r="BH77" i="6"/>
  <c r="BG77" i="6"/>
  <c r="BF77" i="6"/>
  <c r="BE77" i="6"/>
  <c r="BD77" i="6"/>
  <c r="BC77" i="6"/>
  <c r="BB77" i="6"/>
  <c r="BA77" i="6"/>
  <c r="AZ77" i="6"/>
  <c r="AY77" i="6"/>
  <c r="AX77" i="6"/>
  <c r="AW77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H72" i="6"/>
  <c r="H71" i="6"/>
  <c r="J69" i="6"/>
  <c r="G69" i="6"/>
  <c r="F69" i="6"/>
  <c r="E69" i="6"/>
  <c r="D69" i="6"/>
  <c r="C69" i="6"/>
  <c r="B69" i="6"/>
  <c r="J68" i="6"/>
  <c r="G68" i="6"/>
  <c r="F68" i="6"/>
  <c r="E68" i="6"/>
  <c r="D68" i="6"/>
  <c r="C68" i="6"/>
  <c r="B68" i="6"/>
  <c r="J67" i="6"/>
  <c r="G67" i="6"/>
  <c r="F67" i="6"/>
  <c r="E67" i="6"/>
  <c r="D67" i="6"/>
  <c r="C67" i="6"/>
  <c r="B67" i="6"/>
  <c r="J66" i="6"/>
  <c r="G66" i="6"/>
  <c r="F66" i="6"/>
  <c r="E66" i="6"/>
  <c r="D66" i="6"/>
  <c r="C66" i="6"/>
  <c r="B66" i="6"/>
  <c r="J65" i="6"/>
  <c r="G65" i="6"/>
  <c r="F65" i="6"/>
  <c r="F71" i="6" s="1"/>
  <c r="E65" i="6"/>
  <c r="D65" i="6"/>
  <c r="D71" i="6" s="1"/>
  <c r="C65" i="6"/>
  <c r="B65" i="6"/>
  <c r="B71" i="6" s="1"/>
  <c r="J64" i="6"/>
  <c r="G64" i="6"/>
  <c r="F64" i="6"/>
  <c r="E64" i="6"/>
  <c r="D64" i="6"/>
  <c r="C64" i="6"/>
  <c r="B64" i="6"/>
  <c r="J63" i="6"/>
  <c r="G63" i="6"/>
  <c r="F63" i="6"/>
  <c r="E63" i="6"/>
  <c r="D63" i="6"/>
  <c r="C63" i="6"/>
  <c r="B63" i="6"/>
  <c r="J62" i="6"/>
  <c r="G62" i="6"/>
  <c r="F62" i="6"/>
  <c r="E62" i="6"/>
  <c r="D62" i="6"/>
  <c r="C62" i="6"/>
  <c r="B62" i="6"/>
  <c r="J61" i="6"/>
  <c r="G61" i="6"/>
  <c r="F61" i="6"/>
  <c r="E61" i="6"/>
  <c r="D61" i="6"/>
  <c r="C61" i="6"/>
  <c r="B61" i="6"/>
  <c r="J60" i="6"/>
  <c r="G60" i="6"/>
  <c r="F60" i="6"/>
  <c r="E60" i="6"/>
  <c r="D60" i="6"/>
  <c r="C60" i="6"/>
  <c r="B60" i="6"/>
  <c r="J59" i="6"/>
  <c r="G59" i="6"/>
  <c r="F59" i="6"/>
  <c r="E59" i="6"/>
  <c r="D59" i="6"/>
  <c r="C59" i="6"/>
  <c r="B59" i="6"/>
  <c r="J58" i="6"/>
  <c r="G58" i="6"/>
  <c r="F58" i="6"/>
  <c r="E58" i="6"/>
  <c r="D58" i="6"/>
  <c r="C58" i="6"/>
  <c r="B58" i="6"/>
  <c r="J57" i="6"/>
  <c r="G57" i="6"/>
  <c r="F57" i="6"/>
  <c r="E57" i="6"/>
  <c r="D57" i="6"/>
  <c r="C57" i="6"/>
  <c r="B57" i="6"/>
  <c r="J56" i="6"/>
  <c r="G56" i="6"/>
  <c r="F56" i="6"/>
  <c r="E56" i="6"/>
  <c r="D56" i="6"/>
  <c r="C56" i="6"/>
  <c r="B56" i="6"/>
  <c r="J55" i="6"/>
  <c r="G55" i="6"/>
  <c r="F55" i="6"/>
  <c r="E55" i="6"/>
  <c r="D55" i="6"/>
  <c r="C55" i="6"/>
  <c r="B55" i="6"/>
  <c r="J54" i="6"/>
  <c r="G54" i="6"/>
  <c r="F54" i="6"/>
  <c r="E54" i="6"/>
  <c r="D54" i="6"/>
  <c r="C54" i="6"/>
  <c r="B54" i="6"/>
  <c r="J53" i="6"/>
  <c r="G53" i="6"/>
  <c r="F53" i="6"/>
  <c r="E53" i="6"/>
  <c r="D53" i="6"/>
  <c r="C53" i="6"/>
  <c r="B53" i="6"/>
  <c r="J52" i="6"/>
  <c r="G52" i="6"/>
  <c r="F52" i="6"/>
  <c r="E52" i="6"/>
  <c r="D52" i="6"/>
  <c r="C52" i="6"/>
  <c r="B52" i="6"/>
  <c r="J51" i="6"/>
  <c r="G51" i="6"/>
  <c r="G72" i="6" s="1"/>
  <c r="F51" i="6"/>
  <c r="F72" i="6" s="1"/>
  <c r="E51" i="6"/>
  <c r="E72" i="6" s="1"/>
  <c r="D51" i="6"/>
  <c r="D72" i="6" s="1"/>
  <c r="C51" i="6"/>
  <c r="C72" i="6" s="1"/>
  <c r="B51" i="6"/>
  <c r="B72" i="6" s="1"/>
  <c r="J50" i="6"/>
  <c r="G50" i="6"/>
  <c r="F50" i="6"/>
  <c r="E50" i="6"/>
  <c r="D50" i="6"/>
  <c r="C50" i="6"/>
  <c r="B50" i="6"/>
  <c r="J49" i="6"/>
  <c r="G49" i="6"/>
  <c r="F49" i="6"/>
  <c r="E49" i="6"/>
  <c r="D49" i="6"/>
  <c r="C49" i="6"/>
  <c r="B49" i="6"/>
  <c r="J48" i="6"/>
  <c r="G48" i="6"/>
  <c r="F48" i="6"/>
  <c r="E48" i="6"/>
  <c r="D48" i="6"/>
  <c r="C48" i="6"/>
  <c r="B48" i="6"/>
  <c r="J47" i="6"/>
  <c r="G47" i="6"/>
  <c r="F47" i="6"/>
  <c r="E47" i="6"/>
  <c r="D47" i="6"/>
  <c r="C47" i="6"/>
  <c r="B47" i="6"/>
  <c r="J46" i="6"/>
  <c r="G46" i="6"/>
  <c r="F46" i="6"/>
  <c r="E46" i="6"/>
  <c r="D46" i="6"/>
  <c r="C46" i="6"/>
  <c r="B46" i="6"/>
  <c r="J45" i="6"/>
  <c r="G45" i="6"/>
  <c r="F45" i="6"/>
  <c r="E45" i="6"/>
  <c r="D45" i="6"/>
  <c r="C45" i="6"/>
  <c r="B45" i="6"/>
  <c r="J44" i="6"/>
  <c r="G44" i="6"/>
  <c r="F44" i="6"/>
  <c r="E44" i="6"/>
  <c r="D44" i="6"/>
  <c r="C44" i="6"/>
  <c r="B44" i="6"/>
  <c r="J43" i="6"/>
  <c r="G43" i="6"/>
  <c r="F43" i="6"/>
  <c r="E43" i="6"/>
  <c r="D43" i="6"/>
  <c r="C43" i="6"/>
  <c r="B43" i="6"/>
  <c r="J42" i="6"/>
  <c r="G42" i="6"/>
  <c r="F42" i="6"/>
  <c r="E42" i="6"/>
  <c r="D42" i="6"/>
  <c r="C42" i="6"/>
  <c r="B42" i="6"/>
  <c r="J41" i="6"/>
  <c r="G41" i="6"/>
  <c r="F41" i="6"/>
  <c r="E41" i="6"/>
  <c r="D41" i="6"/>
  <c r="C41" i="6"/>
  <c r="B41" i="6"/>
  <c r="J40" i="6"/>
  <c r="G40" i="6"/>
  <c r="F40" i="6"/>
  <c r="E40" i="6"/>
  <c r="D40" i="6"/>
  <c r="C40" i="6"/>
  <c r="B40" i="6"/>
  <c r="J39" i="6"/>
  <c r="G39" i="6"/>
  <c r="F39" i="6"/>
  <c r="E39" i="6"/>
  <c r="D39" i="6"/>
  <c r="C39" i="6"/>
  <c r="B39" i="6"/>
  <c r="J38" i="6"/>
  <c r="G38" i="6"/>
  <c r="G71" i="6" s="1"/>
  <c r="F38" i="6"/>
  <c r="E38" i="6"/>
  <c r="E71" i="6" s="1"/>
  <c r="D38" i="6"/>
  <c r="C38" i="6"/>
  <c r="C71" i="6" s="1"/>
  <c r="B38" i="6"/>
  <c r="J37" i="6"/>
  <c r="G37" i="6"/>
  <c r="F37" i="6"/>
  <c r="E37" i="6"/>
  <c r="D37" i="6"/>
  <c r="C37" i="6"/>
  <c r="B37" i="6"/>
  <c r="J36" i="6"/>
  <c r="G36" i="6"/>
  <c r="F36" i="6"/>
  <c r="E36" i="6"/>
  <c r="D36" i="6"/>
  <c r="C36" i="6"/>
  <c r="B36" i="6"/>
  <c r="J35" i="6"/>
  <c r="G35" i="6"/>
  <c r="F35" i="6"/>
  <c r="E35" i="6"/>
  <c r="D35" i="6"/>
  <c r="C35" i="6"/>
  <c r="B35" i="6"/>
  <c r="J34" i="6"/>
  <c r="G34" i="6"/>
  <c r="F34" i="6"/>
  <c r="E34" i="6"/>
  <c r="D34" i="6"/>
  <c r="C34" i="6"/>
  <c r="B34" i="6"/>
  <c r="J33" i="6"/>
  <c r="G33" i="6"/>
  <c r="F33" i="6"/>
  <c r="E33" i="6"/>
  <c r="D33" i="6"/>
  <c r="C33" i="6"/>
  <c r="B33" i="6"/>
  <c r="J32" i="6"/>
  <c r="G32" i="6"/>
  <c r="F32" i="6"/>
  <c r="E32" i="6"/>
  <c r="D32" i="6"/>
  <c r="C32" i="6"/>
  <c r="B32" i="6"/>
  <c r="J31" i="6"/>
  <c r="G31" i="6"/>
  <c r="F31" i="6"/>
  <c r="E31" i="6"/>
  <c r="D31" i="6"/>
  <c r="C31" i="6"/>
  <c r="B31" i="6"/>
  <c r="J30" i="6"/>
  <c r="G30" i="6"/>
  <c r="F30" i="6"/>
  <c r="E30" i="6"/>
  <c r="D30" i="6"/>
  <c r="C30" i="6"/>
  <c r="B30" i="6"/>
  <c r="J29" i="6"/>
  <c r="G29" i="6"/>
  <c r="F29" i="6"/>
  <c r="E29" i="6"/>
  <c r="D29" i="6"/>
  <c r="C29" i="6"/>
  <c r="B29" i="6"/>
  <c r="J28" i="6"/>
  <c r="G28" i="6"/>
  <c r="F28" i="6"/>
  <c r="E28" i="6"/>
  <c r="D28" i="6"/>
  <c r="C28" i="6"/>
  <c r="B28" i="6"/>
  <c r="J27" i="6"/>
  <c r="G27" i="6"/>
  <c r="F27" i="6"/>
  <c r="E27" i="6"/>
  <c r="D27" i="6"/>
  <c r="C27" i="6"/>
  <c r="B27" i="6"/>
  <c r="J26" i="6"/>
  <c r="G26" i="6"/>
  <c r="F26" i="6"/>
  <c r="E26" i="6"/>
  <c r="D26" i="6"/>
  <c r="C26" i="6"/>
  <c r="B26" i="6"/>
  <c r="J25" i="6"/>
  <c r="G25" i="6"/>
  <c r="F25" i="6"/>
  <c r="E25" i="6"/>
  <c r="D25" i="6"/>
  <c r="C25" i="6"/>
  <c r="B25" i="6"/>
  <c r="J24" i="6"/>
  <c r="G24" i="6"/>
  <c r="F24" i="6"/>
  <c r="E24" i="6"/>
  <c r="D24" i="6"/>
  <c r="C24" i="6"/>
  <c r="B24" i="6"/>
  <c r="J23" i="6"/>
  <c r="G23" i="6"/>
  <c r="F23" i="6"/>
  <c r="E23" i="6"/>
  <c r="D23" i="6"/>
  <c r="C23" i="6"/>
  <c r="B23" i="6"/>
  <c r="J22" i="6"/>
  <c r="G22" i="6"/>
  <c r="F22" i="6"/>
  <c r="E22" i="6"/>
  <c r="D22" i="6"/>
  <c r="C22" i="6"/>
  <c r="B22" i="6"/>
  <c r="J21" i="6"/>
  <c r="G21" i="6"/>
  <c r="F21" i="6"/>
  <c r="E21" i="6"/>
  <c r="D21" i="6"/>
  <c r="C21" i="6"/>
  <c r="B21" i="6"/>
  <c r="J20" i="6"/>
  <c r="G20" i="6"/>
  <c r="F20" i="6"/>
  <c r="E20" i="6"/>
  <c r="D20" i="6"/>
  <c r="C20" i="6"/>
  <c r="B20" i="6"/>
  <c r="J19" i="6"/>
  <c r="G19" i="6"/>
  <c r="F19" i="6"/>
  <c r="E19" i="6"/>
  <c r="D19" i="6"/>
  <c r="C19" i="6"/>
  <c r="B19" i="6"/>
  <c r="J18" i="6"/>
  <c r="G18" i="6"/>
  <c r="F18" i="6"/>
  <c r="E18" i="6"/>
  <c r="D18" i="6"/>
  <c r="C18" i="6"/>
  <c r="B18" i="6"/>
  <c r="J17" i="6"/>
  <c r="G17" i="6"/>
  <c r="F17" i="6"/>
  <c r="E17" i="6"/>
  <c r="D17" i="6"/>
  <c r="C17" i="6"/>
  <c r="B17" i="6"/>
  <c r="J16" i="6"/>
  <c r="G16" i="6"/>
  <c r="F16" i="6"/>
  <c r="E16" i="6"/>
  <c r="D16" i="6"/>
  <c r="C16" i="6"/>
  <c r="B16" i="6"/>
  <c r="J15" i="6"/>
  <c r="G15" i="6"/>
  <c r="F15" i="6"/>
  <c r="E15" i="6"/>
  <c r="D15" i="6"/>
  <c r="C15" i="6"/>
  <c r="B15" i="6"/>
  <c r="J14" i="6"/>
  <c r="G14" i="6"/>
  <c r="F14" i="6"/>
  <c r="E14" i="6"/>
  <c r="D14" i="6"/>
  <c r="C14" i="6"/>
  <c r="B14" i="6"/>
  <c r="J13" i="6"/>
  <c r="G13" i="6"/>
  <c r="F13" i="6"/>
  <c r="E13" i="6"/>
  <c r="D13" i="6"/>
  <c r="C13" i="6"/>
  <c r="B13" i="6"/>
  <c r="J12" i="6"/>
  <c r="G12" i="6"/>
  <c r="F12" i="6"/>
  <c r="E12" i="6"/>
  <c r="D12" i="6"/>
  <c r="C12" i="6"/>
  <c r="B12" i="6"/>
  <c r="J11" i="6"/>
  <c r="G11" i="6"/>
  <c r="F11" i="6"/>
  <c r="E11" i="6"/>
  <c r="D11" i="6"/>
  <c r="C11" i="6"/>
  <c r="B11" i="6"/>
  <c r="J10" i="6"/>
  <c r="G10" i="6"/>
  <c r="F10" i="6"/>
  <c r="E10" i="6"/>
  <c r="D10" i="6"/>
  <c r="C10" i="6"/>
  <c r="B10" i="6"/>
  <c r="J9" i="6"/>
  <c r="G9" i="6"/>
  <c r="F9" i="6"/>
  <c r="E9" i="6"/>
  <c r="D9" i="6"/>
  <c r="C9" i="6"/>
  <c r="B9" i="6"/>
  <c r="J8" i="6"/>
  <c r="G8" i="6"/>
  <c r="F8" i="6"/>
  <c r="E8" i="6"/>
  <c r="D8" i="6"/>
  <c r="C8" i="6"/>
  <c r="B8" i="6"/>
  <c r="J7" i="6"/>
  <c r="G7" i="6"/>
  <c r="F7" i="6"/>
  <c r="E7" i="6"/>
  <c r="D7" i="6"/>
  <c r="C7" i="6"/>
  <c r="B7" i="6"/>
  <c r="J6" i="6"/>
  <c r="G6" i="6"/>
  <c r="F6" i="6"/>
  <c r="E6" i="6"/>
  <c r="D6" i="6"/>
  <c r="C6" i="6"/>
  <c r="B6" i="6"/>
</calcChain>
</file>

<file path=xl/sharedStrings.xml><?xml version="1.0" encoding="utf-8"?>
<sst xmlns="http://schemas.openxmlformats.org/spreadsheetml/2006/main" count="616" uniqueCount="205">
  <si>
    <t>11B</t>
  </si>
  <si>
    <t>23Na</t>
  </si>
  <si>
    <t>24Mg</t>
  </si>
  <si>
    <t>27Al</t>
  </si>
  <si>
    <t>31P</t>
  </si>
  <si>
    <t>39K</t>
  </si>
  <si>
    <t>44Ca</t>
  </si>
  <si>
    <t>48Ti</t>
  </si>
  <si>
    <t>51V</t>
  </si>
  <si>
    <t>52Cr</t>
  </si>
  <si>
    <t>55Mn</t>
  </si>
  <si>
    <t>56Fe</t>
  </si>
  <si>
    <t>59Co</t>
  </si>
  <si>
    <t>60Ni</t>
  </si>
  <si>
    <t>65Cu</t>
  </si>
  <si>
    <t>68Zn</t>
  </si>
  <si>
    <t>69Ga</t>
  </si>
  <si>
    <t>72Ge-CCT</t>
  </si>
  <si>
    <t>72Ge</t>
  </si>
  <si>
    <t>75As</t>
  </si>
  <si>
    <t>82Se</t>
  </si>
  <si>
    <t>85Rb</t>
  </si>
  <si>
    <t>88Sr</t>
  </si>
  <si>
    <t>93Nb</t>
  </si>
  <si>
    <t>95Mo</t>
  </si>
  <si>
    <t>101Ru</t>
  </si>
  <si>
    <t>103Rh</t>
  </si>
  <si>
    <t>104Pd</t>
  </si>
  <si>
    <t>107Ag</t>
  </si>
  <si>
    <t>111Cd</t>
  </si>
  <si>
    <t>115In-NH3</t>
  </si>
  <si>
    <t>115In</t>
  </si>
  <si>
    <t>118Sn</t>
  </si>
  <si>
    <t>123Sb</t>
  </si>
  <si>
    <t>125Te</t>
  </si>
  <si>
    <t>133Cs</t>
  </si>
  <si>
    <t>138Ba</t>
  </si>
  <si>
    <t>178Hf</t>
  </si>
  <si>
    <t>182W</t>
  </si>
  <si>
    <t>185Re</t>
  </si>
  <si>
    <t>187Re</t>
  </si>
  <si>
    <t>193Ir</t>
  </si>
  <si>
    <t>195Pt</t>
  </si>
  <si>
    <t>197Au</t>
  </si>
  <si>
    <t>205Tl</t>
  </si>
  <si>
    <t>208Pb</t>
  </si>
  <si>
    <t>209Bi-NH3</t>
  </si>
  <si>
    <t>209Bi</t>
  </si>
  <si>
    <t>238U</t>
  </si>
  <si>
    <t>Blank</t>
  </si>
  <si>
    <t>blank</t>
  </si>
  <si>
    <t>LDP-C1 (Oct2015)</t>
  </si>
  <si>
    <t>UMP-C1</t>
  </si>
  <si>
    <t>MCN-C1</t>
  </si>
  <si>
    <t>MCS-C1</t>
  </si>
  <si>
    <t>SME-C1</t>
  </si>
  <si>
    <t>PWP-C1</t>
  </si>
  <si>
    <t>SMW-C1</t>
  </si>
  <si>
    <t>SNE-C1</t>
  </si>
  <si>
    <t>SNW-C1</t>
  </si>
  <si>
    <t>WTM-C1</t>
  </si>
  <si>
    <t>Peach Leaf QC</t>
  </si>
  <si>
    <t>1:40 QC</t>
  </si>
  <si>
    <t>rinse</t>
  </si>
  <si>
    <t>B</t>
  </si>
  <si>
    <t>Na</t>
  </si>
  <si>
    <t>Mg</t>
  </si>
  <si>
    <t>Al</t>
  </si>
  <si>
    <t>P</t>
  </si>
  <si>
    <t>S</t>
  </si>
  <si>
    <t>K</t>
  </si>
  <si>
    <t>Ca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</si>
  <si>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</si>
  <si>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</si>
  <si>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</si>
  <si>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</si>
  <si>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</si>
  <si>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</si>
  <si>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</si>
  <si>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</si>
  <si>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</si>
  <si>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ppb</t>
  </si>
  <si>
    <t>Ga</t>
  </si>
  <si>
    <t>As</t>
  </si>
  <si>
    <t>Se</t>
  </si>
  <si>
    <t>Rb</t>
  </si>
  <si>
    <t>Sr</t>
  </si>
  <si>
    <t>Nb</t>
  </si>
  <si>
    <t>Mo</t>
  </si>
  <si>
    <t>Ru</t>
  </si>
  <si>
    <t>Rh</t>
  </si>
  <si>
    <t>Pd</t>
  </si>
  <si>
    <t>Ag</t>
  </si>
  <si>
    <t>Cd</t>
  </si>
  <si>
    <t>Sn</t>
  </si>
  <si>
    <t>Sb</t>
  </si>
  <si>
    <t>Te</t>
  </si>
  <si>
    <t>Cs</t>
  </si>
  <si>
    <t>Ba</t>
  </si>
  <si>
    <t>Ce</t>
  </si>
  <si>
    <t>Hf</t>
  </si>
  <si>
    <t>W</t>
  </si>
  <si>
    <t>Re</t>
  </si>
  <si>
    <t>Ir</t>
  </si>
  <si>
    <t>Pt</t>
  </si>
  <si>
    <t>Au</t>
  </si>
  <si>
    <t>Tl</t>
  </si>
  <si>
    <t>Pb</t>
  </si>
  <si>
    <t>U</t>
  </si>
  <si>
    <t>1:40</t>
  </si>
  <si>
    <t>1:20</t>
  </si>
  <si>
    <t>1:10</t>
  </si>
  <si>
    <t>1:1</t>
  </si>
  <si>
    <t>Orig Conc.</t>
  </si>
  <si>
    <t>1:100</t>
  </si>
  <si>
    <t>1:200</t>
  </si>
  <si>
    <t>1:1000</t>
  </si>
  <si>
    <t>%</t>
  </si>
  <si>
    <t xml:space="preserve">SRR-C1 </t>
  </si>
  <si>
    <t xml:space="preserve">MVP-C1 </t>
  </si>
  <si>
    <t xml:space="preserve">DBG-C1 </t>
  </si>
  <si>
    <t xml:space="preserve">EMW-C1 </t>
  </si>
  <si>
    <t xml:space="preserve">EME-C1 </t>
  </si>
  <si>
    <t>Std. 1</t>
  </si>
  <si>
    <t>Std. 2</t>
  </si>
  <si>
    <t>Std. 3</t>
  </si>
  <si>
    <t>Std. 4</t>
  </si>
  <si>
    <t>Std. 5</t>
  </si>
  <si>
    <t>Std. 6</t>
  </si>
  <si>
    <t>Std. 7</t>
  </si>
  <si>
    <t>QC</t>
  </si>
  <si>
    <t>Si</t>
  </si>
  <si>
    <t>Dy</t>
  </si>
  <si>
    <t>Er</t>
  </si>
  <si>
    <t>Eu</t>
  </si>
  <si>
    <t>Gd</t>
  </si>
  <si>
    <t>Ho</t>
  </si>
  <si>
    <t>La</t>
  </si>
  <si>
    <t>Lu</t>
  </si>
  <si>
    <t>Nd</t>
  </si>
  <si>
    <t>Pr</t>
  </si>
  <si>
    <t>Sc</t>
  </si>
  <si>
    <t>Sm</t>
  </si>
  <si>
    <t>Tb</t>
  </si>
  <si>
    <t>Th</t>
  </si>
  <si>
    <t>Tm</t>
  </si>
  <si>
    <t>Y</t>
  </si>
  <si>
    <t>Yb</t>
  </si>
  <si>
    <t>Zr</t>
  </si>
  <si>
    <t xml:space="preserve"> 7.365</t>
  </si>
  <si>
    <t xml:space="preserve"> 14.43</t>
  </si>
  <si>
    <t xml:space="preserve"> 81.70</t>
  </si>
  <si>
    <t xml:space="preserve"> 742.4</t>
  </si>
  <si>
    <t xml:space="preserve"> 6916.</t>
  </si>
  <si>
    <t xml:space="preserve"> 10.23</t>
  </si>
  <si>
    <t xml:space="preserve"> 11.43</t>
  </si>
  <si>
    <t xml:space="preserve"> 16.68</t>
  </si>
  <si>
    <t xml:space="preserve"> 3.663</t>
  </si>
  <si>
    <t xml:space="preserve"> 8.579</t>
  </si>
  <si>
    <t xml:space="preserve"> 9.988</t>
  </si>
  <si>
    <t xml:space="preserve"> 4.173</t>
  </si>
  <si>
    <t xml:space="preserve"> 11.07</t>
  </si>
  <si>
    <t xml:space="preserve"> 4.910</t>
  </si>
  <si>
    <t xml:space="preserve"> 3.784</t>
  </si>
  <si>
    <t xml:space="preserve"> 6.448</t>
  </si>
  <si>
    <t xml:space="preserve"> 10.94</t>
  </si>
  <si>
    <t xml:space="preserve"> 14.85</t>
  </si>
  <si>
    <t xml:space="preserve"> 7.323</t>
  </si>
  <si>
    <t xml:space="preserve"> 6.570</t>
  </si>
  <si>
    <t xml:space="preserve"> 3.718</t>
  </si>
  <si>
    <t xml:space="preserve"> 9.660</t>
  </si>
  <si>
    <t xml:space="preserve"> 4.290</t>
  </si>
  <si>
    <t>F 11.07</t>
  </si>
  <si>
    <t>0.1ppm</t>
  </si>
  <si>
    <t>1.0ppm</t>
  </si>
  <si>
    <t>10ppm</t>
  </si>
  <si>
    <t>100ppm</t>
  </si>
  <si>
    <t>10ppm QC</t>
  </si>
  <si>
    <t>Sample-1</t>
  </si>
  <si>
    <t>Sample-2</t>
  </si>
  <si>
    <t>Sample-3</t>
  </si>
  <si>
    <t>Sample-4</t>
  </si>
  <si>
    <t>Sample-5</t>
  </si>
  <si>
    <t>Sample-6</t>
  </si>
  <si>
    <t>Sample-7</t>
  </si>
  <si>
    <t>Sample-8</t>
  </si>
  <si>
    <t>Sample-9</t>
  </si>
  <si>
    <t>Sample-10</t>
  </si>
  <si>
    <t>Sample-11</t>
  </si>
  <si>
    <t>Sample-12</t>
  </si>
  <si>
    <t>Sample-13</t>
  </si>
  <si>
    <t>Sample-14</t>
  </si>
  <si>
    <t>Sample-15</t>
  </si>
  <si>
    <t>Sample-16</t>
  </si>
  <si>
    <t>S_182.0</t>
  </si>
  <si>
    <t>cps</t>
  </si>
  <si>
    <t>ppm</t>
  </si>
  <si>
    <t>October 2015</t>
  </si>
  <si>
    <t xml:space="preserve">LDP-C1 </t>
  </si>
  <si>
    <t>mg/kg</t>
  </si>
  <si>
    <t>NIST Peach Leaf</t>
  </si>
  <si>
    <t>Wt. Percent</t>
  </si>
  <si>
    <t>ug/g</t>
  </si>
  <si>
    <t xml:space="preserve"> </t>
  </si>
  <si>
    <t>Peach Leaf Certified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</si>
</sst>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.000"/>
    <numFmt numFmtId="167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20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5" borderId="6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165" fontId="4" fillId="0" borderId="3" xfId="0" applyNumberFormat="1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0" fontId="3" fillId="8" borderId="7" xfId="0" applyFont="1" applyFill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3" fillId="8" borderId="8" xfId="0" applyFont="1" applyFill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9" borderId="10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165" fontId="0" fillId="2" borderId="0" xfId="0" applyNumberFormat="1" applyFill="1"/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Border="1"/>
    <xf numFmtId="165" fontId="0" fillId="0" borderId="0" xfId="0" applyNumberFormat="1" applyBorder="1"/>
    <xf numFmtId="0" fontId="3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 wrapText="1"/>
    </xf>
    <xf numFmtId="0" fontId="3" fillId="10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20" fontId="2" fillId="0" borderId="0" xfId="0" applyNumberFormat="1" applyFont="1" applyBorder="1" applyAlignment="1">
      <alignment horizontal="center"/>
    </xf>
    <xf numFmtId="49" fontId="2" fillId="0" borderId="0" xfId="0" applyNumberFormat="1" applyFont="1" applyBorder="1" applyAlignment="1">
      <alignment horizontal="center" vertical="center" wrapText="1"/>
    </xf>
    <xf numFmtId="165" fontId="4" fillId="0" borderId="0" xfId="0" applyNumberFormat="1" applyFont="1" applyBorder="1" applyAlignment="1">
      <alignment horizontal="center" vertical="center" wrapText="1"/>
    </xf>
    <xf numFmtId="165" fontId="4" fillId="0" borderId="0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0" borderId="9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 wrapText="1"/>
    </xf>
    <xf numFmtId="167" fontId="8" fillId="0" borderId="0" xfId="0" applyNumberFormat="1" applyFont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2" fontId="8" fillId="3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38"/>
  <sheetViews>
    <sheetView tabSelected="1" workbookViewId="0">
      <pane ySplit="1" topLeftCell="A15" activePane="bottomLeft" state="frozen"/>
      <selection pane="bottomLeft" activeCell="B33" sqref="B33"/>
    </sheetView>
  </sheetViews>
  <sheetFormatPr defaultRowHeight="18.75" x14ac:dyDescent="0.3"/>
  <cols>
    <col min="1" max="1" width="21.42578125" style="76" customWidth="1"/>
    <col min="2" max="3" width="9.28515625" style="76" bestFit="1" customWidth="1"/>
    <col min="4" max="4" width="9.5703125" style="76" bestFit="1" customWidth="1"/>
    <col min="5" max="5" width="9.28515625" style="76" bestFit="1" customWidth="1"/>
    <col min="6" max="6" width="9.5703125" style="76" bestFit="1" customWidth="1"/>
    <col min="7" max="8" width="10.7109375" style="76" bestFit="1" customWidth="1"/>
    <col min="9" max="12" width="9.28515625" style="76" bestFit="1" customWidth="1"/>
    <col min="13" max="13" width="9.5703125" style="76" bestFit="1" customWidth="1"/>
    <col min="14" max="50" width="9.28515625" style="76" bestFit="1" customWidth="1"/>
    <col min="51" max="16384" width="9.140625" style="76"/>
  </cols>
  <sheetData>
    <row r="1" spans="1:53" s="74" customFormat="1" ht="16.5" thickBot="1" x14ac:dyDescent="0.3">
      <c r="A1" s="74" t="s">
        <v>113</v>
      </c>
      <c r="B1" s="74" t="s">
        <v>0</v>
      </c>
      <c r="C1" s="74" t="s">
        <v>1</v>
      </c>
      <c r="D1" s="74" t="s">
        <v>2</v>
      </c>
      <c r="E1" s="74" t="s">
        <v>3</v>
      </c>
      <c r="F1" s="74" t="s">
        <v>4</v>
      </c>
      <c r="G1" s="74" t="s">
        <v>5</v>
      </c>
      <c r="H1" s="74" t="s">
        <v>6</v>
      </c>
      <c r="I1" s="74" t="s">
        <v>7</v>
      </c>
      <c r="J1" s="74" t="s">
        <v>8</v>
      </c>
      <c r="K1" s="74" t="s">
        <v>9</v>
      </c>
      <c r="L1" s="74" t="s">
        <v>10</v>
      </c>
      <c r="M1" s="74" t="s">
        <v>11</v>
      </c>
      <c r="N1" s="74" t="s">
        <v>12</v>
      </c>
      <c r="O1" s="74" t="s">
        <v>13</v>
      </c>
      <c r="P1" s="74" t="s">
        <v>14</v>
      </c>
      <c r="Q1" s="74" t="s">
        <v>15</v>
      </c>
      <c r="R1" s="74" t="s">
        <v>16</v>
      </c>
      <c r="S1" s="74" t="s">
        <v>17</v>
      </c>
      <c r="T1" s="74" t="s">
        <v>18</v>
      </c>
      <c r="U1" s="74" t="s">
        <v>19</v>
      </c>
      <c r="V1" s="74" t="s">
        <v>20</v>
      </c>
      <c r="W1" s="74" t="s">
        <v>21</v>
      </c>
      <c r="X1" s="74" t="s">
        <v>22</v>
      </c>
      <c r="Y1" s="74" t="s">
        <v>23</v>
      </c>
      <c r="Z1" s="74" t="s">
        <v>24</v>
      </c>
      <c r="AA1" s="74" t="s">
        <v>25</v>
      </c>
      <c r="AB1" s="74" t="s">
        <v>26</v>
      </c>
      <c r="AC1" s="74" t="s">
        <v>27</v>
      </c>
      <c r="AD1" s="74" t="s">
        <v>28</v>
      </c>
      <c r="AE1" s="74" t="s">
        <v>29</v>
      </c>
      <c r="AF1" s="74" t="s">
        <v>30</v>
      </c>
      <c r="AG1" s="74" t="s">
        <v>31</v>
      </c>
      <c r="AH1" s="74" t="s">
        <v>32</v>
      </c>
      <c r="AI1" s="74" t="s">
        <v>33</v>
      </c>
      <c r="AJ1" s="74" t="s">
        <v>34</v>
      </c>
      <c r="AK1" s="74" t="s">
        <v>35</v>
      </c>
      <c r="AL1" s="74" t="s">
        <v>36</v>
      </c>
      <c r="AM1" s="74" t="s">
        <v>37</v>
      </c>
      <c r="AN1" s="74" t="s">
        <v>38</v>
      </c>
      <c r="AO1" s="74" t="s">
        <v>39</v>
      </c>
      <c r="AP1" s="74" t="s">
        <v>40</v>
      </c>
      <c r="AQ1" s="74" t="s">
        <v>41</v>
      </c>
      <c r="AR1" s="74" t="s">
        <v>42</v>
      </c>
      <c r="AS1" s="74" t="s">
        <v>43</v>
      </c>
      <c r="AT1" s="74" t="s">
        <v>44</v>
      </c>
      <c r="AU1" s="74" t="s">
        <v>45</v>
      </c>
      <c r="AV1" s="74" t="s">
        <v>46</v>
      </c>
      <c r="AW1" s="74" t="s">
        <v>47</v>
      </c>
      <c r="AX1" s="74" t="s">
        <v>48</v>
      </c>
      <c r="BA1" s="74" t="s">
        <v>194</v>
      </c>
    </row>
    <row r="2" spans="1:53" s="73" customFormat="1" ht="15.75" x14ac:dyDescent="0.25">
      <c r="B2" s="73" t="s">
        <v>81</v>
      </c>
      <c r="C2" s="73" t="s">
        <v>81</v>
      </c>
      <c r="D2" s="73" t="s">
        <v>81</v>
      </c>
      <c r="E2" s="73" t="s">
        <v>81</v>
      </c>
      <c r="F2" s="73" t="s">
        <v>81</v>
      </c>
      <c r="G2" s="73" t="s">
        <v>81</v>
      </c>
      <c r="H2" s="73" t="s">
        <v>81</v>
      </c>
      <c r="I2" s="73" t="s">
        <v>81</v>
      </c>
      <c r="J2" s="73" t="s">
        <v>81</v>
      </c>
      <c r="K2" s="73" t="s">
        <v>81</v>
      </c>
      <c r="L2" s="73" t="s">
        <v>81</v>
      </c>
      <c r="M2" s="73" t="s">
        <v>81</v>
      </c>
      <c r="N2" s="73" t="s">
        <v>81</v>
      </c>
      <c r="O2" s="73" t="s">
        <v>81</v>
      </c>
      <c r="P2" s="73" t="s">
        <v>81</v>
      </c>
      <c r="Q2" s="73" t="s">
        <v>81</v>
      </c>
      <c r="R2" s="73" t="s">
        <v>81</v>
      </c>
      <c r="S2" s="80" t="s">
        <v>117</v>
      </c>
      <c r="T2" s="80" t="s">
        <v>117</v>
      </c>
      <c r="U2" s="73" t="s">
        <v>81</v>
      </c>
      <c r="V2" s="73" t="s">
        <v>81</v>
      </c>
      <c r="W2" s="73" t="s">
        <v>81</v>
      </c>
      <c r="X2" s="73" t="s">
        <v>81</v>
      </c>
      <c r="Y2" s="73" t="s">
        <v>81</v>
      </c>
      <c r="Z2" s="73" t="s">
        <v>81</v>
      </c>
      <c r="AA2" s="73" t="s">
        <v>81</v>
      </c>
      <c r="AB2" s="73" t="s">
        <v>81</v>
      </c>
      <c r="AC2" s="73" t="s">
        <v>81</v>
      </c>
      <c r="AD2" s="73" t="s">
        <v>81</v>
      </c>
      <c r="AE2" s="73" t="s">
        <v>81</v>
      </c>
      <c r="AF2" s="80" t="s">
        <v>117</v>
      </c>
      <c r="AG2" s="80" t="s">
        <v>117</v>
      </c>
      <c r="AH2" s="73" t="s">
        <v>81</v>
      </c>
      <c r="AI2" s="73" t="s">
        <v>81</v>
      </c>
      <c r="AJ2" s="73" t="s">
        <v>81</v>
      </c>
      <c r="AK2" s="73" t="s">
        <v>81</v>
      </c>
      <c r="AL2" s="73" t="s">
        <v>81</v>
      </c>
      <c r="AM2" s="73" t="s">
        <v>81</v>
      </c>
      <c r="AN2" s="73" t="s">
        <v>81</v>
      </c>
      <c r="AO2" s="73" t="s">
        <v>81</v>
      </c>
      <c r="AP2" s="73" t="s">
        <v>81</v>
      </c>
      <c r="AQ2" s="73" t="s">
        <v>81</v>
      </c>
      <c r="AR2" s="73" t="s">
        <v>81</v>
      </c>
      <c r="AS2" s="73" t="s">
        <v>81</v>
      </c>
      <c r="AT2" s="73" t="s">
        <v>81</v>
      </c>
      <c r="AU2" s="73" t="s">
        <v>81</v>
      </c>
      <c r="AV2" s="80" t="s">
        <v>117</v>
      </c>
      <c r="AW2" s="80" t="s">
        <v>117</v>
      </c>
      <c r="AX2" s="73" t="s">
        <v>81</v>
      </c>
      <c r="BA2" s="73" t="s">
        <v>195</v>
      </c>
    </row>
    <row r="3" spans="1:53" s="75" customFormat="1" ht="15.75" x14ac:dyDescent="0.25">
      <c r="A3" s="75" t="s">
        <v>49</v>
      </c>
      <c r="B3" s="75">
        <v>0.32900000000000001</v>
      </c>
      <c r="C3" s="75">
        <v>-0.189</v>
      </c>
      <c r="D3" s="75">
        <v>-1.9E-2</v>
      </c>
      <c r="E3" s="75">
        <v>-57.11</v>
      </c>
      <c r="F3" s="75">
        <v>-11.63</v>
      </c>
      <c r="G3" s="75">
        <v>-4.157</v>
      </c>
      <c r="H3" s="75">
        <v>-26.86</v>
      </c>
      <c r="I3" s="75">
        <v>-2E-3</v>
      </c>
      <c r="J3" s="75">
        <v>2E-3</v>
      </c>
      <c r="K3" s="75">
        <v>-9.7000000000000003E-2</v>
      </c>
      <c r="L3" s="75">
        <v>-1E-3</v>
      </c>
      <c r="M3" s="75">
        <v>1.7000000000000001E-2</v>
      </c>
      <c r="N3" s="75">
        <v>0</v>
      </c>
      <c r="O3" s="75">
        <v>-0.77800000000000002</v>
      </c>
      <c r="P3" s="75">
        <v>0.02</v>
      </c>
      <c r="Q3" s="75">
        <v>-0.60699999999999998</v>
      </c>
      <c r="R3" s="75">
        <v>-3.6999999999999998E-2</v>
      </c>
      <c r="S3" s="81">
        <v>1</v>
      </c>
      <c r="T3" s="81">
        <v>1</v>
      </c>
      <c r="U3" s="75">
        <v>0.05</v>
      </c>
      <c r="V3" s="75">
        <v>-6.6000000000000003E-2</v>
      </c>
      <c r="W3" s="75">
        <v>-1E-3</v>
      </c>
      <c r="X3" s="75">
        <v>0</v>
      </c>
      <c r="Y3" s="75">
        <v>0</v>
      </c>
      <c r="Z3" s="75">
        <v>7.0000000000000001E-3</v>
      </c>
      <c r="AA3" s="75">
        <v>0</v>
      </c>
      <c r="AB3" s="75">
        <v>0</v>
      </c>
      <c r="AC3" s="75">
        <v>0</v>
      </c>
      <c r="AD3" s="75">
        <v>1E-3</v>
      </c>
      <c r="AE3" s="75">
        <v>-1E-3</v>
      </c>
      <c r="AF3" s="81">
        <v>1</v>
      </c>
      <c r="AG3" s="81">
        <v>1</v>
      </c>
      <c r="AH3" s="75">
        <v>-3.2000000000000001E-2</v>
      </c>
      <c r="AI3" s="75">
        <v>-8.9999999999999993E-3</v>
      </c>
      <c r="AJ3" s="75">
        <v>0</v>
      </c>
      <c r="AK3" s="75">
        <v>0</v>
      </c>
      <c r="AL3" s="75">
        <v>-0.66</v>
      </c>
      <c r="AM3" s="75">
        <v>0</v>
      </c>
      <c r="AN3" s="75">
        <v>0</v>
      </c>
      <c r="AO3" s="75">
        <v>0</v>
      </c>
      <c r="AP3" s="75">
        <v>0</v>
      </c>
      <c r="AQ3" s="75">
        <v>0</v>
      </c>
      <c r="AR3" s="75">
        <v>0</v>
      </c>
      <c r="AS3" s="75">
        <v>-4.0000000000000001E-3</v>
      </c>
      <c r="AT3" s="75">
        <v>0</v>
      </c>
      <c r="AU3" s="75">
        <v>1E-3</v>
      </c>
      <c r="AV3" s="81">
        <v>1</v>
      </c>
      <c r="AW3" s="81">
        <v>1</v>
      </c>
      <c r="AX3" s="75">
        <v>0</v>
      </c>
      <c r="AZ3" s="75" t="s">
        <v>49</v>
      </c>
      <c r="BA3" s="75" t="s">
        <v>149</v>
      </c>
    </row>
    <row r="4" spans="1:53" s="75" customFormat="1" ht="15.75" x14ac:dyDescent="0.25">
      <c r="A4" s="75" t="s">
        <v>49</v>
      </c>
      <c r="B4" s="75">
        <v>0.35899999999999999</v>
      </c>
      <c r="C4" s="75">
        <v>0</v>
      </c>
      <c r="D4" s="75">
        <v>0</v>
      </c>
      <c r="E4" s="75">
        <v>-56.92</v>
      </c>
      <c r="F4" s="75">
        <v>-12.68</v>
      </c>
      <c r="G4" s="75">
        <v>-3.5550000000000002</v>
      </c>
      <c r="H4" s="75">
        <v>-26.82</v>
      </c>
      <c r="I4" s="75">
        <v>0</v>
      </c>
      <c r="J4" s="75">
        <v>0</v>
      </c>
      <c r="K4" s="75">
        <v>-0.104</v>
      </c>
      <c r="L4" s="75">
        <v>0</v>
      </c>
      <c r="M4" s="75">
        <v>0</v>
      </c>
      <c r="N4" s="75">
        <v>0</v>
      </c>
      <c r="O4" s="75">
        <v>-0.78200000000000003</v>
      </c>
      <c r="P4" s="75">
        <v>2.9000000000000001E-2</v>
      </c>
      <c r="Q4" s="75">
        <v>-0.60799999999999998</v>
      </c>
      <c r="R4" s="75">
        <v>-3.6999999999999998E-2</v>
      </c>
      <c r="S4" s="81">
        <v>1</v>
      </c>
      <c r="T4" s="81">
        <v>1</v>
      </c>
      <c r="U4" s="75">
        <v>2.3E-2</v>
      </c>
      <c r="V4" s="75">
        <v>0</v>
      </c>
      <c r="W4" s="75">
        <v>0</v>
      </c>
      <c r="X4" s="75">
        <v>0</v>
      </c>
      <c r="Y4" s="75">
        <v>0</v>
      </c>
      <c r="Z4" s="75">
        <v>0</v>
      </c>
      <c r="AA4" s="75">
        <v>0</v>
      </c>
      <c r="AB4" s="75">
        <v>0</v>
      </c>
      <c r="AC4" s="75">
        <v>0</v>
      </c>
      <c r="AD4" s="75">
        <v>0</v>
      </c>
      <c r="AE4" s="75">
        <v>0</v>
      </c>
      <c r="AF4" s="81">
        <v>1</v>
      </c>
      <c r="AG4" s="81">
        <v>1</v>
      </c>
      <c r="AH4" s="75">
        <v>-3.5000000000000003E-2</v>
      </c>
      <c r="AI4" s="75">
        <v>0</v>
      </c>
      <c r="AJ4" s="75">
        <v>0</v>
      </c>
      <c r="AK4" s="75">
        <v>0</v>
      </c>
      <c r="AL4" s="75">
        <v>-0.68200000000000005</v>
      </c>
      <c r="AM4" s="75">
        <v>0</v>
      </c>
      <c r="AN4" s="75">
        <v>0</v>
      </c>
      <c r="AO4" s="75">
        <v>0</v>
      </c>
      <c r="AP4" s="75">
        <v>0</v>
      </c>
      <c r="AQ4" s="75">
        <v>0</v>
      </c>
      <c r="AR4" s="75">
        <v>0</v>
      </c>
      <c r="AS4" s="75">
        <v>-3.0000000000000001E-3</v>
      </c>
      <c r="AT4" s="75">
        <v>0</v>
      </c>
      <c r="AU4" s="75">
        <v>0</v>
      </c>
      <c r="AV4" s="81">
        <v>1</v>
      </c>
      <c r="AW4" s="81">
        <v>1</v>
      </c>
      <c r="AX4" s="75">
        <v>0</v>
      </c>
      <c r="AZ4" s="75" t="s">
        <v>173</v>
      </c>
      <c r="BA4" s="75" t="s">
        <v>150</v>
      </c>
    </row>
    <row r="5" spans="1:53" s="75" customFormat="1" ht="15.75" x14ac:dyDescent="0.25">
      <c r="A5" s="75" t="s">
        <v>116</v>
      </c>
      <c r="B5" s="75">
        <v>3.0000000000000001E-3</v>
      </c>
      <c r="C5" s="75">
        <v>14.42</v>
      </c>
      <c r="D5" s="75">
        <v>15.4</v>
      </c>
      <c r="E5" s="75">
        <v>71.16</v>
      </c>
      <c r="F5" s="75">
        <v>5.625</v>
      </c>
      <c r="G5" s="75">
        <v>6.0289999999999999</v>
      </c>
      <c r="H5" s="75">
        <v>2.8759999999999999</v>
      </c>
      <c r="I5" s="75">
        <v>8.4689999999999994</v>
      </c>
      <c r="J5" s="75">
        <v>0.373</v>
      </c>
      <c r="K5" s="75">
        <v>0.104</v>
      </c>
      <c r="L5" s="75">
        <v>1.373</v>
      </c>
      <c r="M5" s="75">
        <v>16.62</v>
      </c>
      <c r="N5" s="75">
        <v>0.14899999999999999</v>
      </c>
      <c r="O5" s="75">
        <v>-0.28799999999999998</v>
      </c>
      <c r="P5" s="75">
        <v>6.7000000000000004E-2</v>
      </c>
      <c r="Q5" s="75">
        <v>-0.184</v>
      </c>
      <c r="R5" s="75">
        <v>5.2999999999999999E-2</v>
      </c>
      <c r="S5" s="81">
        <v>0.99051999999999996</v>
      </c>
      <c r="T5" s="81">
        <v>1.00651</v>
      </c>
      <c r="U5" s="75">
        <v>6.0999999999999999E-2</v>
      </c>
      <c r="V5" s="75">
        <v>6.3E-2</v>
      </c>
      <c r="W5" s="75">
        <v>0.32800000000000001</v>
      </c>
      <c r="X5" s="75">
        <v>0.158</v>
      </c>
      <c r="Y5" s="75">
        <v>5.2999999999999999E-2</v>
      </c>
      <c r="Z5" s="75">
        <v>0.13700000000000001</v>
      </c>
      <c r="AA5" s="75">
        <v>1.0999999999999999E-2</v>
      </c>
      <c r="AB5" s="75">
        <v>1.0999999999999999E-2</v>
      </c>
      <c r="AC5" s="75">
        <v>8.9999999999999993E-3</v>
      </c>
      <c r="AD5" s="75">
        <v>0.42899999999999999</v>
      </c>
      <c r="AE5" s="75">
        <v>0.13400000000000001</v>
      </c>
      <c r="AF5" s="81">
        <v>0.98895</v>
      </c>
      <c r="AG5" s="81">
        <v>1.00536</v>
      </c>
      <c r="AH5" s="75">
        <v>0.02</v>
      </c>
      <c r="AI5" s="75">
        <v>1.7999999999999999E-2</v>
      </c>
      <c r="AJ5" s="75">
        <v>1.0999999999999999E-2</v>
      </c>
      <c r="AK5" s="75">
        <v>6.9000000000000006E-2</v>
      </c>
      <c r="AL5" s="75">
        <v>0.51200000000000001</v>
      </c>
      <c r="AM5" s="75">
        <v>0.12</v>
      </c>
      <c r="AN5" s="75">
        <v>6.4000000000000001E-2</v>
      </c>
      <c r="AO5" s="75">
        <v>6.6000000000000003E-2</v>
      </c>
      <c r="AP5" s="75">
        <v>6.7000000000000004E-2</v>
      </c>
      <c r="AQ5" s="75">
        <v>0.01</v>
      </c>
      <c r="AR5" s="75">
        <v>0.01</v>
      </c>
      <c r="AS5" s="75">
        <v>1.0999999999999999E-2</v>
      </c>
      <c r="AT5" s="75">
        <v>0.51100000000000001</v>
      </c>
      <c r="AU5" s="75">
        <v>8.1000000000000003E-2</v>
      </c>
      <c r="AV5" s="81">
        <v>0.99326999999999999</v>
      </c>
      <c r="AW5" s="81">
        <v>0.99766999999999995</v>
      </c>
      <c r="AX5" s="75">
        <v>8.4000000000000005E-2</v>
      </c>
      <c r="AZ5" s="75" t="s">
        <v>174</v>
      </c>
      <c r="BA5" s="75" t="s">
        <v>151</v>
      </c>
    </row>
    <row r="6" spans="1:53" s="75" customFormat="1" ht="15.75" x14ac:dyDescent="0.25">
      <c r="A6" s="75" t="s">
        <v>115</v>
      </c>
      <c r="B6" s="75">
        <v>7.4999999999999997E-2</v>
      </c>
      <c r="C6" s="75">
        <v>43.49</v>
      </c>
      <c r="D6" s="75">
        <v>73.900000000000006</v>
      </c>
      <c r="E6" s="75">
        <v>138.80000000000001</v>
      </c>
      <c r="F6" s="75">
        <v>33.299999999999997</v>
      </c>
      <c r="G6" s="75">
        <v>67.25</v>
      </c>
      <c r="H6" s="75">
        <v>36.15</v>
      </c>
      <c r="I6" s="75">
        <v>36.799999999999997</v>
      </c>
      <c r="J6" s="75">
        <v>1.7869999999999999</v>
      </c>
      <c r="K6" s="75">
        <v>0.70299999999999996</v>
      </c>
      <c r="L6" s="75">
        <v>6.8360000000000003</v>
      </c>
      <c r="M6" s="75">
        <v>86.66</v>
      </c>
      <c r="N6" s="75">
        <v>0.72899999999999998</v>
      </c>
      <c r="O6" s="75">
        <v>0.40600000000000003</v>
      </c>
      <c r="P6" s="75">
        <v>0.63100000000000001</v>
      </c>
      <c r="Q6" s="75">
        <v>0.45100000000000001</v>
      </c>
      <c r="R6" s="75">
        <v>0.28000000000000003</v>
      </c>
      <c r="S6" s="81">
        <v>0.99589000000000005</v>
      </c>
      <c r="T6" s="81">
        <v>1.0018899999999999</v>
      </c>
      <c r="U6" s="75">
        <v>0.26900000000000002</v>
      </c>
      <c r="V6" s="75">
        <v>0.32900000000000001</v>
      </c>
      <c r="W6" s="75">
        <v>1.6719999999999999</v>
      </c>
      <c r="X6" s="75">
        <v>0.69199999999999995</v>
      </c>
      <c r="Y6" s="75">
        <v>0.26600000000000001</v>
      </c>
      <c r="Z6" s="75">
        <v>0.7</v>
      </c>
      <c r="AA6" s="75">
        <v>5.2999999999999999E-2</v>
      </c>
      <c r="AB6" s="75">
        <v>5.1999999999999998E-2</v>
      </c>
      <c r="AC6" s="75">
        <v>4.7E-2</v>
      </c>
      <c r="AD6" s="75">
        <v>2.3519999999999999</v>
      </c>
      <c r="AE6" s="75">
        <v>0.69499999999999995</v>
      </c>
      <c r="AF6" s="81">
        <v>0.99463000000000001</v>
      </c>
      <c r="AG6" s="81">
        <v>0.99438000000000004</v>
      </c>
      <c r="AH6" s="75">
        <v>5.8999999999999997E-2</v>
      </c>
      <c r="AI6" s="75">
        <v>5.3999999999999999E-2</v>
      </c>
      <c r="AJ6" s="75">
        <v>6.0999999999999999E-2</v>
      </c>
      <c r="AK6" s="75">
        <v>0.34300000000000003</v>
      </c>
      <c r="AL6" s="75">
        <v>3.2959999999999998</v>
      </c>
      <c r="AM6" s="75">
        <v>0.72199999999999998</v>
      </c>
      <c r="AN6" s="75">
        <v>0.32700000000000001</v>
      </c>
      <c r="AO6" s="75">
        <v>0.34599999999999997</v>
      </c>
      <c r="AP6" s="75">
        <v>0.34100000000000003</v>
      </c>
      <c r="AQ6" s="75">
        <v>0.05</v>
      </c>
      <c r="AR6" s="75">
        <v>5.1999999999999998E-2</v>
      </c>
      <c r="AS6" s="75">
        <v>7.6999999999999999E-2</v>
      </c>
      <c r="AT6" s="75">
        <v>2.5960000000000001</v>
      </c>
      <c r="AU6" s="75">
        <v>0.36</v>
      </c>
      <c r="AV6" s="81">
        <v>1.00007</v>
      </c>
      <c r="AW6" s="81">
        <v>0.98787999999999998</v>
      </c>
      <c r="AX6" s="75">
        <v>0.43099999999999999</v>
      </c>
      <c r="AZ6" s="75" t="s">
        <v>175</v>
      </c>
      <c r="BA6" s="75" t="s">
        <v>152</v>
      </c>
    </row>
    <row r="7" spans="1:53" s="75" customFormat="1" ht="15.75" x14ac:dyDescent="0.25">
      <c r="A7" s="75" t="s">
        <v>114</v>
      </c>
      <c r="B7" s="75">
        <v>0.21299999999999999</v>
      </c>
      <c r="C7" s="75">
        <v>59.58</v>
      </c>
      <c r="D7" s="75">
        <v>146.1</v>
      </c>
      <c r="E7" s="75">
        <v>197.9</v>
      </c>
      <c r="F7" s="75">
        <v>69.069999999999993</v>
      </c>
      <c r="G7" s="75">
        <v>135.19999999999999</v>
      </c>
      <c r="H7" s="75">
        <v>86.31</v>
      </c>
      <c r="I7" s="75">
        <v>71.2</v>
      </c>
      <c r="J7" s="75">
        <v>3.51</v>
      </c>
      <c r="K7" s="75">
        <v>1.411</v>
      </c>
      <c r="L7" s="75">
        <v>13.59</v>
      </c>
      <c r="M7" s="75">
        <v>173.5</v>
      </c>
      <c r="N7" s="75">
        <v>1.427</v>
      </c>
      <c r="O7" s="75">
        <v>1.1659999999999999</v>
      </c>
      <c r="P7" s="75">
        <v>1.3160000000000001</v>
      </c>
      <c r="Q7" s="75">
        <v>1.355</v>
      </c>
      <c r="R7" s="75">
        <v>0.55600000000000005</v>
      </c>
      <c r="S7" s="81">
        <v>0.98782000000000003</v>
      </c>
      <c r="T7" s="81">
        <v>0.99078999999999995</v>
      </c>
      <c r="U7" s="75">
        <v>0.55700000000000005</v>
      </c>
      <c r="V7" s="75">
        <v>0.71599999999999997</v>
      </c>
      <c r="W7" s="75">
        <v>3.3079999999999998</v>
      </c>
      <c r="X7" s="75">
        <v>1.35</v>
      </c>
      <c r="Y7" s="75">
        <v>0.52700000000000002</v>
      </c>
      <c r="Z7" s="75">
        <v>1.3779999999999999</v>
      </c>
      <c r="AA7" s="75">
        <v>0.10100000000000001</v>
      </c>
      <c r="AB7" s="75">
        <v>0.10299999999999999</v>
      </c>
      <c r="AC7" s="75">
        <v>8.8999999999999996E-2</v>
      </c>
      <c r="AD7" s="75">
        <v>4.7240000000000002</v>
      </c>
      <c r="AE7" s="75">
        <v>1.3620000000000001</v>
      </c>
      <c r="AF7" s="81">
        <v>0.98987999999999998</v>
      </c>
      <c r="AG7" s="81">
        <v>0.99041000000000001</v>
      </c>
      <c r="AH7" s="75">
        <v>0.104</v>
      </c>
      <c r="AI7" s="75">
        <v>0.106</v>
      </c>
      <c r="AJ7" s="75">
        <v>0.107</v>
      </c>
      <c r="AK7" s="75">
        <v>0.67300000000000004</v>
      </c>
      <c r="AL7" s="75">
        <v>6.6539999999999999</v>
      </c>
      <c r="AM7" s="75">
        <v>1.454</v>
      </c>
      <c r="AN7" s="75">
        <v>0.64700000000000002</v>
      </c>
      <c r="AO7" s="75">
        <v>0.67800000000000005</v>
      </c>
      <c r="AP7" s="75">
        <v>0.67700000000000005</v>
      </c>
      <c r="AQ7" s="75">
        <v>0.10199999999999999</v>
      </c>
      <c r="AR7" s="75">
        <v>0.104</v>
      </c>
      <c r="AS7" s="75">
        <v>0.153</v>
      </c>
      <c r="AT7" s="75">
        <v>5.18</v>
      </c>
      <c r="AU7" s="75">
        <v>0.69499999999999995</v>
      </c>
      <c r="AV7" s="81">
        <v>1.00596</v>
      </c>
      <c r="AW7" s="81">
        <v>0.99373</v>
      </c>
      <c r="AX7" s="75">
        <v>0.85099999999999998</v>
      </c>
      <c r="AZ7" s="75" t="s">
        <v>176</v>
      </c>
      <c r="BA7" s="75" t="s">
        <v>153</v>
      </c>
    </row>
    <row r="8" spans="1:53" s="75" customFormat="1" ht="15.75" x14ac:dyDescent="0.25">
      <c r="A8" s="75" t="s">
        <v>109</v>
      </c>
      <c r="B8" s="75">
        <v>0.55100000000000005</v>
      </c>
      <c r="C8" s="75">
        <v>181.1</v>
      </c>
      <c r="D8" s="75">
        <v>367.5</v>
      </c>
      <c r="E8" s="75">
        <v>281.60000000000002</v>
      </c>
      <c r="F8" s="75">
        <v>171.5</v>
      </c>
      <c r="G8" s="75">
        <v>331</v>
      </c>
      <c r="H8" s="75">
        <v>206.4</v>
      </c>
      <c r="I8" s="75">
        <v>175.8</v>
      </c>
      <c r="J8" s="75">
        <v>8.8339999999999996</v>
      </c>
      <c r="K8" s="75">
        <v>3.5470000000000002</v>
      </c>
      <c r="L8" s="75">
        <v>34.020000000000003</v>
      </c>
      <c r="M8" s="75">
        <v>436.9</v>
      </c>
      <c r="N8" s="75">
        <v>3.5670000000000002</v>
      </c>
      <c r="O8" s="75">
        <v>3.1970000000000001</v>
      </c>
      <c r="P8" s="75">
        <v>3.415</v>
      </c>
      <c r="Q8" s="75">
        <v>3.2970000000000002</v>
      </c>
      <c r="R8" s="75">
        <v>1.39</v>
      </c>
      <c r="S8" s="81">
        <v>0.97602</v>
      </c>
      <c r="T8" s="81">
        <v>0.97992999999999997</v>
      </c>
      <c r="U8" s="75">
        <v>1.6160000000000001</v>
      </c>
      <c r="V8" s="75">
        <v>1.5649999999999999</v>
      </c>
      <c r="W8" s="75">
        <v>8.3640000000000008</v>
      </c>
      <c r="X8" s="75">
        <v>3.3580000000000001</v>
      </c>
      <c r="Y8" s="75">
        <v>1.3420000000000001</v>
      </c>
      <c r="Z8" s="75">
        <v>3.399</v>
      </c>
      <c r="AA8" s="75">
        <v>0.26600000000000001</v>
      </c>
      <c r="AB8" s="75">
        <v>0.26800000000000002</v>
      </c>
      <c r="AC8" s="75">
        <v>0.251</v>
      </c>
      <c r="AD8" s="75">
        <v>12.45</v>
      </c>
      <c r="AE8" s="75">
        <v>3.4239999999999999</v>
      </c>
      <c r="AF8" s="81">
        <v>0.98070999999999997</v>
      </c>
      <c r="AG8" s="81">
        <v>0.98202</v>
      </c>
      <c r="AH8" s="75">
        <v>0.26400000000000001</v>
      </c>
      <c r="AI8" s="75">
        <v>0.253</v>
      </c>
      <c r="AJ8" s="75">
        <v>0.28599999999999998</v>
      </c>
      <c r="AK8" s="75">
        <v>1.673</v>
      </c>
      <c r="AL8" s="75">
        <v>16.37</v>
      </c>
      <c r="AM8" s="75">
        <v>3.6320000000000001</v>
      </c>
      <c r="AN8" s="75">
        <v>1.627</v>
      </c>
      <c r="AO8" s="75">
        <v>1.6879999999999999</v>
      </c>
      <c r="AP8" s="75">
        <v>1.7190000000000001</v>
      </c>
      <c r="AQ8" s="75">
        <v>0.251</v>
      </c>
      <c r="AR8" s="75">
        <v>0.25</v>
      </c>
      <c r="AS8" s="75">
        <v>0.29099999999999998</v>
      </c>
      <c r="AT8" s="75">
        <v>13.04</v>
      </c>
      <c r="AU8" s="75">
        <v>1.71</v>
      </c>
      <c r="AV8" s="81">
        <v>0.99004000000000003</v>
      </c>
      <c r="AW8" s="81">
        <v>0.99331999999999998</v>
      </c>
      <c r="AX8" s="75">
        <v>2.1120000000000001</v>
      </c>
      <c r="AZ8" s="1"/>
      <c r="BA8" s="4" t="s">
        <v>196</v>
      </c>
    </row>
    <row r="9" spans="1:53" s="75" customFormat="1" ht="15.75" x14ac:dyDescent="0.25">
      <c r="A9" s="75" t="s">
        <v>110</v>
      </c>
      <c r="B9" s="75">
        <v>1.08</v>
      </c>
      <c r="C9" s="75">
        <v>349.2</v>
      </c>
      <c r="D9" s="75">
        <v>720</v>
      </c>
      <c r="E9" s="75">
        <v>500.8</v>
      </c>
      <c r="F9" s="75">
        <v>339.2</v>
      </c>
      <c r="G9" s="75">
        <v>663.3</v>
      </c>
      <c r="H9" s="75">
        <v>416.4</v>
      </c>
      <c r="I9" s="75">
        <v>345.8</v>
      </c>
      <c r="J9" s="75">
        <v>17.27</v>
      </c>
      <c r="K9" s="75">
        <v>6.9939999999999998</v>
      </c>
      <c r="L9" s="75">
        <v>66.64</v>
      </c>
      <c r="M9" s="75">
        <v>815.4</v>
      </c>
      <c r="N9" s="75">
        <v>7.0519999999999996</v>
      </c>
      <c r="O9" s="75">
        <v>6.7939999999999996</v>
      </c>
      <c r="P9" s="75">
        <v>6.742</v>
      </c>
      <c r="Q9" s="75">
        <v>7.1980000000000004</v>
      </c>
      <c r="R9" s="75">
        <v>2.71</v>
      </c>
      <c r="S9" s="81">
        <v>0.96377000000000002</v>
      </c>
      <c r="T9" s="81">
        <v>0.95728999999999997</v>
      </c>
      <c r="U9" s="75">
        <v>3.2320000000000002</v>
      </c>
      <c r="V9" s="75">
        <v>3.4670000000000001</v>
      </c>
      <c r="W9" s="75">
        <v>16.48</v>
      </c>
      <c r="X9" s="75">
        <v>6.6059999999999999</v>
      </c>
      <c r="Y9" s="75">
        <v>2.6379999999999999</v>
      </c>
      <c r="Z9" s="75">
        <v>6.7229999999999999</v>
      </c>
      <c r="AA9" s="75">
        <v>0.504</v>
      </c>
      <c r="AB9" s="75">
        <v>0.52300000000000002</v>
      </c>
      <c r="AC9" s="75">
        <v>0.49</v>
      </c>
      <c r="AD9" s="75">
        <v>24.88</v>
      </c>
      <c r="AE9" s="75">
        <v>6.8330000000000002</v>
      </c>
      <c r="AF9" s="81">
        <v>0.96786000000000005</v>
      </c>
      <c r="AG9" s="81">
        <v>0.96701000000000004</v>
      </c>
      <c r="AH9" s="75">
        <v>0.51300000000000001</v>
      </c>
      <c r="AI9" s="75">
        <v>0.505</v>
      </c>
      <c r="AJ9" s="75">
        <v>0.52500000000000002</v>
      </c>
      <c r="AK9" s="75">
        <v>3.2770000000000001</v>
      </c>
      <c r="AL9" s="75">
        <v>32.25</v>
      </c>
      <c r="AM9" s="75">
        <v>7.16</v>
      </c>
      <c r="AN9" s="75">
        <v>3.2330000000000001</v>
      </c>
      <c r="AO9" s="75">
        <v>3.347</v>
      </c>
      <c r="AP9" s="75">
        <v>3.375</v>
      </c>
      <c r="AQ9" s="75">
        <v>0.495</v>
      </c>
      <c r="AR9" s="75">
        <v>0.49399999999999999</v>
      </c>
      <c r="AS9" s="75">
        <v>0.53800000000000003</v>
      </c>
      <c r="AT9" s="75">
        <v>25.56</v>
      </c>
      <c r="AU9" s="75">
        <v>3.3460000000000001</v>
      </c>
      <c r="AV9" s="81">
        <v>0.98811000000000004</v>
      </c>
      <c r="AW9" s="81">
        <v>0.98824999999999996</v>
      </c>
      <c r="AX9" s="75">
        <v>4.1849999999999996</v>
      </c>
      <c r="AZ9" s="1" t="s">
        <v>177</v>
      </c>
      <c r="BA9" s="1" t="s">
        <v>154</v>
      </c>
    </row>
    <row r="10" spans="1:53" s="75" customFormat="1" ht="15.75" x14ac:dyDescent="0.25">
      <c r="A10" s="75" t="s">
        <v>111</v>
      </c>
      <c r="B10" s="75">
        <v>2.1150000000000002</v>
      </c>
      <c r="C10" s="75">
        <v>715.4</v>
      </c>
      <c r="D10" s="75">
        <v>1426</v>
      </c>
      <c r="E10" s="75">
        <v>1430</v>
      </c>
      <c r="F10" s="75">
        <v>682.3</v>
      </c>
      <c r="G10" s="75">
        <v>1435</v>
      </c>
      <c r="H10" s="75">
        <v>840</v>
      </c>
      <c r="I10" s="75">
        <v>684.9</v>
      </c>
      <c r="J10" s="75">
        <v>34.03</v>
      </c>
      <c r="K10" s="75">
        <v>14.17</v>
      </c>
      <c r="L10" s="75">
        <v>133</v>
      </c>
      <c r="M10" s="75">
        <v>1503</v>
      </c>
      <c r="N10" s="75">
        <v>13.85</v>
      </c>
      <c r="O10" s="75">
        <v>15.31</v>
      </c>
      <c r="P10" s="75">
        <v>13.34</v>
      </c>
      <c r="Q10" s="75">
        <v>14.38</v>
      </c>
      <c r="R10" s="75">
        <v>5.4619999999999997</v>
      </c>
      <c r="S10" s="81">
        <v>0.94174999999999998</v>
      </c>
      <c r="T10" s="81">
        <v>0.94018000000000002</v>
      </c>
      <c r="U10" s="75">
        <v>6.3570000000000002</v>
      </c>
      <c r="V10" s="75">
        <v>6.649</v>
      </c>
      <c r="W10" s="75">
        <v>32.68</v>
      </c>
      <c r="X10" s="75">
        <v>13.25</v>
      </c>
      <c r="Y10" s="75">
        <v>5.2220000000000004</v>
      </c>
      <c r="Z10" s="75">
        <v>13.41</v>
      </c>
      <c r="AA10" s="75">
        <v>1.034</v>
      </c>
      <c r="AB10" s="75">
        <v>1.038</v>
      </c>
      <c r="AC10" s="75">
        <v>1.002</v>
      </c>
      <c r="AD10" s="75">
        <v>49.73</v>
      </c>
      <c r="AE10" s="75">
        <v>13.55</v>
      </c>
      <c r="AF10" s="81">
        <v>0.95582999999999996</v>
      </c>
      <c r="AG10" s="81">
        <v>0.95108000000000004</v>
      </c>
      <c r="AH10" s="75">
        <v>0.99299999999999999</v>
      </c>
      <c r="AI10" s="75">
        <v>1.004</v>
      </c>
      <c r="AJ10" s="75">
        <v>1.0429999999999999</v>
      </c>
      <c r="AK10" s="75">
        <v>6.5279999999999996</v>
      </c>
      <c r="AL10" s="75">
        <v>65.03</v>
      </c>
      <c r="AM10" s="75">
        <v>14.43</v>
      </c>
      <c r="AN10" s="75">
        <v>6.476</v>
      </c>
      <c r="AO10" s="75">
        <v>6.702</v>
      </c>
      <c r="AP10" s="75">
        <v>6.7619999999999996</v>
      </c>
      <c r="AQ10" s="75">
        <v>1.0069999999999999</v>
      </c>
      <c r="AR10" s="75">
        <v>0.99399999999999999</v>
      </c>
      <c r="AS10" s="75">
        <v>0.92500000000000004</v>
      </c>
      <c r="AT10" s="75">
        <v>50.44</v>
      </c>
      <c r="AU10" s="75">
        <v>6.68</v>
      </c>
      <c r="AV10" s="81">
        <v>0.98614999999999997</v>
      </c>
      <c r="AW10" s="81">
        <v>0.97589999999999999</v>
      </c>
      <c r="AX10" s="75">
        <v>8.3819999999999997</v>
      </c>
    </row>
    <row r="11" spans="1:53" s="75" customFormat="1" ht="15.75" x14ac:dyDescent="0.25">
      <c r="A11" s="75" t="s">
        <v>112</v>
      </c>
      <c r="B11" s="75">
        <v>20.75</v>
      </c>
      <c r="C11" s="75">
        <v>6550</v>
      </c>
      <c r="D11" s="75">
        <v>13640</v>
      </c>
      <c r="E11" s="75">
        <v>8611</v>
      </c>
      <c r="F11" s="75">
        <v>6450</v>
      </c>
      <c r="G11" s="75">
        <v>12900</v>
      </c>
      <c r="H11" s="75">
        <v>8157</v>
      </c>
      <c r="I11" s="75">
        <v>6595</v>
      </c>
      <c r="J11" s="75">
        <v>326.10000000000002</v>
      </c>
      <c r="K11" s="75">
        <v>133</v>
      </c>
      <c r="L11" s="75">
        <v>1285</v>
      </c>
      <c r="M11" s="75">
        <v>14530</v>
      </c>
      <c r="N11" s="75">
        <v>131.1</v>
      </c>
      <c r="O11" s="75">
        <v>133.9</v>
      </c>
      <c r="P11" s="75">
        <v>125.7</v>
      </c>
      <c r="Q11" s="75">
        <v>134.9</v>
      </c>
      <c r="R11" s="75">
        <v>50.89</v>
      </c>
      <c r="S11" s="81">
        <v>0.90490000000000004</v>
      </c>
      <c r="T11" s="81">
        <v>0.90281999999999996</v>
      </c>
      <c r="U11" s="75">
        <v>62.89</v>
      </c>
      <c r="V11" s="75">
        <v>64.25</v>
      </c>
      <c r="W11" s="75">
        <v>321.89999999999998</v>
      </c>
      <c r="X11" s="75">
        <v>129.30000000000001</v>
      </c>
      <c r="Y11" s="75">
        <v>51.34</v>
      </c>
      <c r="Z11" s="75">
        <v>132.19999999999999</v>
      </c>
      <c r="AA11" s="75">
        <v>10.029999999999999</v>
      </c>
      <c r="AB11" s="75">
        <v>10.029999999999999</v>
      </c>
      <c r="AC11" s="75">
        <v>10.039999999999999</v>
      </c>
      <c r="AD11" s="75">
        <v>77.05</v>
      </c>
      <c r="AE11" s="75">
        <v>131.6</v>
      </c>
      <c r="AF11" s="81">
        <v>0.91998000000000002</v>
      </c>
      <c r="AG11" s="81">
        <v>0.90710999999999997</v>
      </c>
      <c r="AH11" s="75">
        <v>10.039999999999999</v>
      </c>
      <c r="AI11" s="75">
        <v>9.8620000000000001</v>
      </c>
      <c r="AJ11" s="75">
        <v>10.029999999999999</v>
      </c>
      <c r="AK11" s="75">
        <v>63.33</v>
      </c>
      <c r="AL11" s="75">
        <v>643.70000000000005</v>
      </c>
      <c r="AM11" s="75">
        <v>144.5</v>
      </c>
      <c r="AN11" s="75">
        <v>66.14</v>
      </c>
      <c r="AO11" s="75">
        <v>67.599999999999994</v>
      </c>
      <c r="AP11" s="75">
        <v>67.599999999999994</v>
      </c>
      <c r="AQ11" s="75">
        <v>10.039999999999999</v>
      </c>
      <c r="AR11" s="75">
        <v>10.039999999999999</v>
      </c>
      <c r="AS11" s="75">
        <v>17.809999999999999</v>
      </c>
      <c r="AT11" s="75">
        <v>513.4</v>
      </c>
      <c r="AU11" s="75">
        <v>66.47</v>
      </c>
      <c r="AV11" s="81">
        <v>0.94244000000000006</v>
      </c>
      <c r="AW11" s="81">
        <v>0.93203000000000003</v>
      </c>
      <c r="AX11" s="75">
        <v>86.54</v>
      </c>
    </row>
    <row r="12" spans="1:53" s="75" customFormat="1" ht="15.75" x14ac:dyDescent="0.25">
      <c r="A12" s="75" t="s">
        <v>50</v>
      </c>
      <c r="B12" s="75">
        <v>-0.48899999999999999</v>
      </c>
      <c r="C12" s="75">
        <v>-6.5940000000000003</v>
      </c>
      <c r="D12" s="75">
        <v>5.4329999999999998</v>
      </c>
      <c r="E12" s="75">
        <v>9.2189999999999994</v>
      </c>
      <c r="F12" s="75">
        <v>-14.09</v>
      </c>
      <c r="G12" s="75">
        <v>-19.2</v>
      </c>
      <c r="H12" s="75">
        <v>-27.8</v>
      </c>
      <c r="I12" s="75">
        <v>3.59</v>
      </c>
      <c r="J12" s="75">
        <v>0.13600000000000001</v>
      </c>
      <c r="K12" s="75">
        <v>-9.8000000000000004E-2</v>
      </c>
      <c r="L12" s="75">
        <v>0.49199999999999999</v>
      </c>
      <c r="M12" s="75">
        <v>3.762</v>
      </c>
      <c r="N12" s="75">
        <v>6.7000000000000004E-2</v>
      </c>
      <c r="O12" s="75">
        <v>-0.52400000000000002</v>
      </c>
      <c r="P12" s="75">
        <v>-0.24299999999999999</v>
      </c>
      <c r="Q12" s="75">
        <v>-0.26700000000000002</v>
      </c>
      <c r="R12" s="75">
        <v>-1.7000000000000001E-2</v>
      </c>
      <c r="S12" s="81">
        <v>0.90036000000000005</v>
      </c>
      <c r="T12" s="81">
        <v>0.92606999999999995</v>
      </c>
      <c r="U12" s="75">
        <v>-4.5999999999999999E-2</v>
      </c>
      <c r="V12" s="75">
        <v>-2.9000000000000001E-2</v>
      </c>
      <c r="W12" s="75">
        <v>0.10199999999999999</v>
      </c>
      <c r="X12" s="75">
        <v>5.7000000000000002E-2</v>
      </c>
      <c r="Y12" s="75">
        <v>1.7999999999999999E-2</v>
      </c>
      <c r="Z12" s="75">
        <v>0.17199999999999999</v>
      </c>
      <c r="AA12" s="75">
        <v>5.0000000000000001E-3</v>
      </c>
      <c r="AB12" s="75">
        <v>4.0000000000000001E-3</v>
      </c>
      <c r="AC12" s="75">
        <v>5.0000000000000001E-3</v>
      </c>
      <c r="AD12" s="75">
        <v>1.92</v>
      </c>
      <c r="AE12" s="75">
        <v>6.8000000000000005E-2</v>
      </c>
      <c r="AF12" s="81">
        <v>0.92174999999999996</v>
      </c>
      <c r="AG12" s="81">
        <v>0.93733</v>
      </c>
      <c r="AH12" s="75">
        <v>-6.3E-2</v>
      </c>
      <c r="AI12" s="75">
        <v>-7.2999999999999995E-2</v>
      </c>
      <c r="AJ12" s="75">
        <v>6.0000000000000001E-3</v>
      </c>
      <c r="AK12" s="75">
        <v>2.5000000000000001E-2</v>
      </c>
      <c r="AL12" s="75">
        <v>-0.69199999999999995</v>
      </c>
      <c r="AM12" s="75">
        <v>3.1E-2</v>
      </c>
      <c r="AN12" s="75">
        <v>3.1E-2</v>
      </c>
      <c r="AO12" s="75">
        <v>2.1999999999999999E-2</v>
      </c>
      <c r="AP12" s="75">
        <v>2.3E-2</v>
      </c>
      <c r="AQ12" s="75">
        <v>8.0000000000000002E-3</v>
      </c>
      <c r="AR12" s="75">
        <v>4.0000000000000001E-3</v>
      </c>
      <c r="AS12" s="75">
        <v>0.154</v>
      </c>
      <c r="AT12" s="75">
        <v>0.20399999999999999</v>
      </c>
      <c r="AU12" s="75">
        <v>0.01</v>
      </c>
      <c r="AV12" s="81">
        <v>0.98148999999999997</v>
      </c>
      <c r="AW12" s="81">
        <v>0.99141000000000001</v>
      </c>
      <c r="AX12" s="75">
        <v>4.5999999999999999E-2</v>
      </c>
    </row>
    <row r="14" spans="1:53" s="75" customFormat="1" ht="15.75" x14ac:dyDescent="0.25">
      <c r="A14" s="77" t="s">
        <v>197</v>
      </c>
      <c r="B14" s="73" t="s">
        <v>199</v>
      </c>
      <c r="C14" s="73" t="s">
        <v>199</v>
      </c>
      <c r="D14" s="73" t="s">
        <v>199</v>
      </c>
      <c r="E14" s="73" t="s">
        <v>199</v>
      </c>
      <c r="F14" s="73" t="s">
        <v>199</v>
      </c>
      <c r="G14" s="73" t="s">
        <v>199</v>
      </c>
      <c r="H14" s="73" t="s">
        <v>199</v>
      </c>
      <c r="I14" s="73" t="s">
        <v>199</v>
      </c>
      <c r="J14" s="73" t="s">
        <v>199</v>
      </c>
      <c r="K14" s="73" t="s">
        <v>199</v>
      </c>
      <c r="L14" s="73" t="s">
        <v>199</v>
      </c>
      <c r="M14" s="73" t="s">
        <v>199</v>
      </c>
      <c r="N14" s="73" t="s">
        <v>199</v>
      </c>
      <c r="O14" s="73" t="s">
        <v>199</v>
      </c>
      <c r="P14" s="73" t="s">
        <v>199</v>
      </c>
      <c r="Q14" s="73" t="s">
        <v>199</v>
      </c>
      <c r="R14" s="73" t="s">
        <v>199</v>
      </c>
      <c r="S14" s="81" t="s">
        <v>117</v>
      </c>
      <c r="T14" s="81" t="s">
        <v>117</v>
      </c>
      <c r="U14" s="73" t="s">
        <v>199</v>
      </c>
      <c r="V14" s="73" t="s">
        <v>199</v>
      </c>
      <c r="W14" s="73" t="s">
        <v>199</v>
      </c>
      <c r="X14" s="73" t="s">
        <v>199</v>
      </c>
      <c r="Y14" s="73" t="s">
        <v>199</v>
      </c>
      <c r="Z14" s="73" t="s">
        <v>199</v>
      </c>
      <c r="AA14" s="73" t="s">
        <v>199</v>
      </c>
      <c r="AB14" s="73" t="s">
        <v>199</v>
      </c>
      <c r="AC14" s="73" t="s">
        <v>199</v>
      </c>
      <c r="AD14" s="73" t="s">
        <v>199</v>
      </c>
      <c r="AE14" s="73" t="s">
        <v>199</v>
      </c>
      <c r="AF14" s="81" t="s">
        <v>117</v>
      </c>
      <c r="AG14" s="81" t="s">
        <v>117</v>
      </c>
      <c r="AH14" s="73" t="s">
        <v>199</v>
      </c>
      <c r="AI14" s="73" t="s">
        <v>199</v>
      </c>
      <c r="AJ14" s="73" t="s">
        <v>199</v>
      </c>
      <c r="AK14" s="73" t="s">
        <v>199</v>
      </c>
      <c r="AL14" s="73" t="s">
        <v>199</v>
      </c>
      <c r="AM14" s="73" t="s">
        <v>199</v>
      </c>
      <c r="AN14" s="73" t="s">
        <v>199</v>
      </c>
      <c r="AO14" s="73" t="s">
        <v>199</v>
      </c>
      <c r="AP14" s="73" t="s">
        <v>199</v>
      </c>
      <c r="AQ14" s="73" t="s">
        <v>199</v>
      </c>
      <c r="AR14" s="73" t="s">
        <v>199</v>
      </c>
      <c r="AS14" s="73" t="s">
        <v>199</v>
      </c>
      <c r="AT14" s="73" t="s">
        <v>199</v>
      </c>
      <c r="AU14" s="73" t="s">
        <v>199</v>
      </c>
      <c r="AV14" s="81" t="s">
        <v>117</v>
      </c>
      <c r="AW14" s="81" t="s">
        <v>117</v>
      </c>
      <c r="AX14" s="73" t="s">
        <v>199</v>
      </c>
      <c r="BA14" s="73" t="s">
        <v>199</v>
      </c>
    </row>
    <row r="15" spans="1:53" s="75" customFormat="1" ht="15.75" x14ac:dyDescent="0.25">
      <c r="A15" s="75" t="s">
        <v>198</v>
      </c>
      <c r="B15" s="79">
        <f>(Input!B13*0.1/0.2571*1000)/1000</f>
        <v>10.353947880202258</v>
      </c>
      <c r="C15" s="79">
        <f>(Input!C13*0.1/0.2571*1000)/1000</f>
        <v>56.670556203811749</v>
      </c>
      <c r="D15" s="79">
        <f>(Input!D13*0.1/0.2571*1000)/1000</f>
        <v>2814.4690781796967</v>
      </c>
      <c r="E15" s="79">
        <f>(Input!E13*0.1/0.2571*1000)/1000</f>
        <v>291.01516919486585</v>
      </c>
      <c r="F15" s="79">
        <f>(Input!F13*0.1/0.2571*1000)/1000</f>
        <v>1378.8409179307662</v>
      </c>
      <c r="G15" s="79">
        <f>(Input!G13*0.1/0.2571*1000)/1000</f>
        <v>17090.626215480359</v>
      </c>
      <c r="H15" s="79">
        <f>(Input!H13*0.1/0.2571*1000)/1000</f>
        <v>24150.136133800079</v>
      </c>
      <c r="I15" s="79">
        <f>(Input!I13*0.1/0.2571*1000)/1000</f>
        <v>128.16024893037729</v>
      </c>
      <c r="J15" s="79">
        <f>(Input!J13*0.1/0.2571*1000)/1000</f>
        <v>1.0190587320108908</v>
      </c>
      <c r="K15" s="79">
        <f>(Input!K13*0.1/0.2571*1000)/1000</f>
        <v>0.73862310385064189</v>
      </c>
      <c r="L15" s="79">
        <f>(Input!L13*0.1/0.2571*1000)/1000</f>
        <v>66.74445740956827</v>
      </c>
      <c r="M15" s="79">
        <f>(Input!M13*0.1/0.2571*1000)/1000</f>
        <v>452.35316997277329</v>
      </c>
      <c r="N15" s="79">
        <f>(Input!N13*0.1/0.2571*1000)/1000</f>
        <v>0.26409957215091406</v>
      </c>
      <c r="O15" s="79">
        <f>(Input!O13*0.1/0.2571*1000)/1000</f>
        <v>1.4305717619603269</v>
      </c>
      <c r="P15" s="79">
        <f>(Input!P13*0.1/0.2571*1000)/1000</f>
        <v>18.444185141968106</v>
      </c>
      <c r="Q15" s="79">
        <f>(Input!Q13*0.1/0.2571*1000)/1000</f>
        <v>28.630882924931935</v>
      </c>
      <c r="R15" s="79">
        <f>(Input!R13*0.1/0.2571*1000)/1000</f>
        <v>0.74017891870867381</v>
      </c>
      <c r="S15" s="82">
        <v>1.0036499999999999</v>
      </c>
      <c r="T15" s="82">
        <v>1.0986400000000001</v>
      </c>
      <c r="U15" s="79">
        <f>(Input!U13*0.1/0.2571*1000)/1000</f>
        <v>0.14274601322442632</v>
      </c>
      <c r="V15" s="79">
        <f>(Input!V13*0.1/0.2571*1000)/1000</f>
        <v>1.4181252430960718</v>
      </c>
      <c r="W15" s="79">
        <f>(Input!W13*0.1/0.2571*1000)/1000</f>
        <v>12.889926098794245</v>
      </c>
      <c r="X15" s="79">
        <f>(Input!X13*0.1/0.2571*1000)/1000</f>
        <v>80.318942045896549</v>
      </c>
      <c r="Y15" s="79">
        <f>(Input!Y13*0.1/0.2571*1000)/1000</f>
        <v>8.7125632049786086E-2</v>
      </c>
      <c r="Z15" s="79">
        <f>(Input!Z13*0.1/0.2571*1000)/1000</f>
        <v>0.55659276546091019</v>
      </c>
      <c r="AA15" s="79">
        <f>(Input!AA13*0.1/0.2571*1000)/1000</f>
        <v>1.1668611435239208E-3</v>
      </c>
      <c r="AB15" s="79">
        <f>(Input!AB13*0.1/0.2571*1000)/1000</f>
        <v>1.9447685725398679E-3</v>
      </c>
      <c r="AC15" s="79">
        <f>(Input!AC13*0.1/0.2571*1000)/1000</f>
        <v>2.683780630105018E-2</v>
      </c>
      <c r="AD15" s="79">
        <f>(Input!AD13*0.1/0.2571*1000)/1000</f>
        <v>0.24659665499805522</v>
      </c>
      <c r="AE15" s="79">
        <f>(Input!AE13*0.1/0.2571*1000)/1000</f>
        <v>4.9397121742512644E-2</v>
      </c>
      <c r="AF15" s="82">
        <v>1.0259400000000001</v>
      </c>
      <c r="AG15" s="82">
        <v>1.10626</v>
      </c>
      <c r="AH15" s="79">
        <f>(Input!AH13*0.1/0.2571*1000)/1000</f>
        <v>0.20342279268767019</v>
      </c>
      <c r="AI15" s="79">
        <f>(Input!AI13*0.1/0.2571*1000)/1000</f>
        <v>1.9447685725398679E-3</v>
      </c>
      <c r="AJ15" s="79">
        <f>(Input!AJ13*0.1/0.2571*1000)/1000</f>
        <v>1.5558148580318942E-3</v>
      </c>
      <c r="AK15" s="79">
        <f>(Input!AK13*0.1/0.2571*1000)/1000</f>
        <v>0.32244262932711015</v>
      </c>
      <c r="AL15" s="79">
        <f>(Input!AL13*0.1/0.2571*1000)/1000</f>
        <v>19.770517308440297</v>
      </c>
      <c r="AM15" s="79">
        <f>(Input!AM13*0.1/0.2571*1000)/1000</f>
        <v>1.9836639439906652E-2</v>
      </c>
      <c r="AN15" s="79">
        <f>(Input!AN13*0.1/0.2571*1000)/1000</f>
        <v>7.0789576040451191E-2</v>
      </c>
      <c r="AO15" s="79">
        <f>(Input!AO13*0.1/0.2571*1000)/1000</f>
        <v>0.19642162582652667</v>
      </c>
      <c r="AP15" s="79">
        <f>(Input!AP13*0.1/0.2571*1000)/1000</f>
        <v>0.19836639439906653</v>
      </c>
      <c r="AQ15" s="79">
        <f>(Input!AQ13*0.1/0.2571*1000)/1000</f>
        <v>7.7790742901594711E-4</v>
      </c>
      <c r="AR15" s="79">
        <f>(Input!AR13*0.1/0.2571*1000)/1000</f>
        <v>7.7790742901594711E-4</v>
      </c>
      <c r="AS15" s="79">
        <f>(Input!AS13*0.1/0.2571*1000)/1000</f>
        <v>8.0902372617658494E-2</v>
      </c>
      <c r="AT15" s="79">
        <f>(Input!AT13*0.1/0.2571*1000)/1000</f>
        <v>1.9058732010890707E-2</v>
      </c>
      <c r="AU15" s="79">
        <f>(Input!AU13*0.1/0.2571*1000)/1000</f>
        <v>0.93037728510307272</v>
      </c>
      <c r="AV15" s="82">
        <v>0.97309000000000001</v>
      </c>
      <c r="AW15" s="82">
        <v>0.98185999999999996</v>
      </c>
      <c r="AX15" s="79">
        <f>(Input!AX13*0.1/0.2571*1000)/1000</f>
        <v>2.4504084014002333E-2</v>
      </c>
      <c r="BA15" s="79">
        <f>(Input!BA10*0.1/0.2571*1000)</f>
        <v>4445.7409568261382</v>
      </c>
    </row>
    <row r="16" spans="1:53" s="75" customFormat="1" ht="15.75" x14ac:dyDescent="0.25">
      <c r="A16" s="75" t="s">
        <v>52</v>
      </c>
      <c r="B16" s="79">
        <f>(Input!B14*0.1/0.2506*1000)/1000</f>
        <v>12.338387869114129</v>
      </c>
      <c r="C16" s="79">
        <f>(Input!C14*0.1/0.2506*1000)/1000</f>
        <v>53.711093375897853</v>
      </c>
      <c r="D16" s="79">
        <f>(Input!D14*0.1/0.2506*1000)/1000</f>
        <v>3245.8100558659221</v>
      </c>
      <c r="E16" s="79">
        <f>(Input!E14*0.1/0.2506*1000)/1000</f>
        <v>292.09896249002395</v>
      </c>
      <c r="F16" s="79">
        <f>(Input!F14*0.1/0.2506*1000)/1000</f>
        <v>1281.7238627294496</v>
      </c>
      <c r="G16" s="79">
        <f>(Input!G14*0.1/0.2506*1000)/1000</f>
        <v>18084.596967278532</v>
      </c>
      <c r="H16" s="79">
        <f>(Input!H14*0.1/0.2506*1000)/1000</f>
        <v>32210.694333599364</v>
      </c>
      <c r="I16" s="79">
        <f>(Input!I14*0.1/0.2506*1000)/1000</f>
        <v>163.60734237829212</v>
      </c>
      <c r="J16" s="79">
        <f>(Input!J14*0.1/0.2506*1000)/1000</f>
        <v>1.0259377494014368</v>
      </c>
      <c r="K16" s="79">
        <f>(Input!K14*0.1/0.2506*1000)/1000</f>
        <v>0.94014365522745413</v>
      </c>
      <c r="L16" s="79">
        <f>(Input!L14*0.1/0.2506*1000)/1000</f>
        <v>73.304070231444541</v>
      </c>
      <c r="M16" s="79">
        <f>(Input!M14*0.1/0.2506*1000)/1000</f>
        <v>428.97047086991222</v>
      </c>
      <c r="N16" s="79">
        <f>(Input!N14*0.1/0.2506*1000)/1000</f>
        <v>0.28531524341580206</v>
      </c>
      <c r="O16" s="79">
        <f>(Input!O14*0.1/0.2506*1000)/1000</f>
        <v>1.7370311252992818</v>
      </c>
      <c r="P16" s="79">
        <f>(Input!P14*0.1/0.2506*1000)/1000</f>
        <v>5.7980845969672794</v>
      </c>
      <c r="Q16" s="79">
        <f>(Input!Q14*0.1/0.2506*1000)/1000</f>
        <v>10.849960095770154</v>
      </c>
      <c r="R16" s="79">
        <f>(Input!R14*0.1/0.2506*1000)/1000</f>
        <v>0.8758978451715882</v>
      </c>
      <c r="S16" s="82">
        <v>1.08708</v>
      </c>
      <c r="T16" s="82">
        <v>1.1454200000000001</v>
      </c>
      <c r="U16" s="79">
        <f>(Input!U14*0.1/0.2506*1000)/1000</f>
        <v>0.18036711891460497</v>
      </c>
      <c r="V16" s="79">
        <f>(Input!V14*0.1/0.2506*1000)/1000</f>
        <v>1.8363926576217082</v>
      </c>
      <c r="W16" s="79">
        <f>(Input!W14*0.1/0.2506*1000)/1000</f>
        <v>7.0351157222665606</v>
      </c>
      <c r="X16" s="79">
        <f>(Input!X14*0.1/0.2506*1000)/1000</f>
        <v>103.43176376695931</v>
      </c>
      <c r="Y16" s="79">
        <f>(Input!Y14*0.1/0.2506*1000)/1000</f>
        <v>9.2577813248204327E-2</v>
      </c>
      <c r="Z16" s="79">
        <f>(Input!Z14*0.1/0.2506*1000)/1000</f>
        <v>0.67398244213886682</v>
      </c>
      <c r="AA16" s="79">
        <f>(Input!AA14*0.1/0.2506*1000)/1000</f>
        <v>3.9904229848363929E-4</v>
      </c>
      <c r="AB16" s="79">
        <f>(Input!AB14*0.1/0.2506*1000)/1000</f>
        <v>2.394253790901836E-3</v>
      </c>
      <c r="AC16" s="79">
        <f>(Input!AC14*0.1/0.2506*1000)/1000</f>
        <v>3.391859537110934E-2</v>
      </c>
      <c r="AD16" s="79">
        <f>(Input!AD14*0.1/0.2506*1000)/1000</f>
        <v>0.19034317637669593</v>
      </c>
      <c r="AE16" s="79">
        <f>(Input!AE14*0.1/0.2506*1000)/1000</f>
        <v>3.232242617717479E-2</v>
      </c>
      <c r="AF16" s="82">
        <v>1.08213</v>
      </c>
      <c r="AG16" s="82">
        <v>1.15099</v>
      </c>
      <c r="AH16" s="79">
        <f>(Input!AH14*0.1/0.2506*1000)/1000</f>
        <v>0.14724660814046289</v>
      </c>
      <c r="AI16" s="79">
        <f>(Input!AI14*0.1/0.2506*1000)/1000</f>
        <v>4.7885075818036721E-3</v>
      </c>
      <c r="AJ16" s="79">
        <f>(Input!AJ14*0.1/0.2506*1000)/1000</f>
        <v>3.1923383878691143E-3</v>
      </c>
      <c r="AK16" s="79">
        <f>(Input!AK14*0.1/0.2506*1000)/1000</f>
        <v>0.18754988028731046</v>
      </c>
      <c r="AL16" s="79">
        <f>(Input!AL14*0.1/0.2506*1000)/1000</f>
        <v>23.707102952913008</v>
      </c>
      <c r="AM16" s="79">
        <f>(Input!AM14*0.1/0.2506*1000)/1000</f>
        <v>1.596169193934557E-2</v>
      </c>
      <c r="AN16" s="79">
        <f>(Input!AN14*0.1/0.2506*1000)/1000</f>
        <v>7.1029529130087796E-2</v>
      </c>
      <c r="AO16" s="79">
        <f>(Input!AO14*0.1/0.2506*1000)/1000</f>
        <v>0.22027134876296892</v>
      </c>
      <c r="AP16" s="79">
        <f>(Input!AP14*0.1/0.2506*1000)/1000</f>
        <v>0.21907422186751799</v>
      </c>
      <c r="AQ16" s="79">
        <f>(Input!AQ14*0.1/0.2506*1000)/1000</f>
        <v>3.9904229848363929E-4</v>
      </c>
      <c r="AR16" s="79">
        <f>(Input!AR14*0.1/0.2506*1000)/1000</f>
        <v>3.9904229848363929E-4</v>
      </c>
      <c r="AS16" s="79">
        <f>(Input!AS14*0.1/0.2506*1000)/1000</f>
        <v>8.2202713487629697E-2</v>
      </c>
      <c r="AT16" s="79">
        <f>(Input!AT14*0.1/0.2506*1000)/1000</f>
        <v>1.5562649640861933E-2</v>
      </c>
      <c r="AU16" s="79">
        <f>(Input!AU14*0.1/0.2506*1000)/1000</f>
        <v>0.97406225059856344</v>
      </c>
      <c r="AV16" s="82">
        <v>0.98756999999999995</v>
      </c>
      <c r="AW16" s="82">
        <v>0.99336000000000002</v>
      </c>
      <c r="AX16" s="79">
        <f>(Input!AX14*0.1/0.2506*1000)/1000</f>
        <v>2.4740622505985639E-2</v>
      </c>
      <c r="BA16" s="79">
        <f>(Input!BA11*0.1/0.2506*1000)</f>
        <v>6656.0255387071038</v>
      </c>
    </row>
    <row r="17" spans="1:66" s="75" customFormat="1" ht="15.75" x14ac:dyDescent="0.25">
      <c r="A17" s="75" t="s">
        <v>118</v>
      </c>
      <c r="B17" s="79">
        <f>(Input!B15*0.1/0.0975*1000)/1000</f>
        <v>5.8810256410256407</v>
      </c>
      <c r="C17" s="79">
        <f>(Input!C15*0.1/0.0975*1000)/1000</f>
        <v>25.81538461538462</v>
      </c>
      <c r="D17" s="79">
        <f>(Input!D15*0.1/0.0975*1000)/1000</f>
        <v>2141.5384615384614</v>
      </c>
      <c r="E17" s="79">
        <f>(Input!E15*0.1/0.0975*1000)/1000</f>
        <v>145.33333333333331</v>
      </c>
      <c r="F17" s="79">
        <f>(Input!F15*0.1/0.0975*1000)/1000</f>
        <v>1334.3589743589744</v>
      </c>
      <c r="G17" s="79">
        <f>(Input!G15*0.1/0.0975*1000)/1000</f>
        <v>22420.51282051282</v>
      </c>
      <c r="H17" s="79">
        <f>(Input!H15*0.1/0.0975*1000)/1000</f>
        <v>14779.48717948718</v>
      </c>
      <c r="I17" s="79">
        <f>(Input!I15*0.1/0.0975*1000)/1000</f>
        <v>80.441025641025647</v>
      </c>
      <c r="J17" s="79">
        <f>(Input!J15*0.1/0.0975*1000)/1000</f>
        <v>0.7466666666666667</v>
      </c>
      <c r="K17" s="79">
        <f>(Input!K15*0.1/0.0975*1000)/1000</f>
        <v>0.55487179487179494</v>
      </c>
      <c r="L17" s="79">
        <f>(Input!L15*0.1/0.0975*1000)/1000</f>
        <v>70.779487179487191</v>
      </c>
      <c r="M17" s="79">
        <f>(Input!M15*0.1/0.0975*1000)/1000</f>
        <v>364.82051282051282</v>
      </c>
      <c r="N17" s="79">
        <f>(Input!N15*0.1/0.0975*1000)/1000</f>
        <v>0.27076923076923082</v>
      </c>
      <c r="O17" s="79">
        <f>(Input!O15*0.1/0.0975*1000)/1000</f>
        <v>4.04</v>
      </c>
      <c r="P17" s="79">
        <f>(Input!P15*0.1/0.0975*1000)/1000</f>
        <v>10.512820512820515</v>
      </c>
      <c r="Q17" s="79">
        <f>(Input!Q15*0.1/0.0975*1000)/1000</f>
        <v>9.275897435897436</v>
      </c>
      <c r="R17" s="79">
        <f>(Input!R15*0.1/0.0975*1000)/1000</f>
        <v>0.13128205128205128</v>
      </c>
      <c r="S17" s="82">
        <v>1.2354400000000001</v>
      </c>
      <c r="T17" s="82">
        <v>1.29643</v>
      </c>
      <c r="U17" s="79">
        <f>(Input!U15*0.1/0.0975*1000)/1000</f>
        <v>-9.3333333333333338E-2</v>
      </c>
      <c r="V17" s="79">
        <f>(Input!V15*0.1/0.0975*1000)/1000</f>
        <v>1.795897435897436</v>
      </c>
      <c r="W17" s="79">
        <f>(Input!W15*0.1/0.0975*1000)/1000</f>
        <v>9.3466666666666658</v>
      </c>
      <c r="X17" s="79">
        <f>(Input!X15*0.1/0.0975*1000)/1000</f>
        <v>37.558974358974353</v>
      </c>
      <c r="Y17" s="79">
        <f>(Input!Y15*0.1/0.0975*1000)/1000</f>
        <v>5.0256410256410262E-2</v>
      </c>
      <c r="Z17" s="79">
        <f>(Input!Z15*0.1/0.0975*1000)/1000</f>
        <v>0.19692307692307692</v>
      </c>
      <c r="AA17" s="79">
        <f>(Input!AA15*0.1/0.0975*1000)/1000</f>
        <v>0</v>
      </c>
      <c r="AB17" s="79">
        <f>(Input!AB15*0.1/0.0975*1000)/1000</f>
        <v>1.0256410256410256E-3</v>
      </c>
      <c r="AC17" s="79">
        <f>(Input!AC15*0.1/0.0975*1000)/1000</f>
        <v>1.7435897435897435E-2</v>
      </c>
      <c r="AD17" s="79">
        <f>(Input!AD15*0.1/0.0975*1000)/1000</f>
        <v>0.21025641025641026</v>
      </c>
      <c r="AE17" s="79">
        <f>(Input!AE15*0.1/0.0975*1000)/1000</f>
        <v>2.5641025641025644E-2</v>
      </c>
      <c r="AF17" s="82">
        <v>1.20279</v>
      </c>
      <c r="AG17" s="82">
        <v>1.3237699999999999</v>
      </c>
      <c r="AH17" s="79">
        <f>(Input!AH15*0.1/0.0975*1000)/1000</f>
        <v>6.051282051282051E-2</v>
      </c>
      <c r="AI17" s="79">
        <f>(Input!AI15*0.1/0.0975*1000)/1000</f>
        <v>-7.2820512820512814E-2</v>
      </c>
      <c r="AJ17" s="79">
        <f>(Input!AJ15*0.1/0.0975*1000)/1000</f>
        <v>2.0512820512820513E-3</v>
      </c>
      <c r="AK17" s="79">
        <f>(Input!AK15*0.1/0.0975*1000)/1000</f>
        <v>9.2307692307692299E-2</v>
      </c>
      <c r="AL17" s="79">
        <f>(Input!AL15*0.1/0.0975*1000)/1000</f>
        <v>2.433846153846154</v>
      </c>
      <c r="AM17" s="79">
        <f>(Input!AM15*0.1/0.0975*1000)/1000</f>
        <v>1.1282051282051283E-2</v>
      </c>
      <c r="AN17" s="79">
        <f>(Input!AN15*0.1/0.0975*1000)/1000</f>
        <v>5.1282051282051287E-2</v>
      </c>
      <c r="AO17" s="79">
        <f>(Input!AO15*0.1/0.0975*1000)/1000</f>
        <v>0.10153846153846155</v>
      </c>
      <c r="AP17" s="79">
        <f>(Input!AP15*0.1/0.0975*1000)/1000</f>
        <v>0.10153846153846155</v>
      </c>
      <c r="AQ17" s="79">
        <f>(Input!AQ15*0.1/0.0975*1000)/1000</f>
        <v>0</v>
      </c>
      <c r="AR17" s="79">
        <f>(Input!AR15*0.1/0.0975*1000)/1000</f>
        <v>0</v>
      </c>
      <c r="AS17" s="79">
        <f>(Input!AS15*0.1/0.0975*1000)/1000</f>
        <v>6.2564102564102567E-2</v>
      </c>
      <c r="AT17" s="79">
        <f>(Input!AT15*0.1/0.0975*1000)/1000</f>
        <v>1.0256410256410258E-2</v>
      </c>
      <c r="AU17" s="79">
        <f>(Input!AU15*0.1/0.0975*1000)/1000</f>
        <v>0.65846153846153854</v>
      </c>
      <c r="AV17" s="82">
        <v>1.10294</v>
      </c>
      <c r="AW17" s="82">
        <v>1.12415</v>
      </c>
      <c r="AX17" s="79">
        <f>(Input!AX15*0.1/0.0975*1000)/1000</f>
        <v>1.3333333333333332E-2</v>
      </c>
      <c r="BA17" s="79">
        <f>(Input!BA12*0.1/0.0975*1000)</f>
        <v>3756.9230769230767</v>
      </c>
    </row>
    <row r="18" spans="1:66" s="75" customFormat="1" ht="15.75" x14ac:dyDescent="0.25">
      <c r="A18" s="75" t="s">
        <v>53</v>
      </c>
      <c r="B18" s="79">
        <f>(Input!B16*0.1/0.2499*1000)/1000</f>
        <v>17.310924369747898</v>
      </c>
      <c r="C18" s="79">
        <f>(Input!C16*0.1/0.2499*1000)/1000</f>
        <v>104.72188875550221</v>
      </c>
      <c r="D18" s="79">
        <f>(Input!D16*0.1/0.2499*1000)/1000</f>
        <v>2454.5818327330931</v>
      </c>
      <c r="E18" s="79">
        <f>(Input!E16*0.1/0.2499*1000)/1000</f>
        <v>259.94397759103646</v>
      </c>
      <c r="F18" s="79">
        <f>(Input!F16*0.1/0.2499*1000)/1000</f>
        <v>878.35134053621448</v>
      </c>
      <c r="G18" s="79">
        <f>(Input!G16*0.1/0.2499*1000)/1000</f>
        <v>29675.870348139255</v>
      </c>
      <c r="H18" s="79">
        <f>(Input!H16*0.1/0.2499*1000)/1000</f>
        <v>13485.394157663064</v>
      </c>
      <c r="I18" s="79">
        <f>(Input!I16*0.1/0.2499*1000)/1000</f>
        <v>85.034013605442169</v>
      </c>
      <c r="J18" s="79">
        <f>(Input!J16*0.1/0.2499*1000)/1000</f>
        <v>0.9235694277711084</v>
      </c>
      <c r="K18" s="79">
        <f>(Input!K16*0.1/0.2499*1000)/1000</f>
        <v>0.62785114045618251</v>
      </c>
      <c r="L18" s="79">
        <f>(Input!L16*0.1/0.2499*1000)/1000</f>
        <v>35.83833533413366</v>
      </c>
      <c r="M18" s="79">
        <f>(Input!M16*0.1/0.2499*1000)/1000</f>
        <v>416.9667867146859</v>
      </c>
      <c r="N18" s="79">
        <f>(Input!N16*0.1/0.2499*1000)/1000</f>
        <v>0.23609443777511002</v>
      </c>
      <c r="O18" s="79">
        <f>(Input!O16*0.1/0.2499*1000)/1000</f>
        <v>1.6142456982793116</v>
      </c>
      <c r="P18" s="79">
        <f>(Input!P16*0.1/0.2499*1000)/1000</f>
        <v>5.538215286114446</v>
      </c>
      <c r="Q18" s="79">
        <f>(Input!Q16*0.1/0.2499*1000)/1000</f>
        <v>8.7835134053621431</v>
      </c>
      <c r="R18" s="79">
        <f>(Input!R16*0.1/0.2499*1000)/1000</f>
        <v>0.63105242096838732</v>
      </c>
      <c r="S18" s="82">
        <v>1.1980500000000001</v>
      </c>
      <c r="T18" s="82">
        <v>1.2851399999999999</v>
      </c>
      <c r="U18" s="79">
        <f>(Input!U16*0.1/0.2499*1000)/1000</f>
        <v>6.0024009603841529E-2</v>
      </c>
      <c r="V18" s="79">
        <f>(Input!V16*0.1/0.2499*1000)/1000</f>
        <v>2.021608643457383</v>
      </c>
      <c r="W18" s="79">
        <f>(Input!W16*0.1/0.2499*1000)/1000</f>
        <v>6.7306922769107649</v>
      </c>
      <c r="X18" s="79">
        <f>(Input!X16*0.1/0.2499*1000)/1000</f>
        <v>91.196478591436588</v>
      </c>
      <c r="Y18" s="79">
        <f>(Input!Y16*0.1/0.2499*1000)/1000</f>
        <v>8.1632653061224497E-2</v>
      </c>
      <c r="Z18" s="79">
        <f>(Input!Z16*0.1/0.2499*1000)/1000</f>
        <v>0.46778711484593838</v>
      </c>
      <c r="AA18" s="79">
        <f>(Input!AA16*0.1/0.2499*1000)/1000</f>
        <v>8.0032012805122054E-4</v>
      </c>
      <c r="AB18" s="79">
        <f>(Input!AB16*0.1/0.2499*1000)/1000</f>
        <v>2.0008003201280513E-3</v>
      </c>
      <c r="AC18" s="79">
        <f>(Input!AC16*0.1/0.2499*1000)/1000</f>
        <v>3.2412965186074436E-2</v>
      </c>
      <c r="AD18" s="79">
        <f>(Input!AD16*0.1/0.2499*1000)/1000</f>
        <v>0.14765906362545017</v>
      </c>
      <c r="AE18" s="79">
        <f>(Input!AE16*0.1/0.2499*1000)/1000</f>
        <v>3.1212484993997598E-2</v>
      </c>
      <c r="AF18" s="82">
        <v>1.17086</v>
      </c>
      <c r="AG18" s="82">
        <v>1.29583</v>
      </c>
      <c r="AH18" s="79">
        <f>(Input!AH16*0.1/0.2499*1000)/1000</f>
        <v>0.2312925170068027</v>
      </c>
      <c r="AI18" s="79">
        <f>(Input!AI16*0.1/0.2499*1000)/1000</f>
        <v>0</v>
      </c>
      <c r="AJ18" s="79">
        <f>(Input!AJ16*0.1/0.2499*1000)/1000</f>
        <v>4.0016006402561027E-4</v>
      </c>
      <c r="AK18" s="79">
        <f>(Input!AK16*0.1/0.2499*1000)/1000</f>
        <v>0.11324529811924769</v>
      </c>
      <c r="AL18" s="79">
        <f>(Input!AL16*0.1/0.2499*1000)/1000</f>
        <v>15.846338535414167</v>
      </c>
      <c r="AM18" s="79">
        <f>(Input!AM16*0.1/0.2499*1000)/1000</f>
        <v>1.360544217687075E-2</v>
      </c>
      <c r="AN18" s="79">
        <f>(Input!AN16*0.1/0.2499*1000)/1000</f>
        <v>3.601440576230492E-2</v>
      </c>
      <c r="AO18" s="79">
        <f>(Input!AO16*0.1/0.2499*1000)/1000</f>
        <v>3.801520608243298E-2</v>
      </c>
      <c r="AP18" s="79">
        <f>(Input!AP16*0.1/0.2499*1000)/1000</f>
        <v>3.7214885954381757E-2</v>
      </c>
      <c r="AQ18" s="79">
        <f>(Input!AQ16*0.1/0.2499*1000)/1000</f>
        <v>0</v>
      </c>
      <c r="AR18" s="79">
        <f>(Input!AR16*0.1/0.2499*1000)/1000</f>
        <v>4.0016006402561027E-4</v>
      </c>
      <c r="AS18" s="79">
        <f>(Input!AS16*0.1/0.2499*1000)/1000</f>
        <v>7.603041216486596E-2</v>
      </c>
      <c r="AT18" s="79">
        <f>(Input!AT16*0.1/0.2499*1000)/1000</f>
        <v>6.4025610244097643E-3</v>
      </c>
      <c r="AU18" s="79">
        <f>(Input!AU16*0.1/0.2499*1000)/1000</f>
        <v>0.80592236894757896</v>
      </c>
      <c r="AV18" s="82">
        <v>1.0666599999999999</v>
      </c>
      <c r="AW18" s="82">
        <v>1.0781000000000001</v>
      </c>
      <c r="AX18" s="79">
        <f>(Input!AX16*0.1/0.2499*1000)/1000</f>
        <v>1.9207683073229294E-2</v>
      </c>
      <c r="BA18" s="79">
        <f>(Input!BA13*0.1/0.2499*1000)</f>
        <v>3432.9731892757109</v>
      </c>
    </row>
    <row r="19" spans="1:66" s="75" customFormat="1" ht="15.75" x14ac:dyDescent="0.25">
      <c r="A19" s="75" t="s">
        <v>54</v>
      </c>
      <c r="B19" s="79">
        <f>(Input!B17*0.1/0.2496*1000)/1000</f>
        <v>10.196314102564102</v>
      </c>
      <c r="C19" s="79">
        <f>(Input!C17*0.1/0.2496*1000)/1000</f>
        <v>202.12339743589746</v>
      </c>
      <c r="D19" s="79">
        <f>(Input!D17*0.1/0.2496*1000)/1000</f>
        <v>2461.1378205128208</v>
      </c>
      <c r="E19" s="79">
        <f>(Input!E17*0.1/0.2496*1000)/1000</f>
        <v>356.89102564102564</v>
      </c>
      <c r="F19" s="79">
        <f>(Input!F17*0.1/0.2496*1000)/1000</f>
        <v>1256.8108974358977</v>
      </c>
      <c r="G19" s="79">
        <f>(Input!G17*0.1/0.2496*1000)/1000</f>
        <v>25516.826923076926</v>
      </c>
      <c r="H19" s="79">
        <f>(Input!H17*0.1/0.2496*1000)/1000</f>
        <v>17708.333333333336</v>
      </c>
      <c r="I19" s="79">
        <f>(Input!I17*0.1/0.2496*1000)/1000</f>
        <v>109.3349358974359</v>
      </c>
      <c r="J19" s="79">
        <f>(Input!J17*0.1/0.2496*1000)/1000</f>
        <v>1.1618589743589742</v>
      </c>
      <c r="K19" s="79">
        <f>(Input!K17*0.1/0.2496*1000)/1000</f>
        <v>0.82852564102564108</v>
      </c>
      <c r="L19" s="79">
        <f>(Input!L17*0.1/0.2496*1000)/1000</f>
        <v>56.049679487179496</v>
      </c>
      <c r="M19" s="79">
        <f>(Input!M17*0.1/0.2496*1000)/1000</f>
        <v>512.01923076923083</v>
      </c>
      <c r="N19" s="79">
        <f>(Input!N17*0.1/0.2496*1000)/1000</f>
        <v>0.33774038461538464</v>
      </c>
      <c r="O19" s="79">
        <f>(Input!O17*0.1/0.2496*1000)/1000</f>
        <v>3.2203525641025643</v>
      </c>
      <c r="P19" s="79">
        <f>(Input!P17*0.1/0.2496*1000)/1000</f>
        <v>14.547275641025642</v>
      </c>
      <c r="Q19" s="79">
        <f>(Input!Q17*0.1/0.2496*1000)/1000</f>
        <v>17.003205128205128</v>
      </c>
      <c r="R19" s="79">
        <f>(Input!R17*0.1/0.2496*1000)/1000</f>
        <v>0.78084935897435903</v>
      </c>
      <c r="S19" s="82">
        <v>1.2050099999999999</v>
      </c>
      <c r="T19" s="82">
        <v>1.29698</v>
      </c>
      <c r="U19" s="79">
        <f>(Input!U17*0.1/0.2496*1000)/1000</f>
        <v>9.2147435897435917E-2</v>
      </c>
      <c r="V19" s="79">
        <f>(Input!V17*0.1/0.2496*1000)/1000</f>
        <v>0.88581730769230771</v>
      </c>
      <c r="W19" s="79">
        <f>(Input!W17*0.1/0.2496*1000)/1000</f>
        <v>15.352564102564104</v>
      </c>
      <c r="X19" s="79">
        <f>(Input!X17*0.1/0.2496*1000)/1000</f>
        <v>44.190705128205131</v>
      </c>
      <c r="Y19" s="79">
        <f>(Input!Y17*0.1/0.2496*1000)/1000</f>
        <v>9.094551282051283E-2</v>
      </c>
      <c r="Z19" s="79">
        <f>(Input!Z17*0.1/0.2496*1000)/1000</f>
        <v>0.4070512820512821</v>
      </c>
      <c r="AA19" s="79">
        <f>(Input!AA17*0.1/0.2496*1000)/1000</f>
        <v>1.201923076923077E-3</v>
      </c>
      <c r="AB19" s="79">
        <f>(Input!AB17*0.1/0.2496*1000)/1000</f>
        <v>8.0128205128205136E-4</v>
      </c>
      <c r="AC19" s="79">
        <f>(Input!AC17*0.1/0.2496*1000)/1000</f>
        <v>1.842948717948718E-2</v>
      </c>
      <c r="AD19" s="79">
        <f>(Input!AD17*0.1/0.2496*1000)/1000</f>
        <v>0.22195512820512822</v>
      </c>
      <c r="AE19" s="79">
        <f>(Input!AE17*0.1/0.2496*1000)/1000</f>
        <v>5.9294871794871799E-2</v>
      </c>
      <c r="AF19" s="82">
        <v>1.1754</v>
      </c>
      <c r="AG19" s="82">
        <v>1.3089999999999999</v>
      </c>
      <c r="AH19" s="79">
        <f>(Input!AH17*0.1/0.2496*1000)/1000</f>
        <v>0.21033653846153849</v>
      </c>
      <c r="AI19" s="79">
        <f>(Input!AI17*0.1/0.2496*1000)/1000</f>
        <v>7.6121794871794879E-3</v>
      </c>
      <c r="AJ19" s="79">
        <f>(Input!AJ17*0.1/0.2496*1000)/1000</f>
        <v>1.6025641025641027E-3</v>
      </c>
      <c r="AK19" s="79">
        <f>(Input!AK17*0.1/0.2496*1000)/1000</f>
        <v>0.18149038461538466</v>
      </c>
      <c r="AL19" s="79">
        <f>(Input!AL17*0.1/0.2496*1000)/1000</f>
        <v>19.210737179487182</v>
      </c>
      <c r="AM19" s="79">
        <f>(Input!AM17*0.1/0.2496*1000)/1000</f>
        <v>1.7227564102564104E-2</v>
      </c>
      <c r="AN19" s="79">
        <f>(Input!AN17*0.1/0.2496*1000)/1000</f>
        <v>5.2083333333333343E-2</v>
      </c>
      <c r="AO19" s="79">
        <f>(Input!AO17*0.1/0.2496*1000)/1000</f>
        <v>8.7339743589743599E-2</v>
      </c>
      <c r="AP19" s="79">
        <f>(Input!AP17*0.1/0.2496*1000)/1000</f>
        <v>8.7339743589743599E-2</v>
      </c>
      <c r="AQ19" s="79">
        <f>(Input!AQ17*0.1/0.2496*1000)/1000</f>
        <v>0</v>
      </c>
      <c r="AR19" s="79">
        <f>(Input!AR17*0.1/0.2496*1000)/1000</f>
        <v>4.0064102564102568E-4</v>
      </c>
      <c r="AS19" s="79">
        <f>(Input!AS17*0.1/0.2496*1000)/1000</f>
        <v>0.10817307692307696</v>
      </c>
      <c r="AT19" s="79">
        <f>(Input!AT17*0.1/0.2496*1000)/1000</f>
        <v>8.4134615384615398E-3</v>
      </c>
      <c r="AU19" s="79">
        <f>(Input!AU17*0.1/0.2496*1000)/1000</f>
        <v>0.82532051282051289</v>
      </c>
      <c r="AV19" s="82">
        <v>1.06789</v>
      </c>
      <c r="AW19" s="82">
        <v>1.0832900000000001</v>
      </c>
      <c r="AX19" s="79">
        <f>(Input!AX17*0.1/0.2496*1000)/1000</f>
        <v>2.4439102564102567E-2</v>
      </c>
      <c r="BA19" s="79">
        <f>(Input!BA14*0.1/0.2496*1000)</f>
        <v>4001.6025641025649</v>
      </c>
    </row>
    <row r="20" spans="1:66" s="75" customFormat="1" ht="15.75" x14ac:dyDescent="0.25">
      <c r="A20" s="75" t="s">
        <v>55</v>
      </c>
      <c r="B20" s="79">
        <f>(Input!B18*0.1/0.124*1000)/1000</f>
        <v>3.8088709677419357</v>
      </c>
      <c r="C20" s="79">
        <f>(Input!C18*0.1/0.124*1000)/1000</f>
        <v>118.62903225806453</v>
      </c>
      <c r="D20" s="79">
        <f>(Input!D18*0.1/0.124*1000)/1000</f>
        <v>2138.7096774193546</v>
      </c>
      <c r="E20" s="79">
        <f>(Input!E18*0.1/0.124*1000)/1000</f>
        <v>240.88709677419357</v>
      </c>
      <c r="F20" s="79">
        <f>(Input!F18*0.1/0.124*1000)/1000</f>
        <v>1677.4193548387098</v>
      </c>
      <c r="G20" s="79">
        <f>(Input!G18*0.1/0.124*1000)/1000</f>
        <v>20612.903225806451</v>
      </c>
      <c r="H20" s="79">
        <f>(Input!H18*0.1/0.124*1000)/1000</f>
        <v>18782.258064516129</v>
      </c>
      <c r="I20" s="79">
        <f>(Input!I18*0.1/0.124*1000)/1000</f>
        <v>101.85483870967742</v>
      </c>
      <c r="J20" s="79">
        <f>(Input!J18*0.1/0.124*1000)/1000</f>
        <v>1.0314516129032256</v>
      </c>
      <c r="K20" s="79">
        <f>(Input!K18*0.1/0.124*1000)/1000</f>
        <v>0.84354838709677427</v>
      </c>
      <c r="L20" s="79">
        <f>(Input!L18*0.1/0.124*1000)/1000</f>
        <v>38.645161290322584</v>
      </c>
      <c r="M20" s="79">
        <f>(Input!M18*0.1/0.124*1000)/1000</f>
        <v>504.59677419354847</v>
      </c>
      <c r="N20" s="79">
        <f>(Input!N18*0.1/0.124*1000)/1000</f>
        <v>0.32500000000000001</v>
      </c>
      <c r="O20" s="79">
        <f>(Input!O18*0.1/0.124*1000)/1000</f>
        <v>2.2048387096774196</v>
      </c>
      <c r="P20" s="79">
        <f>(Input!P18*0.1/0.124*1000)/1000</f>
        <v>15.104838709677422</v>
      </c>
      <c r="Q20" s="79">
        <f>(Input!Q18*0.1/0.124*1000)/1000</f>
        <v>25.06451612903226</v>
      </c>
      <c r="R20" s="79">
        <f>(Input!R18*0.1/0.124*1000)/1000</f>
        <v>0.50806451612903225</v>
      </c>
      <c r="S20" s="82">
        <v>1.2454700000000001</v>
      </c>
      <c r="T20" s="82">
        <v>1.3344</v>
      </c>
      <c r="U20" s="79">
        <f>(Input!U18*0.1/0.124*1000)/1000</f>
        <v>-1.0483870967741934E-2</v>
      </c>
      <c r="V20" s="79">
        <f>(Input!V18*0.1/0.124*1000)/1000</f>
        <v>0.86532258064516132</v>
      </c>
      <c r="W20" s="79">
        <f>(Input!W18*0.1/0.124*1000)/1000</f>
        <v>9.6693548387096779</v>
      </c>
      <c r="X20" s="79">
        <f>(Input!X18*0.1/0.124*1000)/1000</f>
        <v>99.193548387096783</v>
      </c>
      <c r="Y20" s="79">
        <f>(Input!Y18*0.1/0.124*1000)/1000</f>
        <v>0.05</v>
      </c>
      <c r="Z20" s="79">
        <f>(Input!Z18*0.1/0.124*1000)/1000</f>
        <v>0.17338709677419356</v>
      </c>
      <c r="AA20" s="79">
        <f>(Input!AA18*0.1/0.124*1000)/1000</f>
        <v>8.0645161290322581E-4</v>
      </c>
      <c r="AB20" s="79">
        <f>(Input!AB18*0.1/0.124*1000)/1000</f>
        <v>2.4193548387096775E-3</v>
      </c>
      <c r="AC20" s="79">
        <f>(Input!AC18*0.1/0.124*1000)/1000</f>
        <v>3.5483870967741936E-2</v>
      </c>
      <c r="AD20" s="79">
        <f>(Input!AD18*0.1/0.124*1000)/1000</f>
        <v>0.36290322580645168</v>
      </c>
      <c r="AE20" s="79">
        <f>(Input!AE18*0.1/0.124*1000)/1000</f>
        <v>4.7580645161290319E-2</v>
      </c>
      <c r="AF20" s="82">
        <v>1.2267300000000001</v>
      </c>
      <c r="AG20" s="82">
        <v>1.3624499999999999</v>
      </c>
      <c r="AH20" s="79">
        <f>(Input!AH18*0.1/0.124*1000)/1000</f>
        <v>0.10725806451612904</v>
      </c>
      <c r="AI20" s="79">
        <f>(Input!AI18*0.1/0.124*1000)/1000</f>
        <v>-4.0322580645161296E-2</v>
      </c>
      <c r="AJ20" s="79">
        <f>(Input!AJ18*0.1/0.124*1000)/1000</f>
        <v>1.6129032258064516E-3</v>
      </c>
      <c r="AK20" s="79">
        <f>(Input!AK18*0.1/0.124*1000)/1000</f>
        <v>0.11290322580645162</v>
      </c>
      <c r="AL20" s="79">
        <f>(Input!AL18*0.1/0.124*1000)/1000</f>
        <v>12.411290322580646</v>
      </c>
      <c r="AM20" s="79">
        <f>(Input!AM18*0.1/0.124*1000)/1000</f>
        <v>1.2903225806451613E-2</v>
      </c>
      <c r="AN20" s="79">
        <f>(Input!AN18*0.1/0.124*1000)/1000</f>
        <v>2.4193548387096774E-2</v>
      </c>
      <c r="AO20" s="79">
        <f>(Input!AO18*0.1/0.124*1000)/1000</f>
        <v>3.0645161290322579E-2</v>
      </c>
      <c r="AP20" s="79">
        <f>(Input!AP18*0.1/0.124*1000)/1000</f>
        <v>2.9838709677419355E-2</v>
      </c>
      <c r="AQ20" s="79">
        <f>(Input!AQ18*0.1/0.124*1000)/1000</f>
        <v>0</v>
      </c>
      <c r="AR20" s="79">
        <f>(Input!AR18*0.1/0.124*1000)/1000</f>
        <v>0</v>
      </c>
      <c r="AS20" s="79">
        <f>(Input!AS18*0.1/0.124*1000)/1000</f>
        <v>3.7903225806451613E-2</v>
      </c>
      <c r="AT20" s="79">
        <f>(Input!AT18*0.1/0.124*1000)/1000</f>
        <v>8.0645161290322578E-3</v>
      </c>
      <c r="AU20" s="79">
        <f>(Input!AU18*0.1/0.124*1000)/1000</f>
        <v>1.042741935483871</v>
      </c>
      <c r="AV20" s="82">
        <v>1.11985</v>
      </c>
      <c r="AW20" s="82">
        <v>1.14775</v>
      </c>
      <c r="AX20" s="79">
        <f>(Input!AX18*0.1/0.124*1000)/1000</f>
        <v>1.7741935483870968E-2</v>
      </c>
      <c r="BA20" s="79">
        <f>(Input!BA15*0.1/0.124*1000)</f>
        <v>3365.322580645161</v>
      </c>
    </row>
    <row r="21" spans="1:66" s="75" customFormat="1" ht="15.75" x14ac:dyDescent="0.25">
      <c r="A21" s="75" t="s">
        <v>56</v>
      </c>
      <c r="B21" s="79">
        <f>(Input!B19*0.1/0.2634*1000)/1000</f>
        <v>4.7456340167046314</v>
      </c>
      <c r="C21" s="79">
        <f>(Input!C19*0.1/0.2634*1000)/1000</f>
        <v>66.249050873196651</v>
      </c>
      <c r="D21" s="79">
        <f>(Input!D19*0.1/0.2634*1000)/1000</f>
        <v>2424.8291571753984</v>
      </c>
      <c r="E21" s="79">
        <f>(Input!E19*0.1/0.2634*1000)/1000</f>
        <v>65.41381928625664</v>
      </c>
      <c r="F21" s="79">
        <f>(Input!F19*0.1/0.2634*1000)/1000</f>
        <v>1855.3530751708429</v>
      </c>
      <c r="G21" s="79">
        <f>(Input!G19*0.1/0.2634*1000)/1000</f>
        <v>20326.499620349277</v>
      </c>
      <c r="H21" s="79">
        <f>(Input!H19*0.1/0.2634*1000)/1000</f>
        <v>21036.446469248291</v>
      </c>
      <c r="I21" s="79">
        <f>(Input!I19*0.1/0.2634*1000)/1000</f>
        <v>95.140470766894452</v>
      </c>
      <c r="J21" s="79">
        <f>(Input!J19*0.1/0.2634*1000)/1000</f>
        <v>0.41154138192862566</v>
      </c>
      <c r="K21" s="79">
        <f>(Input!K19*0.1/0.2634*1000)/1000</f>
        <v>0.46279422930903569</v>
      </c>
      <c r="L21" s="79">
        <f>(Input!L19*0.1/0.2634*1000)/1000</f>
        <v>53.720577069096429</v>
      </c>
      <c r="M21" s="79">
        <f>(Input!M19*0.1/0.2634*1000)/1000</f>
        <v>212.98405466970385</v>
      </c>
      <c r="N21" s="79">
        <f>(Input!N19*0.1/0.2634*1000)/1000</f>
        <v>0.14730447987851175</v>
      </c>
      <c r="O21" s="79">
        <f>(Input!O19*0.1/0.2634*1000)/1000</f>
        <v>2.1013667425968108</v>
      </c>
      <c r="P21" s="79">
        <f>(Input!P19*0.1/0.2634*1000)/1000</f>
        <v>15.690964312832193</v>
      </c>
      <c r="Q21" s="79">
        <f>(Input!Q19*0.1/0.2634*1000)/1000</f>
        <v>24.081245254365982</v>
      </c>
      <c r="R21" s="79">
        <f>(Input!R19*0.1/0.2634*1000)/1000</f>
        <v>0.42065299924069854</v>
      </c>
      <c r="S21" s="82">
        <v>1.2364999999999999</v>
      </c>
      <c r="T21" s="82">
        <v>1.33961</v>
      </c>
      <c r="U21" s="79">
        <f>(Input!U19*0.1/0.2634*1000)/1000</f>
        <v>-1.1769172361427487E-2</v>
      </c>
      <c r="V21" s="79">
        <f>(Input!V19*0.1/0.2634*1000)/1000</f>
        <v>2.3432042520880785</v>
      </c>
      <c r="W21" s="79">
        <f>(Input!W19*0.1/0.2634*1000)/1000</f>
        <v>8.2574031890660589</v>
      </c>
      <c r="X21" s="79">
        <f>(Input!X19*0.1/0.2634*1000)/1000</f>
        <v>82.156416097190586</v>
      </c>
      <c r="Y21" s="79">
        <f>(Input!Y19*0.1/0.2634*1000)/1000</f>
        <v>2.3158694001518602E-2</v>
      </c>
      <c r="Z21" s="79">
        <f>(Input!Z19*0.1/0.2634*1000)/1000</f>
        <v>0.20690964312832194</v>
      </c>
      <c r="AA21" s="79">
        <f>(Input!AA19*0.1/0.2634*1000)/1000</f>
        <v>3.796507213363705E-4</v>
      </c>
      <c r="AB21" s="79">
        <f>(Input!AB19*0.1/0.2634*1000)/1000</f>
        <v>1.8982536066818525E-3</v>
      </c>
      <c r="AC21" s="79">
        <f>(Input!AC19*0.1/0.2634*1000)/1000</f>
        <v>2.9233105542900529E-2</v>
      </c>
      <c r="AD21" s="79">
        <f>(Input!AD19*0.1/0.2634*1000)/1000</f>
        <v>9.1116173120728922E-2</v>
      </c>
      <c r="AE21" s="79">
        <f>(Input!AE19*0.1/0.2634*1000)/1000</f>
        <v>2.6955201214882304E-2</v>
      </c>
      <c r="AF21" s="82">
        <v>1.23445</v>
      </c>
      <c r="AG21" s="82">
        <v>1.3761099999999999</v>
      </c>
      <c r="AH21" s="79">
        <f>(Input!AH19*0.1/0.2634*1000)/1000</f>
        <v>7.1374335611237655E-2</v>
      </c>
      <c r="AI21" s="79">
        <f>(Input!AI19*0.1/0.2634*1000)/1000</f>
        <v>-1.4426727410782079E-2</v>
      </c>
      <c r="AJ21" s="79">
        <f>(Input!AJ19*0.1/0.2634*1000)/1000</f>
        <v>1.1389521640091116E-3</v>
      </c>
      <c r="AK21" s="79">
        <f>(Input!AK19*0.1/0.2634*1000)/1000</f>
        <v>8.4282460136674259E-2</v>
      </c>
      <c r="AL21" s="79">
        <f>(Input!AL19*0.1/0.2634*1000)/1000</f>
        <v>11.416097190584662</v>
      </c>
      <c r="AM21" s="79">
        <f>(Input!AM19*0.1/0.2634*1000)/1000</f>
        <v>5.315110098709188E-3</v>
      </c>
      <c r="AN21" s="79">
        <f>(Input!AN19*0.1/0.2634*1000)/1000</f>
        <v>2.8473804100227786E-2</v>
      </c>
      <c r="AO21" s="79">
        <f>(Input!AO19*0.1/0.2634*1000)/1000</f>
        <v>3.1131359149582385E-2</v>
      </c>
      <c r="AP21" s="79">
        <f>(Input!AP19*0.1/0.2634*1000)/1000</f>
        <v>3.1511009870918753E-2</v>
      </c>
      <c r="AQ21" s="79">
        <f>(Input!AQ19*0.1/0.2634*1000)/1000</f>
        <v>0</v>
      </c>
      <c r="AR21" s="79">
        <f>(Input!AR19*0.1/0.2634*1000)/1000</f>
        <v>3.796507213363705E-4</v>
      </c>
      <c r="AS21" s="79">
        <f>(Input!AS19*0.1/0.2634*1000)/1000</f>
        <v>2.657555049354594E-2</v>
      </c>
      <c r="AT21" s="79">
        <f>(Input!AT19*0.1/0.2634*1000)/1000</f>
        <v>4.5558086560364463E-3</v>
      </c>
      <c r="AU21" s="79">
        <f>(Input!AU19*0.1/0.2634*1000)/1000</f>
        <v>0.18526955201214881</v>
      </c>
      <c r="AV21" s="82">
        <v>1.1105499999999999</v>
      </c>
      <c r="AW21" s="82">
        <v>1.1222399999999999</v>
      </c>
      <c r="AX21" s="79">
        <f>(Input!AX19*0.1/0.2634*1000)/1000</f>
        <v>4.9354593773728167E-3</v>
      </c>
      <c r="BA21" s="79">
        <f>(Input!BA16*0.1/0.2634*1000)</f>
        <v>4202.7334851936212</v>
      </c>
    </row>
    <row r="22" spans="1:66" s="75" customFormat="1" ht="15.75" x14ac:dyDescent="0.25">
      <c r="A22" s="75" t="s">
        <v>119</v>
      </c>
      <c r="B22" s="79">
        <f>(Input!B20*0.1/0.1328*1000)/1000</f>
        <v>8.7725903614457827</v>
      </c>
      <c r="C22" s="79">
        <f>(Input!C20*0.1/0.1328*1000)/1000</f>
        <v>135.1656626506024</v>
      </c>
      <c r="D22" s="79">
        <f>(Input!D20*0.1/0.1328*1000)/1000</f>
        <v>2476.6566265060242</v>
      </c>
      <c r="E22" s="79">
        <f>(Input!E20*0.1/0.1328*1000)/1000</f>
        <v>622.36445783132535</v>
      </c>
      <c r="F22" s="79">
        <f>(Input!F20*0.1/0.1328*1000)/1000</f>
        <v>1036.1445783132529</v>
      </c>
      <c r="G22" s="79">
        <f>(Input!G20*0.1/0.1328*1000)/1000</f>
        <v>18757.530120481926</v>
      </c>
      <c r="H22" s="79">
        <f>(Input!H20*0.1/0.1328*1000)/1000</f>
        <v>20331.325301204819</v>
      </c>
      <c r="I22" s="79">
        <f>(Input!I20*0.1/0.1328*1000)/1000</f>
        <v>157.00301204819277</v>
      </c>
      <c r="J22" s="79">
        <f>(Input!J20*0.1/0.1328*1000)/1000</f>
        <v>2.8810240963855427</v>
      </c>
      <c r="K22" s="79">
        <f>(Input!K20*0.1/0.1328*1000)/1000</f>
        <v>1.9224397590361448</v>
      </c>
      <c r="L22" s="79">
        <f>(Input!L20*0.1/0.1328*1000)/1000</f>
        <v>87.650602409638552</v>
      </c>
      <c r="M22" s="79">
        <f>(Input!M20*0.1/0.1328*1000)/1000</f>
        <v>1218.3734939759038</v>
      </c>
      <c r="N22" s="79">
        <f>(Input!N20*0.1/0.1328*1000)/1000</f>
        <v>0.57003012048192769</v>
      </c>
      <c r="O22" s="79">
        <f>(Input!O20*0.1/0.1328*1000)/1000</f>
        <v>2.4909638554216866</v>
      </c>
      <c r="P22" s="79">
        <f>(Input!P20*0.1/0.1328*1000)/1000</f>
        <v>15.067771084337352</v>
      </c>
      <c r="Q22" s="79">
        <f>(Input!Q20*0.1/0.1328*1000)/1000</f>
        <v>13.320783132530121</v>
      </c>
      <c r="R22" s="79">
        <f>(Input!R20*0.1/0.1328*1000)/1000</f>
        <v>0.875</v>
      </c>
      <c r="S22" s="82">
        <v>1.3105500000000001</v>
      </c>
      <c r="T22" s="82">
        <v>1.4169799999999999</v>
      </c>
      <c r="U22" s="79">
        <f>(Input!U20*0.1/0.1328*1000)/1000</f>
        <v>0.13930722891566266</v>
      </c>
      <c r="V22" s="79">
        <f>(Input!V20*0.1/0.1328*1000)/1000</f>
        <v>1.1355421686746987</v>
      </c>
      <c r="W22" s="79">
        <f>(Input!W20*0.1/0.1328*1000)/1000</f>
        <v>4.3094879518072293</v>
      </c>
      <c r="X22" s="79">
        <f>(Input!X20*0.1/0.1328*1000)/1000</f>
        <v>80.722891566265062</v>
      </c>
      <c r="Y22" s="79">
        <f>(Input!Y20*0.1/0.1328*1000)/1000</f>
        <v>0.13704819277108435</v>
      </c>
      <c r="Z22" s="79">
        <f>(Input!Z20*0.1/0.1328*1000)/1000</f>
        <v>0.25527108433734946</v>
      </c>
      <c r="AA22" s="79">
        <f>(Input!AA20*0.1/0.1328*1000)/1000</f>
        <v>7.5301204819277112E-4</v>
      </c>
      <c r="AB22" s="79">
        <f>(Input!AB20*0.1/0.1328*1000)/1000</f>
        <v>2.259036144578314E-3</v>
      </c>
      <c r="AC22" s="79">
        <f>(Input!AC20*0.1/0.1328*1000)/1000</f>
        <v>3.0120481927710843E-2</v>
      </c>
      <c r="AD22" s="79">
        <f>(Input!AD20*0.1/0.1328*1000)/1000</f>
        <v>0.17545180722891568</v>
      </c>
      <c r="AE22" s="79">
        <f>(Input!AE20*0.1/0.1328*1000)/1000</f>
        <v>5.1957831325301213E-2</v>
      </c>
      <c r="AF22" s="82">
        <v>1.28047</v>
      </c>
      <c r="AG22" s="82">
        <v>1.4392</v>
      </c>
      <c r="AH22" s="79">
        <f>(Input!AH20*0.1/0.1328*1000)/1000</f>
        <v>0.14683734939759038</v>
      </c>
      <c r="AI22" s="79">
        <f>(Input!AI20*0.1/0.1328*1000)/1000</f>
        <v>-3.7650602409638554E-3</v>
      </c>
      <c r="AJ22" s="79">
        <f>(Input!AJ20*0.1/0.1328*1000)/1000</f>
        <v>1.5060240963855422E-3</v>
      </c>
      <c r="AK22" s="79">
        <f>(Input!AK20*0.1/0.1328*1000)/1000</f>
        <v>0.15963855421686746</v>
      </c>
      <c r="AL22" s="79">
        <f>(Input!AL20*0.1/0.1328*1000)/1000</f>
        <v>19.081325301204821</v>
      </c>
      <c r="AM22" s="79">
        <f>(Input!AM20*0.1/0.1328*1000)/1000</f>
        <v>2.6355421686746993E-2</v>
      </c>
      <c r="AN22" s="79">
        <f>(Input!AN20*0.1/0.1328*1000)/1000</f>
        <v>6.1746987951807233E-2</v>
      </c>
      <c r="AO22" s="79">
        <f>(Input!AO20*0.1/0.1328*1000)/1000</f>
        <v>6.0993975903614467E-2</v>
      </c>
      <c r="AP22" s="79">
        <f>(Input!AP20*0.1/0.1328*1000)/1000</f>
        <v>6.0993975903614467E-2</v>
      </c>
      <c r="AQ22" s="79">
        <f>(Input!AQ20*0.1/0.1328*1000)/1000</f>
        <v>0</v>
      </c>
      <c r="AR22" s="79">
        <f>(Input!AR20*0.1/0.1328*1000)/1000</f>
        <v>7.5301204819277112E-4</v>
      </c>
      <c r="AS22" s="79">
        <f>(Input!AS20*0.1/0.1328*1000)/1000</f>
        <v>0.21837349397590361</v>
      </c>
      <c r="AT22" s="79">
        <f>(Input!AT20*0.1/0.1328*1000)/1000</f>
        <v>1.0542168674698796E-2</v>
      </c>
      <c r="AU22" s="79">
        <f>(Input!AU20*0.1/0.1328*1000)/1000</f>
        <v>2.2010542168674698</v>
      </c>
      <c r="AV22" s="82">
        <v>1.1288100000000001</v>
      </c>
      <c r="AW22" s="82">
        <v>1.1653100000000001</v>
      </c>
      <c r="AX22" s="79">
        <f>(Input!AX20*0.1/0.1328*1000)/1000</f>
        <v>5.7228915662650599E-2</v>
      </c>
      <c r="BA22" s="79">
        <f>(Input!BA17*0.1/0.1328*1000)</f>
        <v>3697.2891566265066</v>
      </c>
    </row>
    <row r="23" spans="1:66" s="75" customFormat="1" ht="15.75" x14ac:dyDescent="0.25">
      <c r="A23" s="75" t="s">
        <v>57</v>
      </c>
      <c r="B23" s="79">
        <f>(Input!B21*0.1/0.111*1000)/1000</f>
        <v>2.7603603603603606</v>
      </c>
      <c r="C23" s="79">
        <f>(Input!C21*0.1/0.111*1000)/1000</f>
        <v>62.036036036036037</v>
      </c>
      <c r="D23" s="79">
        <f>(Input!D21*0.1/0.111*1000)/1000</f>
        <v>2441.4414414414414</v>
      </c>
      <c r="E23" s="79">
        <f>(Input!E21*0.1/0.111*1000)/1000</f>
        <v>232.0720720720721</v>
      </c>
      <c r="F23" s="79">
        <f>(Input!F21*0.1/0.111*1000)/1000</f>
        <v>1665.7657657657658</v>
      </c>
      <c r="G23" s="79">
        <f>(Input!G21*0.1/0.111*1000)/1000</f>
        <v>18918.91891891892</v>
      </c>
      <c r="H23" s="79">
        <f>(Input!H21*0.1/0.111*1000)/1000</f>
        <v>14333.333333333334</v>
      </c>
      <c r="I23" s="79">
        <f>(Input!I21*0.1/0.111*1000)/1000</f>
        <v>88.036036036036037</v>
      </c>
      <c r="J23" s="79">
        <f>(Input!J21*0.1/0.111*1000)/1000</f>
        <v>1.0324324324324323</v>
      </c>
      <c r="K23" s="79">
        <f>(Input!K21*0.1/0.111*1000)/1000</f>
        <v>0.90270270270270281</v>
      </c>
      <c r="L23" s="79">
        <f>(Input!L21*0.1/0.111*1000)/1000</f>
        <v>64.081081081081081</v>
      </c>
      <c r="M23" s="79">
        <f>(Input!M21*0.1/0.111*1000)/1000</f>
        <v>523.60360360360369</v>
      </c>
      <c r="N23" s="79">
        <f>(Input!N21*0.1/0.111*1000)/1000</f>
        <v>0.24594594594594599</v>
      </c>
      <c r="O23" s="79">
        <f>(Input!O21*0.1/0.111*1000)/1000</f>
        <v>1.9324324324324327</v>
      </c>
      <c r="P23" s="79">
        <f>(Input!P21*0.1/0.111*1000)/1000</f>
        <v>14.045045045045047</v>
      </c>
      <c r="Q23" s="79">
        <f>(Input!Q21*0.1/0.111*1000)/1000</f>
        <v>16.099099099099099</v>
      </c>
      <c r="R23" s="79">
        <f>(Input!R21*0.1/0.111*1000)/1000</f>
        <v>0.37567567567567567</v>
      </c>
      <c r="S23" s="82">
        <v>1.29898</v>
      </c>
      <c r="T23" s="82">
        <v>1.4055200000000001</v>
      </c>
      <c r="U23" s="79">
        <f>(Input!U21*0.1/0.111*1000)/1000</f>
        <v>0.16576576576576577</v>
      </c>
      <c r="V23" s="79">
        <f>(Input!V21*0.1/0.111*1000)/1000</f>
        <v>1.2693693693693693</v>
      </c>
      <c r="W23" s="79">
        <f>(Input!W21*0.1/0.111*1000)/1000</f>
        <v>9.1351351351351351</v>
      </c>
      <c r="X23" s="79">
        <f>(Input!X21*0.1/0.111*1000)/1000</f>
        <v>62.04504504504505</v>
      </c>
      <c r="Y23" s="79">
        <f>(Input!Y21*0.1/0.111*1000)/1000</f>
        <v>0.27117117117117118</v>
      </c>
      <c r="Z23" s="79">
        <f>(Input!Z21*0.1/0.111*1000)/1000</f>
        <v>1.0774774774774774</v>
      </c>
      <c r="AA23" s="79">
        <f>(Input!AA21*0.1/0.111*1000)/1000</f>
        <v>0</v>
      </c>
      <c r="AB23" s="79">
        <f>(Input!AB21*0.1/0.111*1000)/1000</f>
        <v>1.8018018018018018E-3</v>
      </c>
      <c r="AC23" s="79">
        <f>(Input!AC21*0.1/0.111*1000)/1000</f>
        <v>2.3423423423423424E-2</v>
      </c>
      <c r="AD23" s="79">
        <f>(Input!AD21*0.1/0.111*1000)/1000</f>
        <v>1.4639639639639639</v>
      </c>
      <c r="AE23" s="79">
        <f>(Input!AE21*0.1/0.111*1000)/1000</f>
        <v>3.0630630630630633E-2</v>
      </c>
      <c r="AF23" s="82">
        <v>1.27902</v>
      </c>
      <c r="AG23" s="82">
        <v>1.4457100000000001</v>
      </c>
      <c r="AH23" s="79">
        <f>(Input!AH21*0.1/0.111*1000)/1000</f>
        <v>9.3243243243243228</v>
      </c>
      <c r="AI23" s="79">
        <f>(Input!AI21*0.1/0.111*1000)/1000</f>
        <v>0</v>
      </c>
      <c r="AJ23" s="79">
        <f>(Input!AJ21*0.1/0.111*1000)/1000</f>
        <v>1.8018018018018018E-3</v>
      </c>
      <c r="AK23" s="79">
        <f>(Input!AK21*0.1/0.111*1000)/1000</f>
        <v>0.13963963963963963</v>
      </c>
      <c r="AL23" s="79">
        <f>(Input!AL21*0.1/0.111*1000)/1000</f>
        <v>8.3252252252252248</v>
      </c>
      <c r="AM23" s="79">
        <f>(Input!AM21*0.1/0.111*1000)/1000</f>
        <v>0.47927927927927932</v>
      </c>
      <c r="AN23" s="79">
        <f>(Input!AN21*0.1/0.111*1000)/1000</f>
        <v>5.3153153153153151E-2</v>
      </c>
      <c r="AO23" s="79">
        <f>(Input!AO21*0.1/0.111*1000)/1000</f>
        <v>6.8468468468468463E-2</v>
      </c>
      <c r="AP23" s="79">
        <f>(Input!AP21*0.1/0.111*1000)/1000</f>
        <v>6.8468468468468463E-2</v>
      </c>
      <c r="AQ23" s="79">
        <f>(Input!AQ21*0.1/0.111*1000)/1000</f>
        <v>1.8018018018018018E-3</v>
      </c>
      <c r="AR23" s="79">
        <f>(Input!AR21*0.1/0.111*1000)/1000</f>
        <v>5.4054054054054048E-3</v>
      </c>
      <c r="AS23" s="79">
        <f>(Input!AS21*0.1/0.111*1000)/1000</f>
        <v>8.468468468468468E-2</v>
      </c>
      <c r="AT23" s="79">
        <f>(Input!AT21*0.1/0.111*1000)/1000</f>
        <v>6.3063063063063069E-3</v>
      </c>
      <c r="AU23" s="79">
        <f>(Input!AU21*0.1/0.111*1000)/1000</f>
        <v>0.89639639639639646</v>
      </c>
      <c r="AV23" s="82">
        <v>1.1404000000000001</v>
      </c>
      <c r="AW23" s="82">
        <v>1.19529</v>
      </c>
      <c r="AX23" s="79">
        <f>(Input!AX21*0.1/0.111*1000)/1000</f>
        <v>1.8018018018018018E-2</v>
      </c>
      <c r="BA23" s="79">
        <f>(Input!BA18*0.1/0.111*1000)</f>
        <v>3409.0090090090093</v>
      </c>
    </row>
    <row r="24" spans="1:66" s="75" customFormat="1" ht="15.75" x14ac:dyDescent="0.25">
      <c r="A24" s="75" t="s">
        <v>120</v>
      </c>
      <c r="B24" s="79">
        <f>(Input!B22*0.1/0.2864*1000)/1000</f>
        <v>4.6438547486033528</v>
      </c>
      <c r="C24" s="79">
        <f>(Input!C22*0.1/0.2864*1000)/1000</f>
        <v>29.179469273743017</v>
      </c>
      <c r="D24" s="79">
        <f>(Input!D22*0.1/0.2864*1000)/1000</f>
        <v>1211.5921787709497</v>
      </c>
      <c r="E24" s="79">
        <f>(Input!E22*0.1/0.2864*1000)/1000</f>
        <v>227.61871508379889</v>
      </c>
      <c r="F24" s="79">
        <f>(Input!F22*0.1/0.2864*1000)/1000</f>
        <v>528.98044692737437</v>
      </c>
      <c r="G24" s="79">
        <f>(Input!G22*0.1/0.2864*1000)/1000</f>
        <v>10824.022346368716</v>
      </c>
      <c r="H24" s="79">
        <f>(Input!H22*0.1/0.2864*1000)/1000</f>
        <v>12957.402234636873</v>
      </c>
      <c r="I24" s="79">
        <f>(Input!I22*0.1/0.2864*1000)/1000</f>
        <v>85.824022346368707</v>
      </c>
      <c r="J24" s="79">
        <f>(Input!J22*0.1/0.2864*1000)/1000</f>
        <v>1.0597067039106147</v>
      </c>
      <c r="K24" s="79">
        <f>(Input!K22*0.1/0.2864*1000)/1000</f>
        <v>0.73568435754189954</v>
      </c>
      <c r="L24" s="79">
        <f>(Input!L22*0.1/0.2864*1000)/1000</f>
        <v>34.245810055865924</v>
      </c>
      <c r="M24" s="79">
        <f>(Input!M22*0.1/0.2864*1000)/1000</f>
        <v>447.27653631284915</v>
      </c>
      <c r="N24" s="79">
        <f>(Input!N22*0.1/0.2864*1000)/1000</f>
        <v>0.22695530726256985</v>
      </c>
      <c r="O24" s="79">
        <f>(Input!O22*0.1/0.2864*1000)/1000</f>
        <v>0.71089385474860334</v>
      </c>
      <c r="P24" s="79">
        <f>(Input!P22*0.1/0.2864*1000)/1000</f>
        <v>5.8414804469273749</v>
      </c>
      <c r="Q24" s="79">
        <f>(Input!Q22*0.1/0.2864*1000)/1000</f>
        <v>12.182262569832403</v>
      </c>
      <c r="R24" s="79">
        <f>(Input!R22*0.1/0.2864*1000)/1000</f>
        <v>0.33310055865921789</v>
      </c>
      <c r="S24" s="82">
        <v>1.31179</v>
      </c>
      <c r="T24" s="82">
        <v>1.43767</v>
      </c>
      <c r="U24" s="79">
        <f>(Input!U22*0.1/0.2864*1000)/1000</f>
        <v>2.2695530726256987E-2</v>
      </c>
      <c r="V24" s="79">
        <f>(Input!V22*0.1/0.2864*1000)/1000</f>
        <v>0.24231843575418996</v>
      </c>
      <c r="W24" s="79">
        <f>(Input!W22*0.1/0.2864*1000)/1000</f>
        <v>10.202513966480449</v>
      </c>
      <c r="X24" s="79">
        <f>(Input!X22*0.1/0.2864*1000)/1000</f>
        <v>35.754189944134083</v>
      </c>
      <c r="Y24" s="79">
        <f>(Input!Y22*0.1/0.2864*1000)/1000</f>
        <v>6.5293296089385486E-2</v>
      </c>
      <c r="Z24" s="79">
        <f>(Input!Z22*0.1/0.2864*1000)/1000</f>
        <v>0.2880586592178771</v>
      </c>
      <c r="AA24" s="79">
        <f>(Input!AA22*0.1/0.2864*1000)/1000</f>
        <v>3.4916201117318437E-4</v>
      </c>
      <c r="AB24" s="79">
        <f>(Input!AB22*0.1/0.2864*1000)/1000</f>
        <v>1.0474860335195533E-3</v>
      </c>
      <c r="AC24" s="79">
        <f>(Input!AC22*0.1/0.2864*1000)/1000</f>
        <v>1.2569832402234639E-2</v>
      </c>
      <c r="AD24" s="79">
        <f>(Input!AD22*0.1/0.2864*1000)/1000</f>
        <v>0.111731843575419</v>
      </c>
      <c r="AE24" s="79">
        <f>(Input!AE22*0.1/0.2864*1000)/1000</f>
        <v>1.6759776536312852E-2</v>
      </c>
      <c r="AF24" s="82">
        <v>1.2785500000000001</v>
      </c>
      <c r="AG24" s="82">
        <v>1.4583999999999999</v>
      </c>
      <c r="AH24" s="79">
        <f>(Input!AH22*0.1/0.2864*1000)/1000</f>
        <v>0.16340782122905032</v>
      </c>
      <c r="AI24" s="79">
        <f>(Input!AI22*0.1/0.2864*1000)/1000</f>
        <v>2.444134078212291E-3</v>
      </c>
      <c r="AJ24" s="79">
        <f>(Input!AJ22*0.1/0.2864*1000)/1000</f>
        <v>1.7458100558659219E-3</v>
      </c>
      <c r="AK24" s="79">
        <f>(Input!AK22*0.1/0.2864*1000)/1000</f>
        <v>0.15572625698324022</v>
      </c>
      <c r="AL24" s="79">
        <f>(Input!AL22*0.1/0.2864*1000)/1000</f>
        <v>7.175279329608939</v>
      </c>
      <c r="AM24" s="79">
        <f>(Input!AM22*0.1/0.2864*1000)/1000</f>
        <v>1.8505586592178772E-2</v>
      </c>
      <c r="AN24" s="79">
        <f>(Input!AN22*0.1/0.2864*1000)/1000</f>
        <v>2.7234636871508382E-2</v>
      </c>
      <c r="AO24" s="79">
        <f>(Input!AO22*0.1/0.2864*1000)/1000</f>
        <v>2.793296089385475E-2</v>
      </c>
      <c r="AP24" s="79">
        <f>(Input!AP22*0.1/0.2864*1000)/1000</f>
        <v>2.793296089385475E-2</v>
      </c>
      <c r="AQ24" s="79">
        <f>(Input!AQ22*0.1/0.2864*1000)/1000</f>
        <v>0</v>
      </c>
      <c r="AR24" s="79">
        <f>(Input!AR22*0.1/0.2864*1000)/1000</f>
        <v>3.4916201117318437E-4</v>
      </c>
      <c r="AS24" s="79">
        <f>(Input!AS22*0.1/0.2864*1000)/1000</f>
        <v>6.4944134078212298E-2</v>
      </c>
      <c r="AT24" s="79">
        <f>(Input!AT22*0.1/0.2864*1000)/1000</f>
        <v>6.6340782122905027E-3</v>
      </c>
      <c r="AU24" s="79">
        <f>(Input!AU22*0.1/0.2864*1000)/1000</f>
        <v>0.87814245810055869</v>
      </c>
      <c r="AV24" s="82">
        <v>1.11263</v>
      </c>
      <c r="AW24" s="82">
        <v>1.1724300000000001</v>
      </c>
      <c r="AX24" s="79">
        <f>(Input!AX22*0.1/0.2864*1000)/1000</f>
        <v>2.23463687150838E-2</v>
      </c>
      <c r="BA24" s="79">
        <f>(Input!BA19*0.1/0.2864*1000)</f>
        <v>2251.3966480446929</v>
      </c>
    </row>
    <row r="25" spans="1:66" s="75" customFormat="1" ht="15.75" x14ac:dyDescent="0.25">
      <c r="A25" s="75" t="s">
        <v>58</v>
      </c>
      <c r="B25" s="79">
        <f>(Input!B23*0.1/0.2529*1000)/1000</f>
        <v>3.8362989323843415</v>
      </c>
      <c r="C25" s="79">
        <f>(Input!C23*0.1/0.2529*1000)/1000</f>
        <v>141.12297350731512</v>
      </c>
      <c r="D25" s="79">
        <f>(Input!D23*0.1/0.2529*1000)/1000</f>
        <v>2629.8932384341638</v>
      </c>
      <c r="E25" s="79">
        <f>(Input!E23*0.1/0.2529*1000)/1000</f>
        <v>94.661921708185048</v>
      </c>
      <c r="F25" s="79">
        <f>(Input!F23*0.1/0.2529*1000)/1000</f>
        <v>3025.7018584420721</v>
      </c>
      <c r="G25" s="79">
        <f>(Input!G23*0.1/0.2529*1000)/1000</f>
        <v>23254.250691973109</v>
      </c>
      <c r="H25" s="79">
        <f>(Input!H23*0.1/0.2529*1000)/1000</f>
        <v>21810.992487149069</v>
      </c>
      <c r="I25" s="79">
        <f>(Input!I23*0.1/0.2529*1000)/1000</f>
        <v>108.4618426255437</v>
      </c>
      <c r="J25" s="79">
        <f>(Input!J23*0.1/0.2529*1000)/1000</f>
        <v>0.42348754448398573</v>
      </c>
      <c r="K25" s="79">
        <f>(Input!K23*0.1/0.2529*1000)/1000</f>
        <v>0.35745353894820087</v>
      </c>
      <c r="L25" s="79">
        <f>(Input!L23*0.1/0.2529*1000)/1000</f>
        <v>52.748121787267699</v>
      </c>
      <c r="M25" s="79">
        <f>(Input!M23*0.1/0.2529*1000)/1000</f>
        <v>227.32305258995649</v>
      </c>
      <c r="N25" s="79">
        <f>(Input!N23*0.1/0.2529*1000)/1000</f>
        <v>0.24673784104389088</v>
      </c>
      <c r="O25" s="79">
        <f>(Input!O23*0.1/0.2529*1000)/1000</f>
        <v>2.0304468169236851</v>
      </c>
      <c r="P25" s="79">
        <f>(Input!P23*0.1/0.2529*1000)/1000</f>
        <v>10.316330565440886</v>
      </c>
      <c r="Q25" s="79">
        <f>(Input!Q23*0.1/0.2529*1000)/1000</f>
        <v>12.51087386318703</v>
      </c>
      <c r="R25" s="79">
        <f>(Input!R23*0.1/0.2529*1000)/1000</f>
        <v>0.95175958877026501</v>
      </c>
      <c r="S25" s="82">
        <v>1.2904599999999999</v>
      </c>
      <c r="T25" s="82">
        <v>1.4189400000000001</v>
      </c>
      <c r="U25" s="79">
        <f>(Input!U23*0.1/0.2529*1000)/1000</f>
        <v>-2.2143139580862007E-2</v>
      </c>
      <c r="V25" s="79">
        <f>(Input!V23*0.1/0.2529*1000)/1000</f>
        <v>0.71451166468960059</v>
      </c>
      <c r="W25" s="79">
        <f>(Input!W23*0.1/0.2529*1000)/1000</f>
        <v>5.6030051403716881</v>
      </c>
      <c r="X25" s="79">
        <f>(Input!X23*0.1/0.2529*1000)/1000</f>
        <v>120.16607354685647</v>
      </c>
      <c r="Y25" s="79">
        <f>(Input!Y23*0.1/0.2529*1000)/1000</f>
        <v>4.0332147093712932E-2</v>
      </c>
      <c r="Z25" s="79">
        <f>(Input!Z23*0.1/0.2529*1000)/1000</f>
        <v>0.60814551206010281</v>
      </c>
      <c r="AA25" s="79">
        <f>(Input!AA23*0.1/0.2529*1000)/1000</f>
        <v>7.9082641360221433E-4</v>
      </c>
      <c r="AB25" s="79">
        <f>(Input!AB23*0.1/0.2529*1000)/1000</f>
        <v>2.7678924476077509E-3</v>
      </c>
      <c r="AC25" s="79">
        <f>(Input!AC23*0.1/0.2529*1000)/1000</f>
        <v>4.2704626334519574E-2</v>
      </c>
      <c r="AD25" s="79">
        <f>(Input!AD23*0.1/0.2529*1000)/1000</f>
        <v>0.12771846579675761</v>
      </c>
      <c r="AE25" s="79">
        <f>(Input!AE23*0.1/0.2529*1000)/1000</f>
        <v>7.2360616844602613E-2</v>
      </c>
      <c r="AF25" s="82">
        <v>1.26003</v>
      </c>
      <c r="AG25" s="82">
        <v>1.4426300000000001</v>
      </c>
      <c r="AH25" s="79">
        <f>(Input!AH23*0.1/0.2529*1000)/1000</f>
        <v>8.1059707394226965E-2</v>
      </c>
      <c r="AI25" s="79">
        <f>(Input!AI23*0.1/0.2529*1000)/1000</f>
        <v>-1.9770660340055361E-2</v>
      </c>
      <c r="AJ25" s="79">
        <f>(Input!AJ23*0.1/0.2529*1000)/1000</f>
        <v>7.9082641360221433E-4</v>
      </c>
      <c r="AK25" s="79">
        <f>(Input!AK23*0.1/0.2529*1000)/1000</f>
        <v>5.0612890470541717E-2</v>
      </c>
      <c r="AL25" s="79">
        <f>(Input!AL23*0.1/0.2529*1000)/1000</f>
        <v>25.678133649663895</v>
      </c>
      <c r="AM25" s="79">
        <f>(Input!AM23*0.1/0.2529*1000)/1000</f>
        <v>6.3266113088177147E-3</v>
      </c>
      <c r="AN25" s="79">
        <f>(Input!AN23*0.1/0.2529*1000)/1000</f>
        <v>5.219454329774615E-2</v>
      </c>
      <c r="AO25" s="79">
        <f>(Input!AO23*0.1/0.2529*1000)/1000</f>
        <v>7.2756030051403714E-2</v>
      </c>
      <c r="AP25" s="79">
        <f>(Input!AP23*0.1/0.2529*1000)/1000</f>
        <v>7.1965203637801498E-2</v>
      </c>
      <c r="AQ25" s="79">
        <f>(Input!AQ23*0.1/0.2529*1000)/1000</f>
        <v>0</v>
      </c>
      <c r="AR25" s="79">
        <f>(Input!AR23*0.1/0.2529*1000)/1000</f>
        <v>3.9541320680110717E-4</v>
      </c>
      <c r="AS25" s="79">
        <f>(Input!AS23*0.1/0.2529*1000)/1000</f>
        <v>8.2641360221431398E-2</v>
      </c>
      <c r="AT25" s="79">
        <f>(Input!AT23*0.1/0.2529*1000)/1000</f>
        <v>5.5357848952155017E-3</v>
      </c>
      <c r="AU25" s="79">
        <f>(Input!AU23*0.1/0.2529*1000)/1000</f>
        <v>0.16291024120205613</v>
      </c>
      <c r="AV25" s="82">
        <v>1.1029500000000001</v>
      </c>
      <c r="AW25" s="82">
        <v>1.15401</v>
      </c>
      <c r="AX25" s="79">
        <f>(Input!AX23*0.1/0.2529*1000)/1000</f>
        <v>1.0280743376828785E-2</v>
      </c>
      <c r="BA25" s="79">
        <f>(Input!BA21*0.1/0.2529*1000)</f>
        <v>5871.8861209964416</v>
      </c>
    </row>
    <row r="26" spans="1:66" s="75" customFormat="1" ht="15.75" x14ac:dyDescent="0.25">
      <c r="A26" s="75" t="s">
        <v>59</v>
      </c>
      <c r="B26" s="79">
        <f>(Input!B24*0.1/0.1939*1000)/1000</f>
        <v>3.7343991748323879</v>
      </c>
      <c r="C26" s="79">
        <f>(Input!C24*0.1/0.1939*1000)/1000</f>
        <v>52.398143372872617</v>
      </c>
      <c r="D26" s="79">
        <f>(Input!D24*0.1/0.1939*1000)/1000</f>
        <v>2303.7648272305314</v>
      </c>
      <c r="E26" s="79">
        <f>(Input!E24*0.1/0.1939*1000)/1000</f>
        <v>142.59927797833936</v>
      </c>
      <c r="F26" s="79">
        <f>(Input!F24*0.1/0.1939*1000)/1000</f>
        <v>1860.7529654461064</v>
      </c>
      <c r="G26" s="79">
        <f>(Input!G24*0.1/0.1939*1000)/1000</f>
        <v>22738.525012893246</v>
      </c>
      <c r="H26" s="79">
        <f>(Input!H24*0.1/0.1939*1000)/1000</f>
        <v>13053.120165033522</v>
      </c>
      <c r="I26" s="79">
        <f>(Input!I24*0.1/0.1939*1000)/1000</f>
        <v>72.769468798349664</v>
      </c>
      <c r="J26" s="79">
        <f>(Input!J24*0.1/0.1939*1000)/1000</f>
        <v>0.68953068592057776</v>
      </c>
      <c r="K26" s="79">
        <f>(Input!K24*0.1/0.1939*1000)/1000</f>
        <v>0.51211964930376486</v>
      </c>
      <c r="L26" s="79">
        <f>(Input!L24*0.1/0.1939*1000)/1000</f>
        <v>47.457452294997424</v>
      </c>
      <c r="M26" s="79">
        <f>(Input!M24*0.1/0.1939*1000)/1000</f>
        <v>330.63434760185663</v>
      </c>
      <c r="N26" s="79">
        <f>(Input!N24*0.1/0.1939*1000)/1000</f>
        <v>0.20474471376998457</v>
      </c>
      <c r="O26" s="79">
        <f>(Input!O24*0.1/0.1939*1000)/1000</f>
        <v>1.0201134605466735</v>
      </c>
      <c r="P26" s="79">
        <f>(Input!P24*0.1/0.1939*1000)/1000</f>
        <v>8.0711707065497684</v>
      </c>
      <c r="Q26" s="79">
        <f>(Input!Q24*0.1/0.1939*1000)/1000</f>
        <v>9.1748323878287774</v>
      </c>
      <c r="R26" s="79">
        <f>(Input!R24*0.1/0.1939*1000)/1000</f>
        <v>0.4265085095410005</v>
      </c>
      <c r="S26" s="82">
        <v>1.31501</v>
      </c>
      <c r="T26" s="82">
        <v>1.4370099999999999</v>
      </c>
      <c r="U26" s="79">
        <f>(Input!U24*0.1/0.1939*1000)/1000</f>
        <v>-4.0742650850954104E-2</v>
      </c>
      <c r="V26" s="79">
        <f>(Input!V24*0.1/0.1939*1000)/1000</f>
        <v>1.9066529138731307</v>
      </c>
      <c r="W26" s="79">
        <f>(Input!W24*0.1/0.1939*1000)/1000</f>
        <v>6.0495100567302735</v>
      </c>
      <c r="X26" s="79">
        <f>(Input!X24*0.1/0.1939*1000)/1000</f>
        <v>82.516761217122237</v>
      </c>
      <c r="Y26" s="79">
        <f>(Input!Y24*0.1/0.1939*1000)/1000</f>
        <v>3.7648272305312022E-2</v>
      </c>
      <c r="Z26" s="79">
        <f>(Input!Z24*0.1/0.1939*1000)/1000</f>
        <v>0.54718927282104179</v>
      </c>
      <c r="AA26" s="79">
        <f>(Input!AA24*0.1/0.1939*1000)/1000</f>
        <v>5.1572975760701394E-4</v>
      </c>
      <c r="AB26" s="79">
        <f>(Input!AB24*0.1/0.1939*1000)/1000</f>
        <v>2.0629190304280558E-3</v>
      </c>
      <c r="AC26" s="79">
        <f>(Input!AC24*0.1/0.1939*1000)/1000</f>
        <v>2.8880866425992784E-2</v>
      </c>
      <c r="AD26" s="79">
        <f>(Input!AD24*0.1/0.1939*1000)/1000</f>
        <v>0.13563692625064469</v>
      </c>
      <c r="AE26" s="79">
        <f>(Input!AE24*0.1/0.1939*1000)/1000</f>
        <v>2.6817947395564725E-2</v>
      </c>
      <c r="AF26" s="82">
        <v>1.30261</v>
      </c>
      <c r="AG26" s="82">
        <v>1.4855499999999999</v>
      </c>
      <c r="AH26" s="79">
        <f>(Input!AH24*0.1/0.1939*1000)/1000</f>
        <v>2.0629190304280558E-3</v>
      </c>
      <c r="AI26" s="79">
        <f>(Input!AI24*0.1/0.1939*1000)/1000</f>
        <v>-3.9711191335740074E-2</v>
      </c>
      <c r="AJ26" s="79">
        <f>(Input!AJ24*0.1/0.1939*1000)/1000</f>
        <v>0</v>
      </c>
      <c r="AK26" s="79">
        <f>(Input!AK24*0.1/0.1939*1000)/1000</f>
        <v>7.8906652913873138E-2</v>
      </c>
      <c r="AL26" s="79">
        <f>(Input!AL24*0.1/0.1939*1000)/1000</f>
        <v>10.309437854564209</v>
      </c>
      <c r="AM26" s="79">
        <f>(Input!AM24*0.1/0.1939*1000)/1000</f>
        <v>6.1887570912841682E-3</v>
      </c>
      <c r="AN26" s="79">
        <f>(Input!AN24*0.1/0.1939*1000)/1000</f>
        <v>4.3321299638989182E-2</v>
      </c>
      <c r="AO26" s="79">
        <f>(Input!AO24*0.1/0.1939*1000)/1000</f>
        <v>8.5611139762764313E-2</v>
      </c>
      <c r="AP26" s="79">
        <f>(Input!AP24*0.1/0.1939*1000)/1000</f>
        <v>8.5095410005157301E-2</v>
      </c>
      <c r="AQ26" s="79">
        <f>(Input!AQ24*0.1/0.1939*1000)/1000</f>
        <v>0</v>
      </c>
      <c r="AR26" s="79">
        <f>(Input!AR24*0.1/0.1939*1000)/1000</f>
        <v>0</v>
      </c>
      <c r="AS26" s="79">
        <f>(Input!AS24*0.1/0.1939*1000)/1000</f>
        <v>2.7849406910778755E-2</v>
      </c>
      <c r="AT26" s="79">
        <f>(Input!AT24*0.1/0.1939*1000)/1000</f>
        <v>6.1887570912841682E-3</v>
      </c>
      <c r="AU26" s="79">
        <f>(Input!AU24*0.1/0.1939*1000)/1000</f>
        <v>0.19752449716348636</v>
      </c>
      <c r="AV26" s="82">
        <v>1.1505700000000001</v>
      </c>
      <c r="AW26" s="82">
        <v>1.2057100000000001</v>
      </c>
      <c r="AX26" s="79">
        <f>(Input!AX24*0.1/0.1939*1000)/1000</f>
        <v>1.0314595152140279E-2</v>
      </c>
      <c r="BA26" s="79">
        <f>(Input!BA22*0.1/0.1939*1000)</f>
        <v>3776.6890149561636</v>
      </c>
    </row>
    <row r="27" spans="1:66" s="75" customFormat="1" ht="15.75" x14ac:dyDescent="0.25">
      <c r="A27" s="75" t="s">
        <v>121</v>
      </c>
      <c r="B27" s="79">
        <f>(Input!B25*0.1/0.1903*1000)/1000</f>
        <v>5.1413557540725181</v>
      </c>
      <c r="C27" s="79">
        <f>(Input!C25*0.1/0.1903*1000)/1000</f>
        <v>96.426694692590658</v>
      </c>
      <c r="D27" s="79">
        <f>(Input!D25*0.1/0.1903*1000)/1000</f>
        <v>2113.5049921177092</v>
      </c>
      <c r="E27" s="79">
        <f>(Input!E25*0.1/0.1903*1000)/1000</f>
        <v>139.51655281135049</v>
      </c>
      <c r="F27" s="79">
        <f>(Input!F25*0.1/0.1903*1000)/1000</f>
        <v>2207.0415133998949</v>
      </c>
      <c r="G27" s="79">
        <f>(Input!G25*0.1/0.1903*1000)/1000</f>
        <v>23552.285864424593</v>
      </c>
      <c r="H27" s="79">
        <f>(Input!H25*0.1/0.1903*1000)/1000</f>
        <v>14272.201786652653</v>
      </c>
      <c r="I27" s="79">
        <f>(Input!I25*0.1/0.1903*1000)/1000</f>
        <v>73.778244876510783</v>
      </c>
      <c r="J27" s="79">
        <f>(Input!J25*0.1/0.1903*1000)/1000</f>
        <v>0.68996321597477672</v>
      </c>
      <c r="K27" s="79">
        <f>(Input!K25*0.1/0.1903*1000)/1000</f>
        <v>0.69101418812401472</v>
      </c>
      <c r="L27" s="79">
        <f>(Input!L25*0.1/0.1903*1000)/1000</f>
        <v>58.90698896479244</v>
      </c>
      <c r="M27" s="79">
        <f>(Input!M25*0.1/0.1903*1000)/1000</f>
        <v>302.41723594324753</v>
      </c>
      <c r="N27" s="79">
        <f>(Input!N25*0.1/0.1903*1000)/1000</f>
        <v>0.26852338413032056</v>
      </c>
      <c r="O27" s="79">
        <f>(Input!O25*0.1/0.1903*1000)/1000</f>
        <v>2.6510772464529695</v>
      </c>
      <c r="P27" s="79">
        <f>(Input!P25*0.1/0.1903*1000)/1000</f>
        <v>11.650026274303732</v>
      </c>
      <c r="Q27" s="79">
        <f>(Input!Q25*0.1/0.1903*1000)/1000</f>
        <v>7.1203363110877573</v>
      </c>
      <c r="R27" s="79">
        <f>(Input!R25*0.1/0.1903*1000)/1000</f>
        <v>0.60483447188649508</v>
      </c>
      <c r="S27" s="82">
        <v>1.2980499999999999</v>
      </c>
      <c r="T27" s="82">
        <v>1.42591</v>
      </c>
      <c r="U27" s="79">
        <f>(Input!U25*0.1/0.1903*1000)/1000</f>
        <v>-4.7819232790331061E-2</v>
      </c>
      <c r="V27" s="79">
        <f>(Input!V25*0.1/0.1903*1000)/1000</f>
        <v>2.7766684182869152</v>
      </c>
      <c r="W27" s="79">
        <f>(Input!W25*0.1/0.1903*1000)/1000</f>
        <v>9.2065160273252769</v>
      </c>
      <c r="X27" s="79">
        <f>(Input!X25*0.1/0.1903*1000)/1000</f>
        <v>90.383604834471882</v>
      </c>
      <c r="Y27" s="79">
        <f>(Input!Y25*0.1/0.1903*1000)/1000</f>
        <v>2.6274303730951135E-2</v>
      </c>
      <c r="Z27" s="79">
        <f>(Input!Z25*0.1/0.1903*1000)/1000</f>
        <v>0.25538623226484503</v>
      </c>
      <c r="AA27" s="79">
        <f>(Input!AA25*0.1/0.1903*1000)/1000</f>
        <v>5.2548607461902247E-4</v>
      </c>
      <c r="AB27" s="79">
        <f>(Input!AB25*0.1/0.1903*1000)/1000</f>
        <v>2.1019442984760899E-3</v>
      </c>
      <c r="AC27" s="79">
        <f>(Input!AC25*0.1/0.1903*1000)/1000</f>
        <v>3.2054650551760377E-2</v>
      </c>
      <c r="AD27" s="79">
        <f>(Input!AD25*0.1/0.1903*1000)/1000</f>
        <v>0.31897004729374673</v>
      </c>
      <c r="AE27" s="79">
        <f>(Input!AE25*0.1/0.1903*1000)/1000</f>
        <v>3.6258539148712562E-2</v>
      </c>
      <c r="AF27" s="82">
        <v>1.2956099999999999</v>
      </c>
      <c r="AG27" s="82">
        <v>1.48255</v>
      </c>
      <c r="AH27" s="79">
        <f>(Input!AH25*0.1/0.1903*1000)/1000</f>
        <v>4.046242774566474E-2</v>
      </c>
      <c r="AI27" s="79">
        <f>(Input!AI25*0.1/0.1903*1000)/1000</f>
        <v>-3.5733053074093538E-2</v>
      </c>
      <c r="AJ27" s="79">
        <f>(Input!AJ25*0.1/0.1903*1000)/1000</f>
        <v>1.0509721492380449E-3</v>
      </c>
      <c r="AK27" s="79">
        <f>(Input!AK25*0.1/0.1903*1000)/1000</f>
        <v>7.6195480819758271E-2</v>
      </c>
      <c r="AL27" s="79">
        <f>(Input!AL25*0.1/0.1903*1000)/1000</f>
        <v>15.207566999474516</v>
      </c>
      <c r="AM27" s="79">
        <f>(Input!AM25*0.1/0.1903*1000)/1000</f>
        <v>5.7803468208092491E-3</v>
      </c>
      <c r="AN27" s="79">
        <f>(Input!AN25*0.1/0.1903*1000)/1000</f>
        <v>2.7850761954808199E-2</v>
      </c>
      <c r="AO27" s="79">
        <f>(Input!AO25*0.1/0.1903*1000)/1000</f>
        <v>5.6227009984235424E-2</v>
      </c>
      <c r="AP27" s="79">
        <f>(Input!AP25*0.1/0.1903*1000)/1000</f>
        <v>5.6752496058854442E-2</v>
      </c>
      <c r="AQ27" s="79">
        <f>(Input!AQ25*0.1/0.1903*1000)/1000</f>
        <v>0</v>
      </c>
      <c r="AR27" s="79">
        <f>(Input!AR25*0.1/0.1903*1000)/1000</f>
        <v>0</v>
      </c>
      <c r="AS27" s="79">
        <f>(Input!AS25*0.1/0.1903*1000)/1000</f>
        <v>6.2532842879663694E-2</v>
      </c>
      <c r="AT27" s="79">
        <f>(Input!AT25*0.1/0.1903*1000)/1000</f>
        <v>4.2038885969521798E-3</v>
      </c>
      <c r="AU27" s="79">
        <f>(Input!AU25*0.1/0.1903*1000)/1000</f>
        <v>0.50446663163426175</v>
      </c>
      <c r="AV27" s="82">
        <v>1.16107</v>
      </c>
      <c r="AW27" s="82">
        <v>1.2093799999999999</v>
      </c>
      <c r="AX27" s="79">
        <f>(Input!AX25*0.1/0.1903*1000)/1000</f>
        <v>8.9332632685233844E-3</v>
      </c>
      <c r="BA27" s="79">
        <f>(Input!BA23*0.1/0.1903*1000)</f>
        <v>3452.4435102469788</v>
      </c>
    </row>
    <row r="28" spans="1:66" s="75" customFormat="1" ht="15.75" x14ac:dyDescent="0.25">
      <c r="A28" s="75" t="s">
        <v>122</v>
      </c>
      <c r="B28" s="79">
        <f>(Input!B26*0.1/0.1095*1000)/1000</f>
        <v>4.2922374429223744</v>
      </c>
      <c r="C28" s="79">
        <f>(Input!C26*0.1/0.1095*1000)/1000</f>
        <v>130.68493150684932</v>
      </c>
      <c r="D28" s="79">
        <f>(Input!D26*0.1/0.1095*1000)/1000</f>
        <v>1977.1689497716895</v>
      </c>
      <c r="E28" s="79">
        <f>(Input!E26*0.1/0.1095*1000)/1000</f>
        <v>215.06849315068493</v>
      </c>
      <c r="F28" s="79">
        <f>(Input!F26*0.1/0.1095*1000)/1000</f>
        <v>1775.3424657534247</v>
      </c>
      <c r="G28" s="79">
        <f>(Input!G26*0.1/0.1095*1000)/1000</f>
        <v>23579.908675799088</v>
      </c>
      <c r="H28" s="79">
        <f>(Input!H26*0.1/0.1095*1000)/1000</f>
        <v>14648.401826484018</v>
      </c>
      <c r="I28" s="79">
        <f>(Input!I26*0.1/0.1095*1000)/1000</f>
        <v>85.086757990867582</v>
      </c>
      <c r="J28" s="79">
        <f>(Input!J26*0.1/0.1095*1000)/1000</f>
        <v>1.3406392694063929</v>
      </c>
      <c r="K28" s="79">
        <f>(Input!K26*0.1/0.1095*1000)/1000</f>
        <v>1.1004566210045663</v>
      </c>
      <c r="L28" s="79">
        <f>(Input!L26*0.1/0.1095*1000)/1000</f>
        <v>66.429223744292244</v>
      </c>
      <c r="M28" s="79">
        <f>(Input!M26*0.1/0.1095*1000)/1000</f>
        <v>568.94977168949777</v>
      </c>
      <c r="N28" s="79">
        <f>(Input!N26*0.1/0.1095*1000)/1000</f>
        <v>0.33150684931506846</v>
      </c>
      <c r="O28" s="79">
        <f>(Input!O26*0.1/0.1095*1000)/1000</f>
        <v>2.6684931506849314</v>
      </c>
      <c r="P28" s="79">
        <f>(Input!P26*0.1/0.1095*1000)/1000</f>
        <v>8.5388127853881279</v>
      </c>
      <c r="Q28" s="79">
        <f>(Input!Q26*0.1/0.1095*1000)/1000</f>
        <v>7.3671232876712338</v>
      </c>
      <c r="R28" s="79">
        <f>(Input!R26*0.1/0.1095*1000)/1000</f>
        <v>0.53150684931506853</v>
      </c>
      <c r="S28" s="82">
        <v>1.2985899999999999</v>
      </c>
      <c r="T28" s="82">
        <v>1.41465</v>
      </c>
      <c r="U28" s="79">
        <f>(Input!U26*0.1/0.1095*1000)/1000</f>
        <v>-0.11963470319634703</v>
      </c>
      <c r="V28" s="79">
        <f>(Input!V26*0.1/0.1095*1000)/1000</f>
        <v>1.4584474885844749</v>
      </c>
      <c r="W28" s="79">
        <f>(Input!W26*0.1/0.1095*1000)/1000</f>
        <v>9.4977168949771684</v>
      </c>
      <c r="X28" s="79">
        <f>(Input!X26*0.1/0.1095*1000)/1000</f>
        <v>63.305936073059357</v>
      </c>
      <c r="Y28" s="79">
        <f>(Input!Y26*0.1/0.1095*1000)/1000</f>
        <v>5.2968036529680365E-2</v>
      </c>
      <c r="Z28" s="79">
        <f>(Input!Z26*0.1/0.1095*1000)/1000</f>
        <v>0.22465753424657534</v>
      </c>
      <c r="AA28" s="79">
        <f>(Input!AA26*0.1/0.1095*1000)/1000</f>
        <v>9.1324200913242017E-4</v>
      </c>
      <c r="AB28" s="79">
        <f>(Input!AB26*0.1/0.1095*1000)/1000</f>
        <v>1.8264840182648403E-3</v>
      </c>
      <c r="AC28" s="79">
        <f>(Input!AC26*0.1/0.1095*1000)/1000</f>
        <v>2.2831050228310508E-2</v>
      </c>
      <c r="AD28" s="79">
        <f>(Input!AD26*0.1/0.1095*1000)/1000</f>
        <v>0.21826484018264841</v>
      </c>
      <c r="AE28" s="79">
        <f>(Input!AE26*0.1/0.1095*1000)/1000</f>
        <v>2.1917808219178086E-2</v>
      </c>
      <c r="AF28" s="82">
        <v>1.3129900000000001</v>
      </c>
      <c r="AG28" s="82">
        <v>1.4858100000000001</v>
      </c>
      <c r="AH28" s="79">
        <f>(Input!AH26*0.1/0.1095*1000)/1000</f>
        <v>9.0410958904109592E-2</v>
      </c>
      <c r="AI28" s="79">
        <f>(Input!AI26*0.1/0.1095*1000)/1000</f>
        <v>-7.0319634703196354E-2</v>
      </c>
      <c r="AJ28" s="79">
        <f>(Input!AJ26*0.1/0.1095*1000)/1000</f>
        <v>9.1324200913242017E-4</v>
      </c>
      <c r="AK28" s="79">
        <f>(Input!AK26*0.1/0.1095*1000)/1000</f>
        <v>0.11598173515981736</v>
      </c>
      <c r="AL28" s="79">
        <f>(Input!AL26*0.1/0.1095*1000)/1000</f>
        <v>13.004566210045663</v>
      </c>
      <c r="AM28" s="79">
        <f>(Input!AM26*0.1/0.1095*1000)/1000</f>
        <v>1.187214611872146E-2</v>
      </c>
      <c r="AN28" s="79">
        <f>(Input!AN26*0.1/0.1095*1000)/1000</f>
        <v>3.0136986301369868E-2</v>
      </c>
      <c r="AO28" s="79">
        <f>(Input!AO26*0.1/0.1095*1000)/1000</f>
        <v>4.474885844748859E-2</v>
      </c>
      <c r="AP28" s="79">
        <f>(Input!AP26*0.1/0.1095*1000)/1000</f>
        <v>4.474885844748859E-2</v>
      </c>
      <c r="AQ28" s="79">
        <f>(Input!AQ26*0.1/0.1095*1000)/1000</f>
        <v>0</v>
      </c>
      <c r="AR28" s="79">
        <f>(Input!AR26*0.1/0.1095*1000)/1000</f>
        <v>0</v>
      </c>
      <c r="AS28" s="79">
        <f>(Input!AS26*0.1/0.1095*1000)/1000</f>
        <v>9.1324200913242032E-2</v>
      </c>
      <c r="AT28" s="79">
        <f>(Input!AT26*0.1/0.1095*1000)/1000</f>
        <v>6.3926940639269418E-3</v>
      </c>
      <c r="AU28" s="79">
        <f>(Input!AU26*0.1/0.1095*1000)/1000</f>
        <v>0.46666666666666673</v>
      </c>
      <c r="AV28" s="82">
        <v>1.18682</v>
      </c>
      <c r="AW28" s="82">
        <v>1.24091</v>
      </c>
      <c r="AX28" s="79">
        <f>(Input!AX26*0.1/0.1095*1000)/1000</f>
        <v>1.4611872146118723E-2</v>
      </c>
      <c r="BA28" s="79">
        <f>(Input!BA24*0.1/0.1095*1000)</f>
        <v>3395.433789954338</v>
      </c>
    </row>
    <row r="29" spans="1:66" s="75" customFormat="1" ht="15.75" x14ac:dyDescent="0.25">
      <c r="A29" s="75" t="s">
        <v>60</v>
      </c>
      <c r="B29" s="79">
        <f>(Input!B27*0.1/0.2537*1000)/1000</f>
        <v>4.0599132834055975</v>
      </c>
      <c r="C29" s="79">
        <f>(Input!C27*0.1/0.2537*1000)/1000</f>
        <v>80.055183287347276</v>
      </c>
      <c r="D29" s="79">
        <f>(Input!D27*0.1/0.2537*1000)/1000</f>
        <v>2148.2065431612141</v>
      </c>
      <c r="E29" s="79">
        <f>(Input!E27*0.1/0.2537*1000)/1000</f>
        <v>147.10287741426885</v>
      </c>
      <c r="F29" s="79">
        <f>(Input!F27*0.1/0.2537*1000)/1000</f>
        <v>2098.9357508868743</v>
      </c>
      <c r="G29" s="79">
        <f>(Input!G27*0.1/0.2537*1000)/1000</f>
        <v>24383.129680725269</v>
      </c>
      <c r="H29" s="79">
        <f>(Input!H27*0.1/0.2537*1000)/1000</f>
        <v>18305.084745762713</v>
      </c>
      <c r="I29" s="79">
        <f>(Input!I27*0.1/0.2537*1000)/1000</f>
        <v>93.220338983050866</v>
      </c>
      <c r="J29" s="79">
        <f>(Input!J27*0.1/0.2537*1000)/1000</f>
        <v>0.59479700433582983</v>
      </c>
      <c r="K29" s="79">
        <f>(Input!K27*0.1/0.2537*1000)/1000</f>
        <v>0.47339377217185663</v>
      </c>
      <c r="L29" s="79">
        <f>(Input!L27*0.1/0.2537*1000)/1000</f>
        <v>56.168703192747344</v>
      </c>
      <c r="M29" s="79">
        <f>(Input!M27*0.1/0.2537*1000)/1000</f>
        <v>275.04927079227434</v>
      </c>
      <c r="N29" s="79">
        <f>(Input!N27*0.1/0.2537*1000)/1000</f>
        <v>0.21679148600709505</v>
      </c>
      <c r="O29" s="79">
        <f>(Input!O27*0.1/0.2537*1000)/1000</f>
        <v>1.394560504532913</v>
      </c>
      <c r="P29" s="79">
        <f>(Input!P27*0.1/0.2537*1000)/1000</f>
        <v>7.4733937721718577</v>
      </c>
      <c r="Q29" s="79">
        <f>(Input!Q27*0.1/0.2537*1000)/1000</f>
        <v>11.923531730390227</v>
      </c>
      <c r="R29" s="79">
        <f>(Input!R27*0.1/0.2537*1000)/1000</f>
        <v>0.82144264879779283</v>
      </c>
      <c r="S29" s="82">
        <v>1.2647600000000001</v>
      </c>
      <c r="T29" s="82">
        <v>1.38825</v>
      </c>
      <c r="U29" s="79">
        <f>(Input!U27*0.1/0.2537*1000)/1000</f>
        <v>-1.5766653527788728E-2</v>
      </c>
      <c r="V29" s="79">
        <f>(Input!V27*0.1/0.2537*1000)/1000</f>
        <v>0.71895940086716603</v>
      </c>
      <c r="W29" s="79">
        <f>(Input!W27*0.1/0.2537*1000)/1000</f>
        <v>4.2018131651556958</v>
      </c>
      <c r="X29" s="79">
        <f>(Input!X27*0.1/0.2537*1000)/1000</f>
        <v>74.497437918801751</v>
      </c>
      <c r="Y29" s="79">
        <f>(Input!Y27*0.1/0.2537*1000)/1000</f>
        <v>3.66574694521088E-2</v>
      </c>
      <c r="Z29" s="79">
        <f>(Input!Z27*0.1/0.2537*1000)/1000</f>
        <v>0.21087899093417425</v>
      </c>
      <c r="AA29" s="79">
        <f>(Input!AA27*0.1/0.2537*1000)/1000</f>
        <v>3.9416633819471821E-4</v>
      </c>
      <c r="AB29" s="79">
        <f>(Input!AB27*0.1/0.2537*1000)/1000</f>
        <v>1.5766653527788728E-3</v>
      </c>
      <c r="AC29" s="79">
        <f>(Input!AC27*0.1/0.2537*1000)/1000</f>
        <v>2.7197477335435559E-2</v>
      </c>
      <c r="AD29" s="79">
        <f>(Input!AD27*0.1/0.2537*1000)/1000</f>
        <v>0.19274733937721719</v>
      </c>
      <c r="AE29" s="79">
        <f>(Input!AE27*0.1/0.2537*1000)/1000</f>
        <v>2.4438312968072532E-2</v>
      </c>
      <c r="AF29" s="82">
        <v>1.26535</v>
      </c>
      <c r="AG29" s="82">
        <v>1.4400599999999999</v>
      </c>
      <c r="AH29" s="79">
        <f>(Input!AH27*0.1/0.2537*1000)/1000</f>
        <v>0.1363815530153725</v>
      </c>
      <c r="AI29" s="79">
        <f>(Input!AI27*0.1/0.2537*1000)/1000</f>
        <v>-2.1679148600709502E-2</v>
      </c>
      <c r="AJ29" s="79">
        <f>(Input!AJ27*0.1/0.2537*1000)/1000</f>
        <v>3.9416633819471821E-4</v>
      </c>
      <c r="AK29" s="79">
        <f>(Input!AK27*0.1/0.2537*1000)/1000</f>
        <v>5.3606621994481678E-2</v>
      </c>
      <c r="AL29" s="79">
        <f>(Input!AL27*0.1/0.2537*1000)/1000</f>
        <v>21.939298383918015</v>
      </c>
      <c r="AM29" s="79">
        <f>(Input!AM27*0.1/0.2537*1000)/1000</f>
        <v>7.883326763894364E-3</v>
      </c>
      <c r="AN29" s="79">
        <f>(Input!AN27*0.1/0.2537*1000)/1000</f>
        <v>1.9708316909735915E-2</v>
      </c>
      <c r="AO29" s="79">
        <f>(Input!AO27*0.1/0.2537*1000)/1000</f>
        <v>2.6014978320851406E-2</v>
      </c>
      <c r="AP29" s="79">
        <f>(Input!AP27*0.1/0.2537*1000)/1000</f>
        <v>2.5620811982656685E-2</v>
      </c>
      <c r="AQ29" s="79">
        <f>(Input!AQ27*0.1/0.2537*1000)/1000</f>
        <v>0</v>
      </c>
      <c r="AR29" s="79">
        <f>(Input!AR27*0.1/0.2537*1000)/1000</f>
        <v>0</v>
      </c>
      <c r="AS29" s="79">
        <f>(Input!AS27*0.1/0.2537*1000)/1000</f>
        <v>8.0804099329917237E-2</v>
      </c>
      <c r="AT29" s="79">
        <f>(Input!AT27*0.1/0.2537*1000)/1000</f>
        <v>4.3358297201419004E-3</v>
      </c>
      <c r="AU29" s="79">
        <f>(Input!AU27*0.1/0.2537*1000)/1000</f>
        <v>0.33149389042175803</v>
      </c>
      <c r="AV29" s="82">
        <v>1.1445000000000001</v>
      </c>
      <c r="AW29" s="82">
        <v>1.1809700000000001</v>
      </c>
      <c r="AX29" s="79">
        <f>(Input!AX27*0.1/0.2537*1000)/1000</f>
        <v>9.0658257784785191E-3</v>
      </c>
      <c r="BA29" s="79">
        <f>(Input!BA25*0.1/0.2537*1000)</f>
        <v>3807.6468269609782</v>
      </c>
    </row>
    <row r="30" spans="1:66" s="75" customFormat="1" ht="15.75" x14ac:dyDescent="0.25">
      <c r="A30" s="75" t="s">
        <v>200</v>
      </c>
      <c r="B30" s="79">
        <f>(Input!B28*0.1/0.2538*1000)/1000</f>
        <v>2.4633569739952716</v>
      </c>
      <c r="C30" s="79">
        <f>(Input!C28*0.1/0.2538*1000)/1000</f>
        <v>24.105594956658784</v>
      </c>
      <c r="D30" s="79">
        <f>(Input!D28*0.1/0.2538*1000)/1000</f>
        <v>5890.4649330181237</v>
      </c>
      <c r="E30" s="79">
        <f>(Input!E28*0.1/0.2538*1000)/1000</f>
        <v>175.21670606776988</v>
      </c>
      <c r="F30" s="79">
        <f>(Input!F28*0.1/0.2538*1000)/1000</f>
        <v>1636.7218282111899</v>
      </c>
      <c r="G30" s="79">
        <f>(Input!G28*0.1/0.2538*1000)/1000</f>
        <v>32955.082742316779</v>
      </c>
      <c r="H30" s="79">
        <f>(Input!H28*0.1/0.2538*1000)/1000</f>
        <v>20291.568163908589</v>
      </c>
      <c r="I30" s="79">
        <f>(Input!I28*0.1/0.2538*1000)/1000</f>
        <v>99.408983451536642</v>
      </c>
      <c r="J30" s="79">
        <f>(Input!J28*0.1/0.2538*1000)/1000</f>
        <v>0.70330969267139465</v>
      </c>
      <c r="K30" s="79">
        <f>(Input!K28*0.1/0.2538*1000)/1000</f>
        <v>1.2513790386130812</v>
      </c>
      <c r="L30" s="79">
        <f>(Input!L28*0.1/0.2538*1000)/1000</f>
        <v>122.77383766745469</v>
      </c>
      <c r="M30" s="79">
        <f>(Input!M28*0.1/0.2538*1000)/1000</f>
        <v>291.09535066981869</v>
      </c>
      <c r="N30" s="79">
        <f>(Input!N28*0.1/0.2538*1000)/1000</f>
        <v>0.10362490149724193</v>
      </c>
      <c r="O30" s="79">
        <f>(Input!O28*0.1/0.2538*1000)/1000</f>
        <v>0.54688731284475967</v>
      </c>
      <c r="P30" s="79">
        <f>(Input!P28*0.1/0.2538*1000)/1000</f>
        <v>4.1292356185973205</v>
      </c>
      <c r="Q30" s="79">
        <f>(Input!Q28*0.1/0.2538*1000)/1000</f>
        <v>20.12608353033885</v>
      </c>
      <c r="R30" s="79">
        <f>(Input!R28*0.1/0.2538*1000)/1000</f>
        <v>5.0512214342001576</v>
      </c>
      <c r="S30" s="82">
        <v>1.2783199999999999</v>
      </c>
      <c r="T30" s="82">
        <v>1.4334899999999999</v>
      </c>
      <c r="U30" s="79">
        <f>(Input!U28*0.1/0.2538*1000)/1000</f>
        <v>0.1871552403467297</v>
      </c>
      <c r="V30" s="79">
        <f>(Input!V28*0.1/0.2538*1000)/1000</f>
        <v>0.75374310480693463</v>
      </c>
      <c r="W30" s="79">
        <f>(Input!W28*0.1/0.2538*1000)/1000</f>
        <v>21.907013396375099</v>
      </c>
      <c r="X30" s="79">
        <f>(Input!X28*0.1/0.2538*1000)/1000</f>
        <v>63.947990543735223</v>
      </c>
      <c r="Y30" s="79">
        <f>(Input!Y28*0.1/0.2538*1000)/1000</f>
        <v>2.9156816390858941E-2</v>
      </c>
      <c r="Z30" s="79">
        <f>(Input!Z28*0.1/0.2538*1000)/1000</f>
        <v>8.195429472025216E-2</v>
      </c>
      <c r="AA30" s="79">
        <f>(Input!AA28*0.1/0.2538*1000)/1000</f>
        <v>3.9401103230890462E-4</v>
      </c>
      <c r="AB30" s="79">
        <f>(Input!AB28*0.1/0.2538*1000)/1000</f>
        <v>1.1820330969267139E-3</v>
      </c>
      <c r="AC30" s="79">
        <f>(Input!AC28*0.1/0.2538*1000)/1000</f>
        <v>2.2852639873916468E-2</v>
      </c>
      <c r="AD30" s="79">
        <f>(Input!AD28*0.1/0.2538*1000)/1000</f>
        <v>1.6650906225374309</v>
      </c>
      <c r="AE30" s="79">
        <f>(Input!AE28*0.1/0.2538*1000)/1000</f>
        <v>2.5610717100078801E-2</v>
      </c>
      <c r="AF30" s="82">
        <v>1.2578800000000001</v>
      </c>
      <c r="AG30" s="82">
        <v>1.44821</v>
      </c>
      <c r="AH30" s="79">
        <f>(Input!AH28*0.1/0.2538*1000)/1000</f>
        <v>0.59771473601260827</v>
      </c>
      <c r="AI30" s="79">
        <f>(Input!AI28*0.1/0.2538*1000)/1000</f>
        <v>-1.4578408195429471E-2</v>
      </c>
      <c r="AJ30" s="79">
        <f>(Input!AJ28*0.1/0.2538*1000)/1000</f>
        <v>7.8802206461780924E-4</v>
      </c>
      <c r="AK30" s="79">
        <f>(Input!AK28*0.1/0.2538*1000)/1000</f>
        <v>8.5500394011032307E-2</v>
      </c>
      <c r="AL30" s="79">
        <f>(Input!AL28*0.1/0.2538*1000)/1000</f>
        <v>141.37115839243498</v>
      </c>
      <c r="AM30" s="79">
        <f>(Input!AM28*0.1/0.2538*1000)/1000</f>
        <v>9.0622537431048061E-3</v>
      </c>
      <c r="AN30" s="79">
        <f>(Input!AN28*0.1/0.2538*1000)/1000</f>
        <v>1.2608353033884948E-2</v>
      </c>
      <c r="AO30" s="79">
        <f>(Input!AO28*0.1/0.2538*1000)/1000</f>
        <v>3.9401103230890462E-4</v>
      </c>
      <c r="AP30" s="79">
        <f>(Input!AP28*0.1/0.2538*1000)/1000</f>
        <v>3.9401103230890462E-4</v>
      </c>
      <c r="AQ30" s="79">
        <f>(Input!AQ28*0.1/0.2538*1000)/1000</f>
        <v>0</v>
      </c>
      <c r="AR30" s="79">
        <f>(Input!AR28*0.1/0.2538*1000)/1000</f>
        <v>0</v>
      </c>
      <c r="AS30" s="79">
        <f>(Input!AS28*0.1/0.2538*1000)/1000</f>
        <v>2.3640661938534278E-3</v>
      </c>
      <c r="AT30" s="79">
        <f>(Input!AT28*0.1/0.2538*1000)/1000</f>
        <v>2.4428684003152089E-2</v>
      </c>
      <c r="AU30" s="79">
        <f>(Input!AU28*0.1/0.2538*1000)/1000</f>
        <v>0.97832939322301027</v>
      </c>
      <c r="AV30" s="82">
        <v>1.1337600000000001</v>
      </c>
      <c r="AW30" s="82">
        <v>1.16411</v>
      </c>
      <c r="AX30" s="79">
        <f>(Input!AX28*0.1/0.2538*1000)/1000</f>
        <v>1.2214342001576044E-2</v>
      </c>
      <c r="BA30" s="79">
        <f>(Input!BA26*0.1/0.2538*1000)</f>
        <v>1690.3073286052011</v>
      </c>
    </row>
    <row r="31" spans="1:66" s="75" customFormat="1" ht="15.75" x14ac:dyDescent="0.25"/>
    <row r="32" spans="1:66" s="73" customFormat="1" ht="15.75" x14ac:dyDescent="0.25">
      <c r="B32" s="73" t="s">
        <v>202</v>
      </c>
      <c r="D32" s="73" t="s">
        <v>201</v>
      </c>
      <c r="E32" s="73" t="s">
        <v>202</v>
      </c>
      <c r="F32" s="73" t="s">
        <v>201</v>
      </c>
      <c r="G32" s="73" t="s">
        <v>201</v>
      </c>
      <c r="H32" s="73" t="s">
        <v>201</v>
      </c>
      <c r="J32" s="73" t="s">
        <v>202</v>
      </c>
      <c r="L32" s="73" t="s">
        <v>202</v>
      </c>
      <c r="M32" s="73" t="s">
        <v>202</v>
      </c>
      <c r="O32" s="73" t="s">
        <v>202</v>
      </c>
      <c r="P32" s="73" t="s">
        <v>202</v>
      </c>
      <c r="Q32" s="73" t="s">
        <v>202</v>
      </c>
      <c r="U32" s="73" t="s">
        <v>202</v>
      </c>
      <c r="V32" s="73" t="s">
        <v>202</v>
      </c>
      <c r="W32" s="73" t="s">
        <v>202</v>
      </c>
      <c r="X32" s="73" t="s">
        <v>202</v>
      </c>
      <c r="Z32" s="73" t="s">
        <v>202</v>
      </c>
      <c r="AE32" s="73" t="s">
        <v>202</v>
      </c>
      <c r="AK32" s="73" t="s">
        <v>203</v>
      </c>
      <c r="AL32" s="73" t="s">
        <v>202</v>
      </c>
      <c r="AU32" s="73" t="s">
        <v>202</v>
      </c>
      <c r="BJ32" s="73" t="s">
        <v>203</v>
      </c>
      <c r="BN32" s="73" t="s">
        <v>203</v>
      </c>
    </row>
    <row r="33" spans="1:53" s="75" customFormat="1" ht="30" customHeight="1" x14ac:dyDescent="0.25">
      <c r="A33" s="78" t="s">
        <v>204</v>
      </c>
      <c r="B33" s="75">
        <v>29</v>
      </c>
      <c r="D33" s="75">
        <v>0.432</v>
      </c>
      <c r="E33" s="75">
        <v>249</v>
      </c>
      <c r="F33" s="75">
        <v>0.13700000000000001</v>
      </c>
      <c r="G33" s="75">
        <v>2.4300000000000002</v>
      </c>
      <c r="H33" s="75">
        <v>1.56</v>
      </c>
      <c r="J33" s="75">
        <v>0.37</v>
      </c>
      <c r="L33" s="75">
        <v>98</v>
      </c>
      <c r="M33" s="75">
        <v>218</v>
      </c>
      <c r="O33" s="75">
        <v>0.69</v>
      </c>
      <c r="P33" s="75">
        <v>3.7</v>
      </c>
      <c r="Q33" s="75">
        <v>17.899999999999999</v>
      </c>
      <c r="U33" s="75">
        <v>0.06</v>
      </c>
      <c r="V33" s="75">
        <v>0.12</v>
      </c>
      <c r="W33" s="75">
        <v>19.7</v>
      </c>
      <c r="X33" s="75">
        <v>53</v>
      </c>
      <c r="Z33" s="75">
        <v>0.06</v>
      </c>
      <c r="AE33" s="75">
        <v>2.5999999999999999E-2</v>
      </c>
      <c r="AL33" s="75">
        <v>124</v>
      </c>
      <c r="AU33" s="75">
        <v>0.87</v>
      </c>
    </row>
    <row r="34" spans="1:53" s="75" customFormat="1" ht="15.75" x14ac:dyDescent="0.25">
      <c r="A34" s="78"/>
    </row>
    <row r="35" spans="1:53" s="75" customFormat="1" ht="15.75" x14ac:dyDescent="0.25"/>
    <row r="36" spans="1:53" s="73" customFormat="1" ht="15.75" x14ac:dyDescent="0.25">
      <c r="B36" s="73" t="s">
        <v>81</v>
      </c>
      <c r="C36" s="73" t="s">
        <v>81</v>
      </c>
      <c r="D36" s="73" t="s">
        <v>81</v>
      </c>
      <c r="E36" s="73" t="s">
        <v>81</v>
      </c>
      <c r="F36" s="73" t="s">
        <v>81</v>
      </c>
      <c r="G36" s="73" t="s">
        <v>81</v>
      </c>
      <c r="H36" s="73" t="s">
        <v>81</v>
      </c>
      <c r="I36" s="73" t="s">
        <v>81</v>
      </c>
      <c r="J36" s="73" t="s">
        <v>81</v>
      </c>
      <c r="K36" s="73" t="s">
        <v>81</v>
      </c>
      <c r="L36" s="73" t="s">
        <v>81</v>
      </c>
      <c r="M36" s="73" t="s">
        <v>81</v>
      </c>
      <c r="N36" s="73" t="s">
        <v>81</v>
      </c>
      <c r="O36" s="73" t="s">
        <v>81</v>
      </c>
      <c r="P36" s="73" t="s">
        <v>81</v>
      </c>
      <c r="Q36" s="73" t="s">
        <v>81</v>
      </c>
      <c r="R36" s="73" t="s">
        <v>81</v>
      </c>
      <c r="S36" s="80" t="s">
        <v>117</v>
      </c>
      <c r="T36" s="80" t="s">
        <v>117</v>
      </c>
      <c r="U36" s="73" t="s">
        <v>81</v>
      </c>
      <c r="V36" s="73" t="s">
        <v>81</v>
      </c>
      <c r="W36" s="73" t="s">
        <v>81</v>
      </c>
      <c r="X36" s="73" t="s">
        <v>81</v>
      </c>
      <c r="Y36" s="73" t="s">
        <v>81</v>
      </c>
      <c r="Z36" s="73" t="s">
        <v>81</v>
      </c>
      <c r="AA36" s="73" t="s">
        <v>81</v>
      </c>
      <c r="AB36" s="73" t="s">
        <v>81</v>
      </c>
      <c r="AC36" s="73" t="s">
        <v>81</v>
      </c>
      <c r="AD36" s="73" t="s">
        <v>81</v>
      </c>
      <c r="AE36" s="73" t="s">
        <v>81</v>
      </c>
      <c r="AF36" s="80" t="s">
        <v>117</v>
      </c>
      <c r="AG36" s="80" t="s">
        <v>117</v>
      </c>
      <c r="AH36" s="73" t="s">
        <v>81</v>
      </c>
      <c r="AI36" s="73" t="s">
        <v>81</v>
      </c>
      <c r="AJ36" s="73" t="s">
        <v>81</v>
      </c>
      <c r="AK36" s="73" t="s">
        <v>81</v>
      </c>
      <c r="AL36" s="73" t="s">
        <v>81</v>
      </c>
      <c r="AM36" s="73" t="s">
        <v>81</v>
      </c>
      <c r="AN36" s="73" t="s">
        <v>81</v>
      </c>
      <c r="AO36" s="73" t="s">
        <v>81</v>
      </c>
      <c r="AP36" s="73" t="s">
        <v>81</v>
      </c>
      <c r="AQ36" s="73" t="s">
        <v>81</v>
      </c>
      <c r="AR36" s="73" t="s">
        <v>81</v>
      </c>
      <c r="AS36" s="73" t="s">
        <v>81</v>
      </c>
      <c r="AT36" s="73" t="s">
        <v>81</v>
      </c>
      <c r="AU36" s="73" t="s">
        <v>81</v>
      </c>
      <c r="AV36" s="80" t="s">
        <v>117</v>
      </c>
      <c r="AW36" s="80" t="s">
        <v>117</v>
      </c>
      <c r="AX36" s="73" t="s">
        <v>81</v>
      </c>
      <c r="BA36" s="73" t="s">
        <v>196</v>
      </c>
    </row>
    <row r="37" spans="1:53" s="75" customFormat="1" ht="15.75" x14ac:dyDescent="0.25">
      <c r="A37" s="75" t="s">
        <v>62</v>
      </c>
      <c r="B37" s="75">
        <v>0.42399999999999999</v>
      </c>
      <c r="C37" s="75">
        <v>203.6</v>
      </c>
      <c r="D37" s="75">
        <v>416.7</v>
      </c>
      <c r="E37" s="75">
        <v>318.3</v>
      </c>
      <c r="F37" s="75">
        <v>184</v>
      </c>
      <c r="G37" s="75">
        <v>474.3</v>
      </c>
      <c r="H37" s="75">
        <v>240.7</v>
      </c>
      <c r="I37" s="75">
        <v>197.2</v>
      </c>
      <c r="J37" s="75">
        <v>9.2349999999999994</v>
      </c>
      <c r="K37" s="75">
        <v>3.742</v>
      </c>
      <c r="L37" s="75">
        <v>35.28</v>
      </c>
      <c r="M37" s="75">
        <v>452.7</v>
      </c>
      <c r="N37" s="75">
        <v>3.6629999999999998</v>
      </c>
      <c r="O37" s="75">
        <v>3.32</v>
      </c>
      <c r="P37" s="75">
        <v>3.4969999999999999</v>
      </c>
      <c r="Q37" s="75">
        <v>3.5259999999999998</v>
      </c>
      <c r="R37" s="75">
        <v>1.488</v>
      </c>
      <c r="S37" s="81">
        <v>1.2887500000000001</v>
      </c>
      <c r="T37" s="81">
        <v>1.4153800000000001</v>
      </c>
      <c r="U37" s="75">
        <v>1.4710000000000001</v>
      </c>
      <c r="V37" s="75">
        <v>1.798</v>
      </c>
      <c r="W37" s="75">
        <v>8.4060000000000006</v>
      </c>
      <c r="X37" s="75">
        <v>3.37</v>
      </c>
      <c r="Y37" s="75">
        <v>1.3140000000000001</v>
      </c>
      <c r="Z37" s="75">
        <v>3.3010000000000002</v>
      </c>
      <c r="AA37" s="75">
        <v>0.25700000000000001</v>
      </c>
      <c r="AB37" s="75">
        <v>0.255</v>
      </c>
      <c r="AC37" s="75">
        <v>0.24199999999999999</v>
      </c>
      <c r="AD37" s="75">
        <v>12.07</v>
      </c>
      <c r="AE37" s="75">
        <v>3.359</v>
      </c>
      <c r="AF37" s="81">
        <v>1.24637</v>
      </c>
      <c r="AG37" s="81">
        <v>1.4201600000000001</v>
      </c>
      <c r="AH37" s="75">
        <v>0.26600000000000001</v>
      </c>
      <c r="AI37" s="75">
        <v>0.24099999999999999</v>
      </c>
      <c r="AJ37" s="75">
        <v>0.26700000000000002</v>
      </c>
      <c r="AK37" s="75">
        <v>1.6779999999999999</v>
      </c>
      <c r="AL37" s="75">
        <v>16.28</v>
      </c>
      <c r="AM37" s="75">
        <v>3.5110000000000001</v>
      </c>
      <c r="AN37" s="75">
        <v>1.5580000000000001</v>
      </c>
      <c r="AO37" s="75">
        <v>1.6619999999999999</v>
      </c>
      <c r="AP37" s="75">
        <v>1.647</v>
      </c>
      <c r="AQ37" s="75">
        <v>0.247</v>
      </c>
      <c r="AR37" s="75">
        <v>0.26</v>
      </c>
      <c r="AS37" s="75">
        <v>0.3</v>
      </c>
      <c r="AT37" s="75">
        <v>12.67</v>
      </c>
      <c r="AU37" s="75">
        <v>1.718</v>
      </c>
      <c r="AV37" s="81">
        <v>1.1857800000000001</v>
      </c>
      <c r="AW37" s="81">
        <v>1.2469699999999999</v>
      </c>
      <c r="AX37" s="75">
        <v>2.0529999999999999</v>
      </c>
      <c r="AZ37" s="1" t="s">
        <v>177</v>
      </c>
      <c r="BA37" s="1" t="s">
        <v>172</v>
      </c>
    </row>
    <row r="38" spans="1:53" s="75" customFormat="1" ht="15.75" x14ac:dyDescent="0.25">
      <c r="A38" s="75" t="s">
        <v>63</v>
      </c>
      <c r="B38" s="75">
        <v>-0.59399999999999997</v>
      </c>
      <c r="C38" s="75">
        <v>-8.0250000000000004</v>
      </c>
      <c r="D38" s="75">
        <v>1.524</v>
      </c>
      <c r="E38" s="75">
        <v>16.670000000000002</v>
      </c>
      <c r="F38" s="75">
        <v>-8.43</v>
      </c>
      <c r="G38" s="75">
        <v>29.48</v>
      </c>
      <c r="H38" s="75">
        <v>-27.55</v>
      </c>
      <c r="I38" s="75">
        <v>1.613</v>
      </c>
      <c r="J38" s="75">
        <v>6.2E-2</v>
      </c>
      <c r="K38" s="75">
        <v>-4.2000000000000003E-2</v>
      </c>
      <c r="L38" s="75">
        <v>9.4E-2</v>
      </c>
      <c r="M38" s="75">
        <v>-3.427</v>
      </c>
      <c r="N38" s="75">
        <v>2.3E-2</v>
      </c>
      <c r="O38" s="75">
        <v>-0.56100000000000005</v>
      </c>
      <c r="P38" s="75">
        <v>-0.27800000000000002</v>
      </c>
      <c r="Q38" s="75">
        <v>-0.318</v>
      </c>
      <c r="R38" s="75">
        <v>-3.2000000000000001E-2</v>
      </c>
      <c r="S38" s="81">
        <v>1.28531</v>
      </c>
      <c r="T38" s="81">
        <v>1.43102</v>
      </c>
      <c r="U38" s="75">
        <v>-0.18099999999999999</v>
      </c>
      <c r="V38" s="75">
        <v>7.0000000000000007E-2</v>
      </c>
      <c r="W38" s="75">
        <v>1.2999999999999999E-2</v>
      </c>
      <c r="X38" s="75">
        <v>2.3E-2</v>
      </c>
      <c r="Y38" s="75">
        <v>2E-3</v>
      </c>
      <c r="Z38" s="75">
        <v>3.2000000000000001E-2</v>
      </c>
      <c r="AA38" s="75">
        <v>1E-3</v>
      </c>
      <c r="AB38" s="75">
        <v>0</v>
      </c>
      <c r="AC38" s="75">
        <v>0</v>
      </c>
      <c r="AD38" s="75">
        <v>5.1999999999999998E-2</v>
      </c>
      <c r="AE38" s="75">
        <v>1.6E-2</v>
      </c>
      <c r="AF38" s="81">
        <v>1.2306999999999999</v>
      </c>
      <c r="AG38" s="81">
        <v>1.4215899999999999</v>
      </c>
      <c r="AH38" s="75">
        <v>-6.3E-2</v>
      </c>
      <c r="AI38" s="75">
        <v>-7.9000000000000001E-2</v>
      </c>
      <c r="AJ38" s="75">
        <v>0</v>
      </c>
      <c r="AK38" s="75">
        <v>5.0000000000000001E-3</v>
      </c>
      <c r="AL38" s="75">
        <v>-0.93</v>
      </c>
      <c r="AM38" s="75">
        <v>1E-3</v>
      </c>
      <c r="AN38" s="75">
        <v>2E-3</v>
      </c>
      <c r="AO38" s="75">
        <v>2E-3</v>
      </c>
      <c r="AP38" s="75">
        <v>2E-3</v>
      </c>
      <c r="AQ38" s="75">
        <v>0</v>
      </c>
      <c r="AR38" s="75">
        <v>0</v>
      </c>
      <c r="AS38" s="75">
        <v>-1E-3</v>
      </c>
      <c r="AT38" s="75">
        <v>2.5999999999999999E-2</v>
      </c>
      <c r="AU38" s="75">
        <v>-1.2E-2</v>
      </c>
      <c r="AV38" s="81">
        <v>1.19353</v>
      </c>
      <c r="AW38" s="81">
        <v>1.2598400000000001</v>
      </c>
      <c r="AX38" s="75">
        <v>1.7000000000000001E-2</v>
      </c>
    </row>
  </sheetData>
  <pageMargins left="0.7" right="0.7" top="0.75" bottom="0.75" header="0.3" footer="0.3"/>
  <ignoredErrors>
    <ignoredError sqref="BA3:BA7 BA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30"/>
  <sheetViews>
    <sheetView zoomScale="85" zoomScaleNormal="85" workbookViewId="0">
      <pane xSplit="1" topLeftCell="AB1" activePane="topRight" state="frozen"/>
      <selection pane="topRight" activeCell="AZ27" sqref="AZ27:BA27"/>
    </sheetView>
  </sheetViews>
  <sheetFormatPr defaultRowHeight="15" x14ac:dyDescent="0.25"/>
  <cols>
    <col min="1" max="1" width="16.5703125" style="1" bestFit="1" customWidth="1"/>
    <col min="2" max="18" width="9.140625" style="1"/>
    <col min="19" max="20" width="9.140625" style="2"/>
    <col min="21" max="31" width="9.140625" style="1"/>
    <col min="32" max="33" width="9.140625" style="2"/>
    <col min="34" max="47" width="9.140625" style="1"/>
    <col min="48" max="49" width="9.140625" style="2"/>
    <col min="50" max="51" width="9.140625" style="1"/>
    <col min="52" max="52" width="11.7109375" style="1" customWidth="1"/>
    <col min="53" max="53" width="11.140625" style="1" customWidth="1"/>
    <col min="54" max="16384" width="9.140625" style="1"/>
  </cols>
  <sheetData>
    <row r="1" spans="1:53" s="4" customFormat="1" x14ac:dyDescent="0.25">
      <c r="A1" s="4" t="s">
        <v>113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5" t="s">
        <v>17</v>
      </c>
      <c r="T1" s="5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5" t="s">
        <v>30</v>
      </c>
      <c r="AG1" s="5" t="s">
        <v>31</v>
      </c>
      <c r="AH1" s="4" t="s">
        <v>32</v>
      </c>
      <c r="AI1" s="4" t="s">
        <v>33</v>
      </c>
      <c r="AJ1" s="4" t="s">
        <v>34</v>
      </c>
      <c r="AK1" s="4" t="s">
        <v>35</v>
      </c>
      <c r="AL1" s="4" t="s">
        <v>36</v>
      </c>
      <c r="AM1" s="4" t="s">
        <v>37</v>
      </c>
      <c r="AN1" s="4" t="s">
        <v>38</v>
      </c>
      <c r="AO1" s="4" t="s">
        <v>39</v>
      </c>
      <c r="AP1" s="4" t="s">
        <v>40</v>
      </c>
      <c r="AQ1" s="4" t="s">
        <v>41</v>
      </c>
      <c r="AR1" s="4" t="s">
        <v>42</v>
      </c>
      <c r="AS1" s="4" t="s">
        <v>43</v>
      </c>
      <c r="AT1" s="4" t="s">
        <v>44</v>
      </c>
      <c r="AU1" s="4" t="s">
        <v>45</v>
      </c>
      <c r="AV1" s="5" t="s">
        <v>46</v>
      </c>
      <c r="AW1" s="5" t="s">
        <v>47</v>
      </c>
      <c r="AX1" s="4" t="s">
        <v>48</v>
      </c>
      <c r="BA1" s="4" t="s">
        <v>194</v>
      </c>
    </row>
    <row r="2" spans="1:53" s="4" customFormat="1" x14ac:dyDescent="0.25">
      <c r="B2" s="4" t="s">
        <v>81</v>
      </c>
      <c r="C2" s="4" t="s">
        <v>81</v>
      </c>
      <c r="D2" s="4" t="s">
        <v>81</v>
      </c>
      <c r="E2" s="4" t="s">
        <v>81</v>
      </c>
      <c r="F2" s="4" t="s">
        <v>81</v>
      </c>
      <c r="G2" s="4" t="s">
        <v>81</v>
      </c>
      <c r="H2" s="4" t="s">
        <v>81</v>
      </c>
      <c r="I2" s="4" t="s">
        <v>81</v>
      </c>
      <c r="J2" s="4" t="s">
        <v>81</v>
      </c>
      <c r="K2" s="4" t="s">
        <v>81</v>
      </c>
      <c r="L2" s="4" t="s">
        <v>81</v>
      </c>
      <c r="M2" s="4" t="s">
        <v>81</v>
      </c>
      <c r="N2" s="4" t="s">
        <v>81</v>
      </c>
      <c r="O2" s="4" t="s">
        <v>81</v>
      </c>
      <c r="P2" s="4" t="s">
        <v>81</v>
      </c>
      <c r="Q2" s="4" t="s">
        <v>81</v>
      </c>
      <c r="R2" s="4" t="s">
        <v>81</v>
      </c>
      <c r="S2" s="5" t="s">
        <v>117</v>
      </c>
      <c r="T2" s="5" t="s">
        <v>117</v>
      </c>
      <c r="U2" s="4" t="s">
        <v>81</v>
      </c>
      <c r="V2" s="4" t="s">
        <v>81</v>
      </c>
      <c r="W2" s="4" t="s">
        <v>81</v>
      </c>
      <c r="X2" s="4" t="s">
        <v>81</v>
      </c>
      <c r="Y2" s="4" t="s">
        <v>81</v>
      </c>
      <c r="Z2" s="4" t="s">
        <v>81</v>
      </c>
      <c r="AA2" s="4" t="s">
        <v>81</v>
      </c>
      <c r="AB2" s="4" t="s">
        <v>81</v>
      </c>
      <c r="AC2" s="4" t="s">
        <v>81</v>
      </c>
      <c r="AD2" s="4" t="s">
        <v>81</v>
      </c>
      <c r="AE2" s="4" t="s">
        <v>81</v>
      </c>
      <c r="AF2" s="5" t="s">
        <v>117</v>
      </c>
      <c r="AG2" s="5" t="s">
        <v>117</v>
      </c>
      <c r="AH2" s="4" t="s">
        <v>81</v>
      </c>
      <c r="AI2" s="4" t="s">
        <v>81</v>
      </c>
      <c r="AJ2" s="4" t="s">
        <v>81</v>
      </c>
      <c r="AK2" s="4" t="s">
        <v>81</v>
      </c>
      <c r="AL2" s="4" t="s">
        <v>81</v>
      </c>
      <c r="AM2" s="4" t="s">
        <v>81</v>
      </c>
      <c r="AN2" s="4" t="s">
        <v>81</v>
      </c>
      <c r="AO2" s="4" t="s">
        <v>81</v>
      </c>
      <c r="AP2" s="4" t="s">
        <v>81</v>
      </c>
      <c r="AQ2" s="4" t="s">
        <v>81</v>
      </c>
      <c r="AR2" s="4" t="s">
        <v>81</v>
      </c>
      <c r="AS2" s="4" t="s">
        <v>81</v>
      </c>
      <c r="AT2" s="4" t="s">
        <v>81</v>
      </c>
      <c r="AU2" s="4" t="s">
        <v>81</v>
      </c>
      <c r="AV2" s="5" t="s">
        <v>117</v>
      </c>
      <c r="AW2" s="5" t="s">
        <v>117</v>
      </c>
      <c r="AX2" s="4" t="s">
        <v>81</v>
      </c>
      <c r="BA2" s="4" t="s">
        <v>195</v>
      </c>
    </row>
    <row r="3" spans="1:53" x14ac:dyDescent="0.25">
      <c r="A3" s="1" t="s">
        <v>49</v>
      </c>
      <c r="B3" s="1">
        <v>0.32900000000000001</v>
      </c>
      <c r="C3" s="1">
        <v>-0.189</v>
      </c>
      <c r="D3" s="1">
        <v>-1.9E-2</v>
      </c>
      <c r="E3" s="1">
        <v>-57.11</v>
      </c>
      <c r="F3" s="1">
        <v>-11.63</v>
      </c>
      <c r="G3" s="1">
        <v>-4.157</v>
      </c>
      <c r="H3" s="1">
        <v>-26.86</v>
      </c>
      <c r="I3" s="1">
        <v>-2E-3</v>
      </c>
      <c r="J3" s="1">
        <v>2E-3</v>
      </c>
      <c r="K3" s="1">
        <v>-9.7000000000000003E-2</v>
      </c>
      <c r="L3" s="1">
        <v>-1E-3</v>
      </c>
      <c r="M3" s="1">
        <v>1.7000000000000001E-2</v>
      </c>
      <c r="N3" s="1">
        <v>0</v>
      </c>
      <c r="O3" s="1">
        <v>-0.77800000000000002</v>
      </c>
      <c r="P3" s="1">
        <v>0.02</v>
      </c>
      <c r="Q3" s="1">
        <v>-0.60699999999999998</v>
      </c>
      <c r="R3" s="1">
        <v>-3.6999999999999998E-2</v>
      </c>
      <c r="S3" s="2">
        <v>1</v>
      </c>
      <c r="T3" s="2">
        <v>1</v>
      </c>
      <c r="U3" s="1">
        <v>0.05</v>
      </c>
      <c r="V3" s="1">
        <v>-6.6000000000000003E-2</v>
      </c>
      <c r="W3" s="1">
        <v>-1E-3</v>
      </c>
      <c r="X3" s="1">
        <v>0</v>
      </c>
      <c r="Y3" s="1">
        <v>0</v>
      </c>
      <c r="Z3" s="1">
        <v>7.0000000000000001E-3</v>
      </c>
      <c r="AA3" s="1">
        <v>0</v>
      </c>
      <c r="AB3" s="1">
        <v>0</v>
      </c>
      <c r="AC3" s="1">
        <v>0</v>
      </c>
      <c r="AD3" s="1">
        <v>1E-3</v>
      </c>
      <c r="AE3" s="1">
        <v>-1E-3</v>
      </c>
      <c r="AF3" s="2">
        <v>1</v>
      </c>
      <c r="AG3" s="2">
        <v>1</v>
      </c>
      <c r="AH3" s="1">
        <v>-3.2000000000000001E-2</v>
      </c>
      <c r="AI3" s="1">
        <v>-8.9999999999999993E-3</v>
      </c>
      <c r="AJ3" s="1">
        <v>0</v>
      </c>
      <c r="AK3" s="1">
        <v>0</v>
      </c>
      <c r="AL3" s="1">
        <v>-0.66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-4.0000000000000001E-3</v>
      </c>
      <c r="AT3" s="1">
        <v>0</v>
      </c>
      <c r="AU3" s="1">
        <v>1E-3</v>
      </c>
      <c r="AV3" s="2">
        <v>1</v>
      </c>
      <c r="AW3" s="2">
        <v>1</v>
      </c>
      <c r="AX3" s="1">
        <v>0</v>
      </c>
      <c r="AZ3" s="4" t="s">
        <v>49</v>
      </c>
      <c r="BA3" s="4" t="s">
        <v>149</v>
      </c>
    </row>
    <row r="4" spans="1:53" x14ac:dyDescent="0.25">
      <c r="A4" s="1" t="s">
        <v>49</v>
      </c>
      <c r="B4" s="1">
        <v>0.35899999999999999</v>
      </c>
      <c r="C4" s="1">
        <v>0</v>
      </c>
      <c r="D4" s="1">
        <v>0</v>
      </c>
      <c r="E4" s="1">
        <v>-56.92</v>
      </c>
      <c r="F4" s="1">
        <v>-12.68</v>
      </c>
      <c r="G4" s="1">
        <v>-3.5550000000000002</v>
      </c>
      <c r="H4" s="1">
        <v>-26.82</v>
      </c>
      <c r="I4" s="1">
        <v>0</v>
      </c>
      <c r="J4" s="1">
        <v>0</v>
      </c>
      <c r="K4" s="1">
        <v>-0.104</v>
      </c>
      <c r="L4" s="1">
        <v>0</v>
      </c>
      <c r="M4" s="1">
        <v>0</v>
      </c>
      <c r="N4" s="1">
        <v>0</v>
      </c>
      <c r="O4" s="1">
        <v>-0.78200000000000003</v>
      </c>
      <c r="P4" s="1">
        <v>2.9000000000000001E-2</v>
      </c>
      <c r="Q4" s="1">
        <v>-0.60799999999999998</v>
      </c>
      <c r="R4" s="1">
        <v>-3.6999999999999998E-2</v>
      </c>
      <c r="S4" s="2">
        <v>1</v>
      </c>
      <c r="T4" s="2">
        <v>1</v>
      </c>
      <c r="U4" s="1">
        <v>2.3E-2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2">
        <v>1</v>
      </c>
      <c r="AG4" s="2">
        <v>1</v>
      </c>
      <c r="AH4" s="1">
        <v>-3.5000000000000003E-2</v>
      </c>
      <c r="AI4" s="1">
        <v>0</v>
      </c>
      <c r="AJ4" s="1">
        <v>0</v>
      </c>
      <c r="AK4" s="1">
        <v>0</v>
      </c>
      <c r="AL4" s="1">
        <v>-0.68200000000000005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-3.0000000000000001E-3</v>
      </c>
      <c r="AT4" s="1">
        <v>0</v>
      </c>
      <c r="AU4" s="1">
        <v>0</v>
      </c>
      <c r="AV4" s="2">
        <v>1</v>
      </c>
      <c r="AW4" s="2">
        <v>1</v>
      </c>
      <c r="AX4" s="1">
        <v>0</v>
      </c>
      <c r="AZ4" s="4" t="s">
        <v>173</v>
      </c>
      <c r="BA4" s="1" t="s">
        <v>150</v>
      </c>
    </row>
    <row r="5" spans="1:53" x14ac:dyDescent="0.25">
      <c r="A5" s="3" t="s">
        <v>116</v>
      </c>
      <c r="B5" s="1">
        <v>3.0000000000000001E-3</v>
      </c>
      <c r="C5" s="1">
        <v>14.42</v>
      </c>
      <c r="D5" s="1">
        <v>15.4</v>
      </c>
      <c r="E5" s="1">
        <v>71.16</v>
      </c>
      <c r="F5" s="1">
        <v>5.625</v>
      </c>
      <c r="G5" s="1">
        <v>6.0289999999999999</v>
      </c>
      <c r="H5" s="1">
        <v>2.8759999999999999</v>
      </c>
      <c r="I5" s="1">
        <v>8.4689999999999994</v>
      </c>
      <c r="J5" s="1">
        <v>0.373</v>
      </c>
      <c r="K5" s="1">
        <v>0.104</v>
      </c>
      <c r="L5" s="1">
        <v>1.373</v>
      </c>
      <c r="M5" s="1">
        <v>16.62</v>
      </c>
      <c r="N5" s="1">
        <v>0.14899999999999999</v>
      </c>
      <c r="O5" s="1">
        <v>-0.28799999999999998</v>
      </c>
      <c r="P5" s="1">
        <v>6.7000000000000004E-2</v>
      </c>
      <c r="Q5" s="1">
        <v>-0.184</v>
      </c>
      <c r="R5" s="1">
        <v>5.2999999999999999E-2</v>
      </c>
      <c r="S5" s="2">
        <v>0.99051999999999996</v>
      </c>
      <c r="T5" s="2">
        <v>1.00651</v>
      </c>
      <c r="U5" s="1">
        <v>6.0999999999999999E-2</v>
      </c>
      <c r="V5" s="1">
        <v>6.3E-2</v>
      </c>
      <c r="W5" s="1">
        <v>0.32800000000000001</v>
      </c>
      <c r="X5" s="1">
        <v>0.158</v>
      </c>
      <c r="Y5" s="1">
        <v>5.2999999999999999E-2</v>
      </c>
      <c r="Z5" s="1">
        <v>0.13700000000000001</v>
      </c>
      <c r="AA5" s="1">
        <v>1.0999999999999999E-2</v>
      </c>
      <c r="AB5" s="1">
        <v>1.0999999999999999E-2</v>
      </c>
      <c r="AC5" s="1">
        <v>8.9999999999999993E-3</v>
      </c>
      <c r="AD5" s="1">
        <v>0.42899999999999999</v>
      </c>
      <c r="AE5" s="1">
        <v>0.13400000000000001</v>
      </c>
      <c r="AF5" s="2">
        <v>0.98895</v>
      </c>
      <c r="AG5" s="2">
        <v>1.00536</v>
      </c>
      <c r="AH5" s="1">
        <v>0.02</v>
      </c>
      <c r="AI5" s="1">
        <v>1.7999999999999999E-2</v>
      </c>
      <c r="AJ5" s="1">
        <v>1.0999999999999999E-2</v>
      </c>
      <c r="AK5" s="1">
        <v>6.9000000000000006E-2</v>
      </c>
      <c r="AL5" s="1">
        <v>0.51200000000000001</v>
      </c>
      <c r="AM5" s="1">
        <v>0.12</v>
      </c>
      <c r="AN5" s="1">
        <v>6.4000000000000001E-2</v>
      </c>
      <c r="AO5" s="1">
        <v>6.6000000000000003E-2</v>
      </c>
      <c r="AP5" s="1">
        <v>6.7000000000000004E-2</v>
      </c>
      <c r="AQ5" s="1">
        <v>0.01</v>
      </c>
      <c r="AR5" s="1">
        <v>0.01</v>
      </c>
      <c r="AS5" s="1">
        <v>1.0999999999999999E-2</v>
      </c>
      <c r="AT5" s="1">
        <v>0.51100000000000001</v>
      </c>
      <c r="AU5" s="1">
        <v>8.1000000000000003E-2</v>
      </c>
      <c r="AV5" s="2">
        <v>0.99326999999999999</v>
      </c>
      <c r="AW5" s="2">
        <v>0.99766999999999995</v>
      </c>
      <c r="AX5" s="1">
        <v>8.4000000000000005E-2</v>
      </c>
      <c r="AZ5" s="1" t="s">
        <v>174</v>
      </c>
      <c r="BA5" s="1" t="s">
        <v>151</v>
      </c>
    </row>
    <row r="6" spans="1:53" x14ac:dyDescent="0.25">
      <c r="A6" s="3" t="s">
        <v>115</v>
      </c>
      <c r="B6" s="1">
        <v>7.4999999999999997E-2</v>
      </c>
      <c r="C6" s="1">
        <v>43.49</v>
      </c>
      <c r="D6" s="1">
        <v>73.900000000000006</v>
      </c>
      <c r="E6" s="1">
        <v>138.80000000000001</v>
      </c>
      <c r="F6" s="1">
        <v>33.299999999999997</v>
      </c>
      <c r="G6" s="1">
        <v>67.25</v>
      </c>
      <c r="H6" s="1">
        <v>36.15</v>
      </c>
      <c r="I6" s="1">
        <v>36.799999999999997</v>
      </c>
      <c r="J6" s="1">
        <v>1.7869999999999999</v>
      </c>
      <c r="K6" s="1">
        <v>0.70299999999999996</v>
      </c>
      <c r="L6" s="1">
        <v>6.8360000000000003</v>
      </c>
      <c r="M6" s="1">
        <v>86.66</v>
      </c>
      <c r="N6" s="1">
        <v>0.72899999999999998</v>
      </c>
      <c r="O6" s="1">
        <v>0.40600000000000003</v>
      </c>
      <c r="P6" s="1">
        <v>0.63100000000000001</v>
      </c>
      <c r="Q6" s="1">
        <v>0.45100000000000001</v>
      </c>
      <c r="R6" s="1">
        <v>0.28000000000000003</v>
      </c>
      <c r="S6" s="2">
        <v>0.99589000000000005</v>
      </c>
      <c r="T6" s="2">
        <v>1.0018899999999999</v>
      </c>
      <c r="U6" s="1">
        <v>0.26900000000000002</v>
      </c>
      <c r="V6" s="1">
        <v>0.32900000000000001</v>
      </c>
      <c r="W6" s="1">
        <v>1.6719999999999999</v>
      </c>
      <c r="X6" s="1">
        <v>0.69199999999999995</v>
      </c>
      <c r="Y6" s="1">
        <v>0.26600000000000001</v>
      </c>
      <c r="Z6" s="1">
        <v>0.7</v>
      </c>
      <c r="AA6" s="1">
        <v>5.2999999999999999E-2</v>
      </c>
      <c r="AB6" s="1">
        <v>5.1999999999999998E-2</v>
      </c>
      <c r="AC6" s="1">
        <v>4.7E-2</v>
      </c>
      <c r="AD6" s="1">
        <v>2.3519999999999999</v>
      </c>
      <c r="AE6" s="1">
        <v>0.69499999999999995</v>
      </c>
      <c r="AF6" s="2">
        <v>0.99463000000000001</v>
      </c>
      <c r="AG6" s="2">
        <v>0.99438000000000004</v>
      </c>
      <c r="AH6" s="1">
        <v>5.8999999999999997E-2</v>
      </c>
      <c r="AI6" s="1">
        <v>5.3999999999999999E-2</v>
      </c>
      <c r="AJ6" s="1">
        <v>6.0999999999999999E-2</v>
      </c>
      <c r="AK6" s="1">
        <v>0.34300000000000003</v>
      </c>
      <c r="AL6" s="1">
        <v>3.2959999999999998</v>
      </c>
      <c r="AM6" s="1">
        <v>0.72199999999999998</v>
      </c>
      <c r="AN6" s="1">
        <v>0.32700000000000001</v>
      </c>
      <c r="AO6" s="1">
        <v>0.34599999999999997</v>
      </c>
      <c r="AP6" s="1">
        <v>0.34100000000000003</v>
      </c>
      <c r="AQ6" s="1">
        <v>0.05</v>
      </c>
      <c r="AR6" s="1">
        <v>5.1999999999999998E-2</v>
      </c>
      <c r="AS6" s="1">
        <v>7.6999999999999999E-2</v>
      </c>
      <c r="AT6" s="1">
        <v>2.5960000000000001</v>
      </c>
      <c r="AU6" s="1">
        <v>0.36</v>
      </c>
      <c r="AV6" s="2">
        <v>1.00007</v>
      </c>
      <c r="AW6" s="2">
        <v>0.98787999999999998</v>
      </c>
      <c r="AX6" s="1">
        <v>0.43099999999999999</v>
      </c>
      <c r="AZ6" s="1" t="s">
        <v>175</v>
      </c>
      <c r="BA6" s="1" t="s">
        <v>152</v>
      </c>
    </row>
    <row r="7" spans="1:53" x14ac:dyDescent="0.25">
      <c r="A7" s="3" t="s">
        <v>114</v>
      </c>
      <c r="B7" s="1">
        <v>0.21299999999999999</v>
      </c>
      <c r="C7" s="1">
        <v>59.58</v>
      </c>
      <c r="D7" s="1">
        <v>146.1</v>
      </c>
      <c r="E7" s="1">
        <v>197.9</v>
      </c>
      <c r="F7" s="1">
        <v>69.069999999999993</v>
      </c>
      <c r="G7" s="1">
        <v>135.19999999999999</v>
      </c>
      <c r="H7" s="1">
        <v>86.31</v>
      </c>
      <c r="I7" s="1">
        <v>71.2</v>
      </c>
      <c r="J7" s="1">
        <v>3.51</v>
      </c>
      <c r="K7" s="1">
        <v>1.411</v>
      </c>
      <c r="L7" s="1">
        <v>13.59</v>
      </c>
      <c r="M7" s="1">
        <v>173.5</v>
      </c>
      <c r="N7" s="1">
        <v>1.427</v>
      </c>
      <c r="O7" s="1">
        <v>1.1659999999999999</v>
      </c>
      <c r="P7" s="1">
        <v>1.3160000000000001</v>
      </c>
      <c r="Q7" s="1">
        <v>1.355</v>
      </c>
      <c r="R7" s="1">
        <v>0.55600000000000005</v>
      </c>
      <c r="S7" s="2">
        <v>0.98782000000000003</v>
      </c>
      <c r="T7" s="2">
        <v>0.99078999999999995</v>
      </c>
      <c r="U7" s="1">
        <v>0.55700000000000005</v>
      </c>
      <c r="V7" s="1">
        <v>0.71599999999999997</v>
      </c>
      <c r="W7" s="1">
        <v>3.3079999999999998</v>
      </c>
      <c r="X7" s="1">
        <v>1.35</v>
      </c>
      <c r="Y7" s="1">
        <v>0.52700000000000002</v>
      </c>
      <c r="Z7" s="1">
        <v>1.3779999999999999</v>
      </c>
      <c r="AA7" s="1">
        <v>0.10100000000000001</v>
      </c>
      <c r="AB7" s="1">
        <v>0.10299999999999999</v>
      </c>
      <c r="AC7" s="1">
        <v>8.8999999999999996E-2</v>
      </c>
      <c r="AD7" s="1">
        <v>4.7240000000000002</v>
      </c>
      <c r="AE7" s="1">
        <v>1.3620000000000001</v>
      </c>
      <c r="AF7" s="2">
        <v>0.98987999999999998</v>
      </c>
      <c r="AG7" s="2">
        <v>0.99041000000000001</v>
      </c>
      <c r="AH7" s="1">
        <v>0.104</v>
      </c>
      <c r="AI7" s="1">
        <v>0.106</v>
      </c>
      <c r="AJ7" s="1">
        <v>0.107</v>
      </c>
      <c r="AK7" s="1">
        <v>0.67300000000000004</v>
      </c>
      <c r="AL7" s="1">
        <v>6.6539999999999999</v>
      </c>
      <c r="AM7" s="1">
        <v>1.454</v>
      </c>
      <c r="AN7" s="1">
        <v>0.64700000000000002</v>
      </c>
      <c r="AO7" s="1">
        <v>0.67800000000000005</v>
      </c>
      <c r="AP7" s="1">
        <v>0.67700000000000005</v>
      </c>
      <c r="AQ7" s="1">
        <v>0.10199999999999999</v>
      </c>
      <c r="AR7" s="1">
        <v>0.104</v>
      </c>
      <c r="AS7" s="1">
        <v>0.153</v>
      </c>
      <c r="AT7" s="1">
        <v>5.18</v>
      </c>
      <c r="AU7" s="1">
        <v>0.69499999999999995</v>
      </c>
      <c r="AV7" s="2">
        <v>1.00596</v>
      </c>
      <c r="AW7" s="2">
        <v>0.99373</v>
      </c>
      <c r="AX7" s="1">
        <v>0.85099999999999998</v>
      </c>
      <c r="AZ7" s="1" t="s">
        <v>176</v>
      </c>
      <c r="BA7" s="1" t="s">
        <v>153</v>
      </c>
    </row>
    <row r="8" spans="1:53" x14ac:dyDescent="0.25">
      <c r="A8" s="3" t="s">
        <v>109</v>
      </c>
      <c r="B8" s="1">
        <v>0.55100000000000005</v>
      </c>
      <c r="C8" s="1">
        <v>181.1</v>
      </c>
      <c r="D8" s="1">
        <v>367.5</v>
      </c>
      <c r="E8" s="1">
        <v>281.60000000000002</v>
      </c>
      <c r="F8" s="1">
        <v>171.5</v>
      </c>
      <c r="G8" s="1">
        <v>331</v>
      </c>
      <c r="H8" s="1">
        <v>206.4</v>
      </c>
      <c r="I8" s="1">
        <v>175.8</v>
      </c>
      <c r="J8" s="1">
        <v>8.8339999999999996</v>
      </c>
      <c r="K8" s="1">
        <v>3.5470000000000002</v>
      </c>
      <c r="L8" s="1">
        <v>34.020000000000003</v>
      </c>
      <c r="M8" s="1">
        <v>436.9</v>
      </c>
      <c r="N8" s="1">
        <v>3.5670000000000002</v>
      </c>
      <c r="O8" s="1">
        <v>3.1970000000000001</v>
      </c>
      <c r="P8" s="1">
        <v>3.415</v>
      </c>
      <c r="Q8" s="1">
        <v>3.2970000000000002</v>
      </c>
      <c r="R8" s="1">
        <v>1.39</v>
      </c>
      <c r="S8" s="2">
        <v>0.97602</v>
      </c>
      <c r="T8" s="2">
        <v>0.97992999999999997</v>
      </c>
      <c r="U8" s="1">
        <v>1.6160000000000001</v>
      </c>
      <c r="V8" s="1">
        <v>1.5649999999999999</v>
      </c>
      <c r="W8" s="1">
        <v>8.3640000000000008</v>
      </c>
      <c r="X8" s="1">
        <v>3.3580000000000001</v>
      </c>
      <c r="Y8" s="1">
        <v>1.3420000000000001</v>
      </c>
      <c r="Z8" s="1">
        <v>3.399</v>
      </c>
      <c r="AA8" s="1">
        <v>0.26600000000000001</v>
      </c>
      <c r="AB8" s="1">
        <v>0.26800000000000002</v>
      </c>
      <c r="AC8" s="1">
        <v>0.251</v>
      </c>
      <c r="AD8" s="1">
        <v>12.45</v>
      </c>
      <c r="AE8" s="1">
        <v>3.4239999999999999</v>
      </c>
      <c r="AF8" s="2">
        <v>0.98070999999999997</v>
      </c>
      <c r="AG8" s="2">
        <v>0.98202</v>
      </c>
      <c r="AH8" s="1">
        <v>0.26400000000000001</v>
      </c>
      <c r="AI8" s="1">
        <v>0.253</v>
      </c>
      <c r="AJ8" s="1">
        <v>0.28599999999999998</v>
      </c>
      <c r="AK8" s="1">
        <v>1.673</v>
      </c>
      <c r="AL8" s="1">
        <v>16.37</v>
      </c>
      <c r="AM8" s="1">
        <v>3.6320000000000001</v>
      </c>
      <c r="AN8" s="1">
        <v>1.627</v>
      </c>
      <c r="AO8" s="1">
        <v>1.6879999999999999</v>
      </c>
      <c r="AP8" s="1">
        <v>1.7190000000000001</v>
      </c>
      <c r="AQ8" s="1">
        <v>0.251</v>
      </c>
      <c r="AR8" s="1">
        <v>0.25</v>
      </c>
      <c r="AS8" s="1">
        <v>0.29099999999999998</v>
      </c>
      <c r="AT8" s="1">
        <v>13.04</v>
      </c>
      <c r="AU8" s="1">
        <v>1.71</v>
      </c>
      <c r="AV8" s="2">
        <v>0.99004000000000003</v>
      </c>
      <c r="AW8" s="2">
        <v>0.99331999999999998</v>
      </c>
      <c r="AX8" s="1">
        <v>2.1120000000000001</v>
      </c>
      <c r="BA8" s="4" t="s">
        <v>196</v>
      </c>
    </row>
    <row r="9" spans="1:53" x14ac:dyDescent="0.25">
      <c r="A9" s="3" t="s">
        <v>110</v>
      </c>
      <c r="B9" s="1">
        <v>1.08</v>
      </c>
      <c r="C9" s="1">
        <v>349.2</v>
      </c>
      <c r="D9" s="1">
        <v>720</v>
      </c>
      <c r="E9" s="1">
        <v>500.8</v>
      </c>
      <c r="F9" s="1">
        <v>339.2</v>
      </c>
      <c r="G9" s="1">
        <v>663.3</v>
      </c>
      <c r="H9" s="1">
        <v>416.4</v>
      </c>
      <c r="I9" s="1">
        <v>345.8</v>
      </c>
      <c r="J9" s="1">
        <v>17.27</v>
      </c>
      <c r="K9" s="1">
        <v>6.9939999999999998</v>
      </c>
      <c r="L9" s="1">
        <v>66.64</v>
      </c>
      <c r="M9" s="1">
        <v>815.4</v>
      </c>
      <c r="N9" s="1">
        <v>7.0519999999999996</v>
      </c>
      <c r="O9" s="1">
        <v>6.7939999999999996</v>
      </c>
      <c r="P9" s="1">
        <v>6.742</v>
      </c>
      <c r="Q9" s="1">
        <v>7.1980000000000004</v>
      </c>
      <c r="R9" s="1">
        <v>2.71</v>
      </c>
      <c r="S9" s="2">
        <v>0.96377000000000002</v>
      </c>
      <c r="T9" s="2">
        <v>0.95728999999999997</v>
      </c>
      <c r="U9" s="1">
        <v>3.2320000000000002</v>
      </c>
      <c r="V9" s="1">
        <v>3.4670000000000001</v>
      </c>
      <c r="W9" s="1">
        <v>16.48</v>
      </c>
      <c r="X9" s="1">
        <v>6.6059999999999999</v>
      </c>
      <c r="Y9" s="1">
        <v>2.6379999999999999</v>
      </c>
      <c r="Z9" s="1">
        <v>6.7229999999999999</v>
      </c>
      <c r="AA9" s="1">
        <v>0.504</v>
      </c>
      <c r="AB9" s="1">
        <v>0.52300000000000002</v>
      </c>
      <c r="AC9" s="1">
        <v>0.49</v>
      </c>
      <c r="AD9" s="1">
        <v>24.88</v>
      </c>
      <c r="AE9" s="1">
        <v>6.8330000000000002</v>
      </c>
      <c r="AF9" s="2">
        <v>0.96786000000000005</v>
      </c>
      <c r="AG9" s="2">
        <v>0.96701000000000004</v>
      </c>
      <c r="AH9" s="1">
        <v>0.51300000000000001</v>
      </c>
      <c r="AI9" s="1">
        <v>0.505</v>
      </c>
      <c r="AJ9" s="1">
        <v>0.52500000000000002</v>
      </c>
      <c r="AK9" s="1">
        <v>3.2770000000000001</v>
      </c>
      <c r="AL9" s="1">
        <v>32.25</v>
      </c>
      <c r="AM9" s="1">
        <v>7.16</v>
      </c>
      <c r="AN9" s="1">
        <v>3.2330000000000001</v>
      </c>
      <c r="AO9" s="1">
        <v>3.347</v>
      </c>
      <c r="AP9" s="1">
        <v>3.375</v>
      </c>
      <c r="AQ9" s="1">
        <v>0.495</v>
      </c>
      <c r="AR9" s="1">
        <v>0.49399999999999999</v>
      </c>
      <c r="AS9" s="1">
        <v>0.53800000000000003</v>
      </c>
      <c r="AT9" s="1">
        <v>25.56</v>
      </c>
      <c r="AU9" s="1">
        <v>3.3460000000000001</v>
      </c>
      <c r="AV9" s="2">
        <v>0.98811000000000004</v>
      </c>
      <c r="AW9" s="2">
        <v>0.98824999999999996</v>
      </c>
      <c r="AX9" s="1">
        <v>4.1849999999999996</v>
      </c>
      <c r="AZ9" s="1" t="s">
        <v>177</v>
      </c>
      <c r="BA9" s="1" t="s">
        <v>154</v>
      </c>
    </row>
    <row r="10" spans="1:53" x14ac:dyDescent="0.25">
      <c r="A10" s="3" t="s">
        <v>111</v>
      </c>
      <c r="B10" s="1">
        <v>2.1150000000000002</v>
      </c>
      <c r="C10" s="1">
        <v>715.4</v>
      </c>
      <c r="D10" s="1">
        <v>1426</v>
      </c>
      <c r="E10" s="1">
        <v>1430</v>
      </c>
      <c r="F10" s="1">
        <v>682.3</v>
      </c>
      <c r="G10" s="1">
        <v>1435</v>
      </c>
      <c r="H10" s="1">
        <v>840</v>
      </c>
      <c r="I10" s="1">
        <v>684.9</v>
      </c>
      <c r="J10" s="1">
        <v>34.03</v>
      </c>
      <c r="K10" s="1">
        <v>14.17</v>
      </c>
      <c r="L10" s="1">
        <v>133</v>
      </c>
      <c r="M10" s="1">
        <v>1503</v>
      </c>
      <c r="N10" s="1">
        <v>13.85</v>
      </c>
      <c r="O10" s="1">
        <v>15.31</v>
      </c>
      <c r="P10" s="1">
        <v>13.34</v>
      </c>
      <c r="Q10" s="1">
        <v>14.38</v>
      </c>
      <c r="R10" s="1">
        <v>5.4619999999999997</v>
      </c>
      <c r="S10" s="2">
        <v>0.94174999999999998</v>
      </c>
      <c r="T10" s="2">
        <v>0.94018000000000002</v>
      </c>
      <c r="U10" s="1">
        <v>6.3570000000000002</v>
      </c>
      <c r="V10" s="1">
        <v>6.649</v>
      </c>
      <c r="W10" s="1">
        <v>32.68</v>
      </c>
      <c r="X10" s="1">
        <v>13.25</v>
      </c>
      <c r="Y10" s="1">
        <v>5.2220000000000004</v>
      </c>
      <c r="Z10" s="1">
        <v>13.41</v>
      </c>
      <c r="AA10" s="1">
        <v>1.034</v>
      </c>
      <c r="AB10" s="1">
        <v>1.038</v>
      </c>
      <c r="AC10" s="1">
        <v>1.002</v>
      </c>
      <c r="AD10" s="1">
        <v>49.73</v>
      </c>
      <c r="AE10" s="1">
        <v>13.55</v>
      </c>
      <c r="AF10" s="2">
        <v>0.95582999999999996</v>
      </c>
      <c r="AG10" s="2">
        <v>0.95108000000000004</v>
      </c>
      <c r="AH10" s="1">
        <v>0.99299999999999999</v>
      </c>
      <c r="AI10" s="1">
        <v>1.004</v>
      </c>
      <c r="AJ10" s="1">
        <v>1.0429999999999999</v>
      </c>
      <c r="AK10" s="1">
        <v>6.5279999999999996</v>
      </c>
      <c r="AL10" s="1">
        <v>65.03</v>
      </c>
      <c r="AM10" s="1">
        <v>14.43</v>
      </c>
      <c r="AN10" s="1">
        <v>6.476</v>
      </c>
      <c r="AO10" s="1">
        <v>6.702</v>
      </c>
      <c r="AP10" s="1">
        <v>6.7619999999999996</v>
      </c>
      <c r="AQ10" s="1">
        <v>1.0069999999999999</v>
      </c>
      <c r="AR10" s="1">
        <v>0.99399999999999999</v>
      </c>
      <c r="AS10" s="1">
        <v>0.92500000000000004</v>
      </c>
      <c r="AT10" s="1">
        <v>50.44</v>
      </c>
      <c r="AU10" s="1">
        <v>6.68</v>
      </c>
      <c r="AV10" s="2">
        <v>0.98614999999999997</v>
      </c>
      <c r="AW10" s="2">
        <v>0.97589999999999999</v>
      </c>
      <c r="AX10" s="1">
        <v>8.3819999999999997</v>
      </c>
      <c r="AZ10" s="1" t="s">
        <v>178</v>
      </c>
      <c r="BA10" s="1" t="s">
        <v>155</v>
      </c>
    </row>
    <row r="11" spans="1:53" x14ac:dyDescent="0.25">
      <c r="A11" s="3" t="s">
        <v>112</v>
      </c>
      <c r="B11" s="1">
        <v>20.75</v>
      </c>
      <c r="C11" s="1">
        <v>6550</v>
      </c>
      <c r="D11" s="1">
        <v>13640</v>
      </c>
      <c r="E11" s="1">
        <v>8611</v>
      </c>
      <c r="F11" s="1">
        <v>6450</v>
      </c>
      <c r="G11" s="1">
        <v>12900</v>
      </c>
      <c r="H11" s="1">
        <v>8157</v>
      </c>
      <c r="I11" s="1">
        <v>6595</v>
      </c>
      <c r="J11" s="1">
        <v>326.10000000000002</v>
      </c>
      <c r="K11" s="1">
        <v>133</v>
      </c>
      <c r="L11" s="1">
        <v>1285</v>
      </c>
      <c r="M11" s="1">
        <v>14530</v>
      </c>
      <c r="N11" s="1">
        <v>131.1</v>
      </c>
      <c r="O11" s="1">
        <v>133.9</v>
      </c>
      <c r="P11" s="1">
        <v>125.7</v>
      </c>
      <c r="Q11" s="1">
        <v>134.9</v>
      </c>
      <c r="R11" s="1">
        <v>50.89</v>
      </c>
      <c r="S11" s="2">
        <v>0.90490000000000004</v>
      </c>
      <c r="T11" s="2">
        <v>0.90281999999999996</v>
      </c>
      <c r="U11" s="1">
        <v>62.89</v>
      </c>
      <c r="V11" s="1">
        <v>64.25</v>
      </c>
      <c r="W11" s="1">
        <v>321.89999999999998</v>
      </c>
      <c r="X11" s="1">
        <v>129.30000000000001</v>
      </c>
      <c r="Y11" s="1">
        <v>51.34</v>
      </c>
      <c r="Z11" s="1">
        <v>132.19999999999999</v>
      </c>
      <c r="AA11" s="1">
        <v>10.029999999999999</v>
      </c>
      <c r="AB11" s="1">
        <v>10.029999999999999</v>
      </c>
      <c r="AC11" s="1">
        <v>10.039999999999999</v>
      </c>
      <c r="AD11" s="1">
        <v>77.05</v>
      </c>
      <c r="AE11" s="1">
        <v>131.6</v>
      </c>
      <c r="AF11" s="2">
        <v>0.91998000000000002</v>
      </c>
      <c r="AG11" s="2">
        <v>0.90710999999999997</v>
      </c>
      <c r="AH11" s="1">
        <v>10.039999999999999</v>
      </c>
      <c r="AI11" s="1">
        <v>9.8620000000000001</v>
      </c>
      <c r="AJ11" s="1">
        <v>10.029999999999999</v>
      </c>
      <c r="AK11" s="1">
        <v>63.33</v>
      </c>
      <c r="AL11" s="1">
        <v>643.70000000000005</v>
      </c>
      <c r="AM11" s="1">
        <v>144.5</v>
      </c>
      <c r="AN11" s="1">
        <v>66.14</v>
      </c>
      <c r="AO11" s="1">
        <v>67.599999999999994</v>
      </c>
      <c r="AP11" s="1">
        <v>67.599999999999994</v>
      </c>
      <c r="AQ11" s="1">
        <v>10.039999999999999</v>
      </c>
      <c r="AR11" s="1">
        <v>10.039999999999999</v>
      </c>
      <c r="AS11" s="1">
        <v>17.809999999999999</v>
      </c>
      <c r="AT11" s="1">
        <v>513.4</v>
      </c>
      <c r="AU11" s="1">
        <v>66.47</v>
      </c>
      <c r="AV11" s="2">
        <v>0.94244000000000006</v>
      </c>
      <c r="AW11" s="2">
        <v>0.93203000000000003</v>
      </c>
      <c r="AX11" s="1">
        <v>86.54</v>
      </c>
      <c r="AZ11" s="1" t="s">
        <v>179</v>
      </c>
      <c r="BA11" s="1" t="s">
        <v>156</v>
      </c>
    </row>
    <row r="12" spans="1:53" x14ac:dyDescent="0.25">
      <c r="A12" s="1" t="s">
        <v>50</v>
      </c>
      <c r="B12" s="1">
        <v>-0.48899999999999999</v>
      </c>
      <c r="C12" s="1">
        <v>-6.5940000000000003</v>
      </c>
      <c r="D12" s="1">
        <v>5.4329999999999998</v>
      </c>
      <c r="E12" s="1">
        <v>9.2189999999999994</v>
      </c>
      <c r="F12" s="1">
        <v>-14.09</v>
      </c>
      <c r="G12" s="1">
        <v>-19.2</v>
      </c>
      <c r="H12" s="1">
        <v>-27.8</v>
      </c>
      <c r="I12" s="1">
        <v>3.59</v>
      </c>
      <c r="J12" s="1">
        <v>0.13600000000000001</v>
      </c>
      <c r="K12" s="1">
        <v>-9.8000000000000004E-2</v>
      </c>
      <c r="L12" s="1">
        <v>0.49199999999999999</v>
      </c>
      <c r="M12" s="1">
        <v>3.762</v>
      </c>
      <c r="N12" s="1">
        <v>6.7000000000000004E-2</v>
      </c>
      <c r="O12" s="1">
        <v>-0.52400000000000002</v>
      </c>
      <c r="P12" s="1">
        <v>-0.24299999999999999</v>
      </c>
      <c r="Q12" s="1">
        <v>-0.26700000000000002</v>
      </c>
      <c r="R12" s="1">
        <v>-1.7000000000000001E-2</v>
      </c>
      <c r="S12" s="2">
        <v>0.90036000000000005</v>
      </c>
      <c r="T12" s="2">
        <v>0.92606999999999995</v>
      </c>
      <c r="U12" s="1">
        <v>-4.5999999999999999E-2</v>
      </c>
      <c r="V12" s="1">
        <v>-2.9000000000000001E-2</v>
      </c>
      <c r="W12" s="1">
        <v>0.10199999999999999</v>
      </c>
      <c r="X12" s="1">
        <v>5.7000000000000002E-2</v>
      </c>
      <c r="Y12" s="1">
        <v>1.7999999999999999E-2</v>
      </c>
      <c r="Z12" s="1">
        <v>0.17199999999999999</v>
      </c>
      <c r="AA12" s="1">
        <v>5.0000000000000001E-3</v>
      </c>
      <c r="AB12" s="1">
        <v>4.0000000000000001E-3</v>
      </c>
      <c r="AC12" s="1">
        <v>5.0000000000000001E-3</v>
      </c>
      <c r="AD12" s="1">
        <v>1.92</v>
      </c>
      <c r="AE12" s="1">
        <v>6.8000000000000005E-2</v>
      </c>
      <c r="AF12" s="2">
        <v>0.92174999999999996</v>
      </c>
      <c r="AG12" s="2">
        <v>0.93733</v>
      </c>
      <c r="AH12" s="1">
        <v>-6.3E-2</v>
      </c>
      <c r="AI12" s="1">
        <v>-7.2999999999999995E-2</v>
      </c>
      <c r="AJ12" s="1">
        <v>6.0000000000000001E-3</v>
      </c>
      <c r="AK12" s="1">
        <v>2.5000000000000001E-2</v>
      </c>
      <c r="AL12" s="1">
        <v>-0.69199999999999995</v>
      </c>
      <c r="AM12" s="1">
        <v>3.1E-2</v>
      </c>
      <c r="AN12" s="1">
        <v>3.1E-2</v>
      </c>
      <c r="AO12" s="1">
        <v>2.1999999999999999E-2</v>
      </c>
      <c r="AP12" s="1">
        <v>2.3E-2</v>
      </c>
      <c r="AQ12" s="1">
        <v>8.0000000000000002E-3</v>
      </c>
      <c r="AR12" s="1">
        <v>4.0000000000000001E-3</v>
      </c>
      <c r="AS12" s="1">
        <v>0.154</v>
      </c>
      <c r="AT12" s="1">
        <v>0.20399999999999999</v>
      </c>
      <c r="AU12" s="1">
        <v>0.01</v>
      </c>
      <c r="AV12" s="2">
        <v>0.98148999999999997</v>
      </c>
      <c r="AW12" s="2">
        <v>0.99141000000000001</v>
      </c>
      <c r="AX12" s="1">
        <v>4.5999999999999999E-2</v>
      </c>
      <c r="AZ12" s="1" t="s">
        <v>180</v>
      </c>
      <c r="BA12" s="1" t="s">
        <v>157</v>
      </c>
    </row>
    <row r="13" spans="1:53" x14ac:dyDescent="0.25">
      <c r="A13" s="1" t="s">
        <v>51</v>
      </c>
      <c r="B13" s="1">
        <v>26.62</v>
      </c>
      <c r="C13" s="1">
        <v>145.69999999999999</v>
      </c>
      <c r="D13" s="1">
        <v>7236</v>
      </c>
      <c r="E13" s="1">
        <v>748.2</v>
      </c>
      <c r="F13" s="1">
        <v>3545</v>
      </c>
      <c r="G13" s="1">
        <v>43940</v>
      </c>
      <c r="H13" s="1">
        <v>62090</v>
      </c>
      <c r="I13" s="1">
        <v>329.5</v>
      </c>
      <c r="J13" s="1">
        <v>2.62</v>
      </c>
      <c r="K13" s="1">
        <v>1.899</v>
      </c>
      <c r="L13" s="1">
        <v>171.6</v>
      </c>
      <c r="M13" s="1">
        <v>1163</v>
      </c>
      <c r="N13" s="1">
        <v>0.67900000000000005</v>
      </c>
      <c r="O13" s="1">
        <v>3.6779999999999999</v>
      </c>
      <c r="P13" s="1">
        <v>47.42</v>
      </c>
      <c r="Q13" s="1">
        <v>73.61</v>
      </c>
      <c r="R13" s="1">
        <v>1.903</v>
      </c>
      <c r="S13" s="2">
        <v>1.0036499999999999</v>
      </c>
      <c r="T13" s="2">
        <v>1.0986400000000001</v>
      </c>
      <c r="U13" s="1">
        <v>0.36699999999999999</v>
      </c>
      <c r="V13" s="1">
        <v>3.6459999999999999</v>
      </c>
      <c r="W13" s="1">
        <v>33.14</v>
      </c>
      <c r="X13" s="1">
        <v>206.5</v>
      </c>
      <c r="Y13" s="1">
        <v>0.224</v>
      </c>
      <c r="Z13" s="1">
        <v>1.431</v>
      </c>
      <c r="AA13" s="1">
        <v>3.0000000000000001E-3</v>
      </c>
      <c r="AB13" s="1">
        <v>5.0000000000000001E-3</v>
      </c>
      <c r="AC13" s="1">
        <v>6.9000000000000006E-2</v>
      </c>
      <c r="AD13" s="1">
        <v>0.63400000000000001</v>
      </c>
      <c r="AE13" s="1">
        <v>0.127</v>
      </c>
      <c r="AF13" s="2">
        <v>1.0259400000000001</v>
      </c>
      <c r="AG13" s="2">
        <v>1.10626</v>
      </c>
      <c r="AH13" s="1">
        <v>0.52300000000000002</v>
      </c>
      <c r="AI13" s="1">
        <v>5.0000000000000001E-3</v>
      </c>
      <c r="AJ13" s="1">
        <v>4.0000000000000001E-3</v>
      </c>
      <c r="AK13" s="1">
        <v>0.82899999999999996</v>
      </c>
      <c r="AL13" s="1">
        <v>50.83</v>
      </c>
      <c r="AM13" s="1">
        <v>5.0999999999999997E-2</v>
      </c>
      <c r="AN13" s="1">
        <v>0.182</v>
      </c>
      <c r="AO13" s="1">
        <v>0.505</v>
      </c>
      <c r="AP13" s="1">
        <v>0.51</v>
      </c>
      <c r="AQ13" s="1">
        <v>2E-3</v>
      </c>
      <c r="AR13" s="1">
        <v>2E-3</v>
      </c>
      <c r="AS13" s="1">
        <v>0.20799999999999999</v>
      </c>
      <c r="AT13" s="1">
        <v>4.9000000000000002E-2</v>
      </c>
      <c r="AU13" s="1">
        <v>2.3919999999999999</v>
      </c>
      <c r="AV13" s="2">
        <v>0.97309000000000001</v>
      </c>
      <c r="AW13" s="2">
        <v>0.98185999999999996</v>
      </c>
      <c r="AX13" s="1">
        <v>6.3E-2</v>
      </c>
      <c r="AZ13" s="1" t="s">
        <v>181</v>
      </c>
      <c r="BA13" s="1" t="s">
        <v>158</v>
      </c>
    </row>
    <row r="14" spans="1:53" x14ac:dyDescent="0.25">
      <c r="A14" s="1" t="s">
        <v>52</v>
      </c>
      <c r="B14" s="1">
        <v>30.92</v>
      </c>
      <c r="C14" s="1">
        <v>134.6</v>
      </c>
      <c r="D14" s="1">
        <v>8134</v>
      </c>
      <c r="E14" s="1">
        <v>732</v>
      </c>
      <c r="F14" s="1">
        <v>3212</v>
      </c>
      <c r="G14" s="1">
        <v>45320</v>
      </c>
      <c r="H14" s="1">
        <v>80720</v>
      </c>
      <c r="I14" s="1">
        <v>410</v>
      </c>
      <c r="J14" s="1">
        <v>2.5710000000000002</v>
      </c>
      <c r="K14" s="1">
        <v>2.3559999999999999</v>
      </c>
      <c r="L14" s="1">
        <v>183.7</v>
      </c>
      <c r="M14" s="1">
        <v>1075</v>
      </c>
      <c r="N14" s="1">
        <v>0.71499999999999997</v>
      </c>
      <c r="O14" s="1">
        <v>4.3529999999999998</v>
      </c>
      <c r="P14" s="1">
        <v>14.53</v>
      </c>
      <c r="Q14" s="1">
        <v>27.19</v>
      </c>
      <c r="R14" s="1">
        <v>2.1949999999999998</v>
      </c>
      <c r="S14" s="2">
        <v>1.08708</v>
      </c>
      <c r="T14" s="2">
        <v>1.1454200000000001</v>
      </c>
      <c r="U14" s="1">
        <v>0.45200000000000001</v>
      </c>
      <c r="V14" s="1">
        <v>4.6020000000000003</v>
      </c>
      <c r="W14" s="1">
        <v>17.63</v>
      </c>
      <c r="X14" s="1">
        <v>259.2</v>
      </c>
      <c r="Y14" s="1">
        <v>0.23200000000000001</v>
      </c>
      <c r="Z14" s="1">
        <v>1.6890000000000001</v>
      </c>
      <c r="AA14" s="1">
        <v>1E-3</v>
      </c>
      <c r="AB14" s="1">
        <v>6.0000000000000001E-3</v>
      </c>
      <c r="AC14" s="1">
        <v>8.5000000000000006E-2</v>
      </c>
      <c r="AD14" s="1">
        <v>0.47699999999999998</v>
      </c>
      <c r="AE14" s="1">
        <v>8.1000000000000003E-2</v>
      </c>
      <c r="AF14" s="2">
        <v>1.08213</v>
      </c>
      <c r="AG14" s="2">
        <v>1.15099</v>
      </c>
      <c r="AH14" s="1">
        <v>0.36899999999999999</v>
      </c>
      <c r="AI14" s="1">
        <v>1.2E-2</v>
      </c>
      <c r="AJ14" s="1">
        <v>8.0000000000000002E-3</v>
      </c>
      <c r="AK14" s="1">
        <v>0.47</v>
      </c>
      <c r="AL14" s="1">
        <v>59.41</v>
      </c>
      <c r="AM14" s="1">
        <v>0.04</v>
      </c>
      <c r="AN14" s="1">
        <v>0.17799999999999999</v>
      </c>
      <c r="AO14" s="1">
        <v>0.55200000000000005</v>
      </c>
      <c r="AP14" s="1">
        <v>0.54900000000000004</v>
      </c>
      <c r="AQ14" s="1">
        <v>1E-3</v>
      </c>
      <c r="AR14" s="1">
        <v>1E-3</v>
      </c>
      <c r="AS14" s="1">
        <v>0.20599999999999999</v>
      </c>
      <c r="AT14" s="1">
        <v>3.9E-2</v>
      </c>
      <c r="AU14" s="1">
        <v>2.4409999999999998</v>
      </c>
      <c r="AV14" s="2">
        <v>0.98756999999999995</v>
      </c>
      <c r="AW14" s="2">
        <v>0.99336000000000002</v>
      </c>
      <c r="AX14" s="1">
        <v>6.2E-2</v>
      </c>
      <c r="AZ14" s="1" t="s">
        <v>182</v>
      </c>
      <c r="BA14" s="1" t="s">
        <v>159</v>
      </c>
    </row>
    <row r="15" spans="1:53" x14ac:dyDescent="0.25">
      <c r="A15" s="1" t="s">
        <v>118</v>
      </c>
      <c r="B15" s="1">
        <v>5.734</v>
      </c>
      <c r="C15" s="1">
        <v>25.17</v>
      </c>
      <c r="D15" s="1">
        <v>2088</v>
      </c>
      <c r="E15" s="1">
        <v>141.69999999999999</v>
      </c>
      <c r="F15" s="1">
        <v>1301</v>
      </c>
      <c r="G15" s="1">
        <v>21860</v>
      </c>
      <c r="H15" s="1">
        <v>14410</v>
      </c>
      <c r="I15" s="1">
        <v>78.430000000000007</v>
      </c>
      <c r="J15" s="1">
        <v>0.72799999999999998</v>
      </c>
      <c r="K15" s="1">
        <v>0.54100000000000004</v>
      </c>
      <c r="L15" s="1">
        <v>69.010000000000005</v>
      </c>
      <c r="M15" s="1">
        <v>355.7</v>
      </c>
      <c r="N15" s="1">
        <v>0.26400000000000001</v>
      </c>
      <c r="O15" s="1">
        <v>3.9390000000000001</v>
      </c>
      <c r="P15" s="1">
        <v>10.25</v>
      </c>
      <c r="Q15" s="1">
        <v>9.0440000000000005</v>
      </c>
      <c r="R15" s="1">
        <v>0.128</v>
      </c>
      <c r="S15" s="2">
        <v>1.2354400000000001</v>
      </c>
      <c r="T15" s="2">
        <v>1.29643</v>
      </c>
      <c r="U15" s="1">
        <v>-9.0999999999999998E-2</v>
      </c>
      <c r="V15" s="1">
        <v>1.7509999999999999</v>
      </c>
      <c r="W15" s="1">
        <v>9.1129999999999995</v>
      </c>
      <c r="X15" s="1">
        <v>36.619999999999997</v>
      </c>
      <c r="Y15" s="1">
        <v>4.9000000000000002E-2</v>
      </c>
      <c r="Z15" s="1">
        <v>0.192</v>
      </c>
      <c r="AA15" s="1">
        <v>0</v>
      </c>
      <c r="AB15" s="1">
        <v>1E-3</v>
      </c>
      <c r="AC15" s="1">
        <v>1.7000000000000001E-2</v>
      </c>
      <c r="AD15" s="1">
        <v>0.20499999999999999</v>
      </c>
      <c r="AE15" s="1">
        <v>2.5000000000000001E-2</v>
      </c>
      <c r="AF15" s="2">
        <v>1.20279</v>
      </c>
      <c r="AG15" s="2">
        <v>1.3237699999999999</v>
      </c>
      <c r="AH15" s="1">
        <v>5.8999999999999997E-2</v>
      </c>
      <c r="AI15" s="1">
        <v>-7.0999999999999994E-2</v>
      </c>
      <c r="AJ15" s="1">
        <v>2E-3</v>
      </c>
      <c r="AK15" s="1">
        <v>0.09</v>
      </c>
      <c r="AL15" s="1">
        <v>2.3730000000000002</v>
      </c>
      <c r="AM15" s="1">
        <v>1.0999999999999999E-2</v>
      </c>
      <c r="AN15" s="1">
        <v>0.05</v>
      </c>
      <c r="AO15" s="1">
        <v>9.9000000000000005E-2</v>
      </c>
      <c r="AP15" s="1">
        <v>9.9000000000000005E-2</v>
      </c>
      <c r="AQ15" s="1">
        <v>0</v>
      </c>
      <c r="AR15" s="1">
        <v>0</v>
      </c>
      <c r="AS15" s="1">
        <v>6.0999999999999999E-2</v>
      </c>
      <c r="AT15" s="1">
        <v>0.01</v>
      </c>
      <c r="AU15" s="1">
        <v>0.64200000000000002</v>
      </c>
      <c r="AV15" s="2">
        <v>1.10294</v>
      </c>
      <c r="AW15" s="2">
        <v>1.12415</v>
      </c>
      <c r="AX15" s="1">
        <v>1.2999999999999999E-2</v>
      </c>
      <c r="AZ15" s="1" t="s">
        <v>183</v>
      </c>
      <c r="BA15" s="1" t="s">
        <v>160</v>
      </c>
    </row>
    <row r="16" spans="1:53" x14ac:dyDescent="0.25">
      <c r="A16" s="1" t="s">
        <v>53</v>
      </c>
      <c r="B16" s="1">
        <v>43.26</v>
      </c>
      <c r="C16" s="1">
        <v>261.7</v>
      </c>
      <c r="D16" s="1">
        <v>6134</v>
      </c>
      <c r="E16" s="1">
        <v>649.6</v>
      </c>
      <c r="F16" s="1">
        <v>2195</v>
      </c>
      <c r="G16" s="1">
        <v>74160</v>
      </c>
      <c r="H16" s="1">
        <v>33700</v>
      </c>
      <c r="I16" s="1">
        <v>212.5</v>
      </c>
      <c r="J16" s="1">
        <v>2.3079999999999998</v>
      </c>
      <c r="K16" s="1">
        <v>1.569</v>
      </c>
      <c r="L16" s="1">
        <v>89.56</v>
      </c>
      <c r="M16" s="1">
        <v>1042</v>
      </c>
      <c r="N16" s="1">
        <v>0.59</v>
      </c>
      <c r="O16" s="1">
        <v>4.0339999999999998</v>
      </c>
      <c r="P16" s="1">
        <v>13.84</v>
      </c>
      <c r="Q16" s="1">
        <v>21.95</v>
      </c>
      <c r="R16" s="1">
        <v>1.577</v>
      </c>
      <c r="S16" s="2">
        <v>1.1980500000000001</v>
      </c>
      <c r="T16" s="2">
        <v>1.2851399999999999</v>
      </c>
      <c r="U16" s="1">
        <v>0.15</v>
      </c>
      <c r="V16" s="1">
        <v>5.0519999999999996</v>
      </c>
      <c r="W16" s="1">
        <v>16.82</v>
      </c>
      <c r="X16" s="1">
        <v>227.9</v>
      </c>
      <c r="Y16" s="1">
        <v>0.20399999999999999</v>
      </c>
      <c r="Z16" s="1">
        <v>1.169</v>
      </c>
      <c r="AA16" s="1">
        <v>2E-3</v>
      </c>
      <c r="AB16" s="1">
        <v>5.0000000000000001E-3</v>
      </c>
      <c r="AC16" s="1">
        <v>8.1000000000000003E-2</v>
      </c>
      <c r="AD16" s="1">
        <v>0.36899999999999999</v>
      </c>
      <c r="AE16" s="1">
        <v>7.8E-2</v>
      </c>
      <c r="AF16" s="2">
        <v>1.17086</v>
      </c>
      <c r="AG16" s="2">
        <v>1.29583</v>
      </c>
      <c r="AH16" s="1">
        <v>0.57799999999999996</v>
      </c>
      <c r="AI16" s="1">
        <v>0</v>
      </c>
      <c r="AJ16" s="1">
        <v>1E-3</v>
      </c>
      <c r="AK16" s="1">
        <v>0.28299999999999997</v>
      </c>
      <c r="AL16" s="1">
        <v>39.6</v>
      </c>
      <c r="AM16" s="1">
        <v>3.4000000000000002E-2</v>
      </c>
      <c r="AN16" s="1">
        <v>0.09</v>
      </c>
      <c r="AO16" s="1">
        <v>9.5000000000000001E-2</v>
      </c>
      <c r="AP16" s="1">
        <v>9.2999999999999999E-2</v>
      </c>
      <c r="AQ16" s="1">
        <v>0</v>
      </c>
      <c r="AR16" s="1">
        <v>1E-3</v>
      </c>
      <c r="AS16" s="1">
        <v>0.19</v>
      </c>
      <c r="AT16" s="1">
        <v>1.6E-2</v>
      </c>
      <c r="AU16" s="1">
        <v>2.0139999999999998</v>
      </c>
      <c r="AV16" s="2">
        <v>1.0666599999999999</v>
      </c>
      <c r="AW16" s="2">
        <v>1.0781000000000001</v>
      </c>
      <c r="AX16" s="1">
        <v>4.8000000000000001E-2</v>
      </c>
      <c r="AZ16" s="1" t="s">
        <v>184</v>
      </c>
      <c r="BA16" s="1" t="s">
        <v>161</v>
      </c>
    </row>
    <row r="17" spans="1:53" x14ac:dyDescent="0.25">
      <c r="A17" s="1" t="s">
        <v>54</v>
      </c>
      <c r="B17" s="1">
        <v>25.45</v>
      </c>
      <c r="C17" s="1">
        <v>504.5</v>
      </c>
      <c r="D17" s="1">
        <v>6143</v>
      </c>
      <c r="E17" s="1">
        <v>890.8</v>
      </c>
      <c r="F17" s="1">
        <v>3137</v>
      </c>
      <c r="G17" s="1">
        <v>63690</v>
      </c>
      <c r="H17" s="1">
        <v>44200</v>
      </c>
      <c r="I17" s="1">
        <v>272.89999999999998</v>
      </c>
      <c r="J17" s="1">
        <v>2.9</v>
      </c>
      <c r="K17" s="1">
        <v>2.0680000000000001</v>
      </c>
      <c r="L17" s="1">
        <v>139.9</v>
      </c>
      <c r="M17" s="1">
        <v>1278</v>
      </c>
      <c r="N17" s="1">
        <v>0.84299999999999997</v>
      </c>
      <c r="O17" s="1">
        <v>8.0380000000000003</v>
      </c>
      <c r="P17" s="1">
        <v>36.31</v>
      </c>
      <c r="Q17" s="1">
        <v>42.44</v>
      </c>
      <c r="R17" s="1">
        <v>1.9490000000000001</v>
      </c>
      <c r="S17" s="2">
        <v>1.2050099999999999</v>
      </c>
      <c r="T17" s="2">
        <v>1.29698</v>
      </c>
      <c r="U17" s="1">
        <v>0.23</v>
      </c>
      <c r="V17" s="1">
        <v>2.2109999999999999</v>
      </c>
      <c r="W17" s="1">
        <v>38.32</v>
      </c>
      <c r="X17" s="1">
        <v>110.3</v>
      </c>
      <c r="Y17" s="1">
        <v>0.22700000000000001</v>
      </c>
      <c r="Z17" s="1">
        <v>1.016</v>
      </c>
      <c r="AA17" s="1">
        <v>3.0000000000000001E-3</v>
      </c>
      <c r="AB17" s="1">
        <v>2E-3</v>
      </c>
      <c r="AC17" s="1">
        <v>4.5999999999999999E-2</v>
      </c>
      <c r="AD17" s="1">
        <v>0.55400000000000005</v>
      </c>
      <c r="AE17" s="1">
        <v>0.14799999999999999</v>
      </c>
      <c r="AF17" s="2">
        <v>1.1754</v>
      </c>
      <c r="AG17" s="2">
        <v>1.3089999999999999</v>
      </c>
      <c r="AH17" s="1">
        <v>0.52500000000000002</v>
      </c>
      <c r="AI17" s="1">
        <v>1.9E-2</v>
      </c>
      <c r="AJ17" s="1">
        <v>4.0000000000000001E-3</v>
      </c>
      <c r="AK17" s="1">
        <v>0.45300000000000001</v>
      </c>
      <c r="AL17" s="1">
        <v>47.95</v>
      </c>
      <c r="AM17" s="1">
        <v>4.2999999999999997E-2</v>
      </c>
      <c r="AN17" s="1">
        <v>0.13</v>
      </c>
      <c r="AO17" s="1">
        <v>0.218</v>
      </c>
      <c r="AP17" s="1">
        <v>0.218</v>
      </c>
      <c r="AQ17" s="1">
        <v>0</v>
      </c>
      <c r="AR17" s="1">
        <v>1E-3</v>
      </c>
      <c r="AS17" s="1">
        <v>0.27</v>
      </c>
      <c r="AT17" s="1">
        <v>2.1000000000000001E-2</v>
      </c>
      <c r="AU17" s="1">
        <v>2.06</v>
      </c>
      <c r="AV17" s="2">
        <v>1.06789</v>
      </c>
      <c r="AW17" s="2">
        <v>1.0832900000000001</v>
      </c>
      <c r="AX17" s="1">
        <v>6.0999999999999999E-2</v>
      </c>
      <c r="AZ17" s="1" t="s">
        <v>185</v>
      </c>
      <c r="BA17" s="1" t="s">
        <v>162</v>
      </c>
    </row>
    <row r="18" spans="1:53" x14ac:dyDescent="0.25">
      <c r="A18" s="1" t="s">
        <v>55</v>
      </c>
      <c r="B18" s="1">
        <v>4.7229999999999999</v>
      </c>
      <c r="C18" s="1">
        <v>147.1</v>
      </c>
      <c r="D18" s="1">
        <v>2652</v>
      </c>
      <c r="E18" s="1">
        <v>298.7</v>
      </c>
      <c r="F18" s="1">
        <v>2080</v>
      </c>
      <c r="G18" s="1">
        <v>25560</v>
      </c>
      <c r="H18" s="1">
        <v>23290</v>
      </c>
      <c r="I18" s="1">
        <v>126.3</v>
      </c>
      <c r="J18" s="1">
        <v>1.2789999999999999</v>
      </c>
      <c r="K18" s="1">
        <v>1.046</v>
      </c>
      <c r="L18" s="1">
        <v>47.92</v>
      </c>
      <c r="M18" s="1">
        <v>625.70000000000005</v>
      </c>
      <c r="N18" s="1">
        <v>0.40300000000000002</v>
      </c>
      <c r="O18" s="1">
        <v>2.734</v>
      </c>
      <c r="P18" s="1">
        <v>18.73</v>
      </c>
      <c r="Q18" s="1">
        <v>31.08</v>
      </c>
      <c r="R18" s="1">
        <v>0.63</v>
      </c>
      <c r="S18" s="2">
        <v>1.2454700000000001</v>
      </c>
      <c r="T18" s="2">
        <v>1.3344</v>
      </c>
      <c r="U18" s="1">
        <v>-1.2999999999999999E-2</v>
      </c>
      <c r="V18" s="1">
        <v>1.073</v>
      </c>
      <c r="W18" s="1">
        <v>11.99</v>
      </c>
      <c r="X18" s="1">
        <v>123</v>
      </c>
      <c r="Y18" s="1">
        <v>6.2E-2</v>
      </c>
      <c r="Z18" s="1">
        <v>0.215</v>
      </c>
      <c r="AA18" s="1">
        <v>1E-3</v>
      </c>
      <c r="AB18" s="1">
        <v>3.0000000000000001E-3</v>
      </c>
      <c r="AC18" s="1">
        <v>4.3999999999999997E-2</v>
      </c>
      <c r="AD18" s="1">
        <v>0.45</v>
      </c>
      <c r="AE18" s="1">
        <v>5.8999999999999997E-2</v>
      </c>
      <c r="AF18" s="2">
        <v>1.2267300000000001</v>
      </c>
      <c r="AG18" s="2">
        <v>1.3624499999999999</v>
      </c>
      <c r="AH18" s="1">
        <v>0.13300000000000001</v>
      </c>
      <c r="AI18" s="1">
        <v>-0.05</v>
      </c>
      <c r="AJ18" s="1">
        <v>2E-3</v>
      </c>
      <c r="AK18" s="1">
        <v>0.14000000000000001</v>
      </c>
      <c r="AL18" s="1">
        <v>15.39</v>
      </c>
      <c r="AM18" s="1">
        <v>1.6E-2</v>
      </c>
      <c r="AN18" s="1">
        <v>0.03</v>
      </c>
      <c r="AO18" s="1">
        <v>3.7999999999999999E-2</v>
      </c>
      <c r="AP18" s="1">
        <v>3.6999999999999998E-2</v>
      </c>
      <c r="AQ18" s="1">
        <v>0</v>
      </c>
      <c r="AR18" s="1">
        <v>0</v>
      </c>
      <c r="AS18" s="1">
        <v>4.7E-2</v>
      </c>
      <c r="AT18" s="1">
        <v>0.01</v>
      </c>
      <c r="AU18" s="1">
        <v>1.2929999999999999</v>
      </c>
      <c r="AV18" s="2">
        <v>1.11985</v>
      </c>
      <c r="AW18" s="2">
        <v>1.14775</v>
      </c>
      <c r="AX18" s="1">
        <v>2.1999999999999999E-2</v>
      </c>
      <c r="AZ18" s="1" t="s">
        <v>186</v>
      </c>
      <c r="BA18" s="1" t="s">
        <v>163</v>
      </c>
    </row>
    <row r="19" spans="1:53" x14ac:dyDescent="0.25">
      <c r="A19" s="1" t="s">
        <v>56</v>
      </c>
      <c r="B19" s="1">
        <v>12.5</v>
      </c>
      <c r="C19" s="1">
        <v>174.5</v>
      </c>
      <c r="D19" s="1">
        <v>6387</v>
      </c>
      <c r="E19" s="1">
        <v>172.3</v>
      </c>
      <c r="F19" s="1">
        <v>4887</v>
      </c>
      <c r="G19" s="1">
        <v>53540</v>
      </c>
      <c r="H19" s="1">
        <v>55410</v>
      </c>
      <c r="I19" s="1">
        <v>250.6</v>
      </c>
      <c r="J19" s="1">
        <v>1.0840000000000001</v>
      </c>
      <c r="K19" s="1">
        <v>1.2190000000000001</v>
      </c>
      <c r="L19" s="1">
        <v>141.5</v>
      </c>
      <c r="M19" s="1">
        <v>561</v>
      </c>
      <c r="N19" s="1">
        <v>0.38800000000000001</v>
      </c>
      <c r="O19" s="1">
        <v>5.5350000000000001</v>
      </c>
      <c r="P19" s="1">
        <v>41.33</v>
      </c>
      <c r="Q19" s="1">
        <v>63.43</v>
      </c>
      <c r="R19" s="1">
        <v>1.1080000000000001</v>
      </c>
      <c r="S19" s="2">
        <v>1.2364999999999999</v>
      </c>
      <c r="T19" s="2">
        <v>1.33961</v>
      </c>
      <c r="U19" s="1">
        <v>-3.1E-2</v>
      </c>
      <c r="V19" s="1">
        <v>6.1719999999999997</v>
      </c>
      <c r="W19" s="1">
        <v>21.75</v>
      </c>
      <c r="X19" s="1">
        <v>216.4</v>
      </c>
      <c r="Y19" s="1">
        <v>6.0999999999999999E-2</v>
      </c>
      <c r="Z19" s="1">
        <v>0.54500000000000004</v>
      </c>
      <c r="AA19" s="1">
        <v>1E-3</v>
      </c>
      <c r="AB19" s="1">
        <v>5.0000000000000001E-3</v>
      </c>
      <c r="AC19" s="1">
        <v>7.6999999999999999E-2</v>
      </c>
      <c r="AD19" s="1">
        <v>0.24</v>
      </c>
      <c r="AE19" s="1">
        <v>7.0999999999999994E-2</v>
      </c>
      <c r="AF19" s="2">
        <v>1.23445</v>
      </c>
      <c r="AG19" s="2">
        <v>1.3761099999999999</v>
      </c>
      <c r="AH19" s="1">
        <v>0.188</v>
      </c>
      <c r="AI19" s="1">
        <v>-3.7999999999999999E-2</v>
      </c>
      <c r="AJ19" s="1">
        <v>3.0000000000000001E-3</v>
      </c>
      <c r="AK19" s="1">
        <v>0.222</v>
      </c>
      <c r="AL19" s="1">
        <v>30.07</v>
      </c>
      <c r="AM19" s="1">
        <v>1.4E-2</v>
      </c>
      <c r="AN19" s="1">
        <v>7.4999999999999997E-2</v>
      </c>
      <c r="AO19" s="1">
        <v>8.2000000000000003E-2</v>
      </c>
      <c r="AP19" s="1">
        <v>8.3000000000000004E-2</v>
      </c>
      <c r="AQ19" s="1">
        <v>0</v>
      </c>
      <c r="AR19" s="1">
        <v>1E-3</v>
      </c>
      <c r="AS19" s="1">
        <v>7.0000000000000007E-2</v>
      </c>
      <c r="AT19" s="1">
        <v>1.2E-2</v>
      </c>
      <c r="AU19" s="1">
        <v>0.48799999999999999</v>
      </c>
      <c r="AV19" s="2">
        <v>1.1105499999999999</v>
      </c>
      <c r="AW19" s="2">
        <v>1.1222399999999999</v>
      </c>
      <c r="AX19" s="1">
        <v>1.2999999999999999E-2</v>
      </c>
      <c r="AZ19" s="1" t="s">
        <v>187</v>
      </c>
      <c r="BA19" s="1" t="s">
        <v>164</v>
      </c>
    </row>
    <row r="20" spans="1:53" x14ac:dyDescent="0.25">
      <c r="A20" s="1" t="s">
        <v>119</v>
      </c>
      <c r="B20" s="1">
        <v>11.65</v>
      </c>
      <c r="C20" s="1">
        <v>179.5</v>
      </c>
      <c r="D20" s="1">
        <v>3289</v>
      </c>
      <c r="E20" s="1">
        <v>826.5</v>
      </c>
      <c r="F20" s="1">
        <v>1376</v>
      </c>
      <c r="G20" s="1">
        <v>24910</v>
      </c>
      <c r="H20" s="1">
        <v>27000</v>
      </c>
      <c r="I20" s="1">
        <v>208.5</v>
      </c>
      <c r="J20" s="1">
        <v>3.8260000000000001</v>
      </c>
      <c r="K20" s="1">
        <v>2.5529999999999999</v>
      </c>
      <c r="L20" s="1">
        <v>116.4</v>
      </c>
      <c r="M20" s="1">
        <v>1618</v>
      </c>
      <c r="N20" s="1">
        <v>0.75700000000000001</v>
      </c>
      <c r="O20" s="1">
        <v>3.3079999999999998</v>
      </c>
      <c r="P20" s="1">
        <v>20.010000000000002</v>
      </c>
      <c r="Q20" s="1">
        <v>17.690000000000001</v>
      </c>
      <c r="R20" s="1">
        <v>1.1619999999999999</v>
      </c>
      <c r="S20" s="2">
        <v>1.3105500000000001</v>
      </c>
      <c r="T20" s="2">
        <v>1.4169799999999999</v>
      </c>
      <c r="U20" s="1">
        <v>0.185</v>
      </c>
      <c r="V20" s="1">
        <v>1.508</v>
      </c>
      <c r="W20" s="1">
        <v>5.7229999999999999</v>
      </c>
      <c r="X20" s="1">
        <v>107.2</v>
      </c>
      <c r="Y20" s="1">
        <v>0.182</v>
      </c>
      <c r="Z20" s="1">
        <v>0.33900000000000002</v>
      </c>
      <c r="AA20" s="1">
        <v>1E-3</v>
      </c>
      <c r="AB20" s="1">
        <v>3.0000000000000001E-3</v>
      </c>
      <c r="AC20" s="1">
        <v>0.04</v>
      </c>
      <c r="AD20" s="1">
        <v>0.23300000000000001</v>
      </c>
      <c r="AE20" s="1">
        <v>6.9000000000000006E-2</v>
      </c>
      <c r="AF20" s="2">
        <v>1.28047</v>
      </c>
      <c r="AG20" s="2">
        <v>1.4392</v>
      </c>
      <c r="AH20" s="1">
        <v>0.19500000000000001</v>
      </c>
      <c r="AI20" s="1">
        <v>-5.0000000000000001E-3</v>
      </c>
      <c r="AJ20" s="1">
        <v>2E-3</v>
      </c>
      <c r="AK20" s="1">
        <v>0.21199999999999999</v>
      </c>
      <c r="AL20" s="1">
        <v>25.34</v>
      </c>
      <c r="AM20" s="1">
        <v>3.5000000000000003E-2</v>
      </c>
      <c r="AN20" s="1">
        <v>8.2000000000000003E-2</v>
      </c>
      <c r="AO20" s="1">
        <v>8.1000000000000003E-2</v>
      </c>
      <c r="AP20" s="1">
        <v>8.1000000000000003E-2</v>
      </c>
      <c r="AQ20" s="1">
        <v>0</v>
      </c>
      <c r="AR20" s="1">
        <v>1E-3</v>
      </c>
      <c r="AS20" s="1">
        <v>0.28999999999999998</v>
      </c>
      <c r="AT20" s="1">
        <v>1.4E-2</v>
      </c>
      <c r="AU20" s="1">
        <v>2.923</v>
      </c>
      <c r="AV20" s="2">
        <v>1.1288100000000001</v>
      </c>
      <c r="AW20" s="2">
        <v>1.1653100000000001</v>
      </c>
      <c r="AX20" s="1">
        <v>7.5999999999999998E-2</v>
      </c>
      <c r="AZ20" s="1" t="s">
        <v>177</v>
      </c>
      <c r="BA20" s="1" t="s">
        <v>165</v>
      </c>
    </row>
    <row r="21" spans="1:53" x14ac:dyDescent="0.25">
      <c r="A21" s="1" t="s">
        <v>57</v>
      </c>
      <c r="B21" s="1">
        <v>3.0640000000000001</v>
      </c>
      <c r="C21" s="1">
        <v>68.86</v>
      </c>
      <c r="D21" s="1">
        <v>2710</v>
      </c>
      <c r="E21" s="1">
        <v>257.60000000000002</v>
      </c>
      <c r="F21" s="1">
        <v>1849</v>
      </c>
      <c r="G21" s="1">
        <v>21000</v>
      </c>
      <c r="H21" s="1">
        <v>15910</v>
      </c>
      <c r="I21" s="1">
        <v>97.72</v>
      </c>
      <c r="J21" s="1">
        <v>1.1459999999999999</v>
      </c>
      <c r="K21" s="1">
        <v>1.002</v>
      </c>
      <c r="L21" s="1">
        <v>71.13</v>
      </c>
      <c r="M21" s="1">
        <v>581.20000000000005</v>
      </c>
      <c r="N21" s="1">
        <v>0.27300000000000002</v>
      </c>
      <c r="O21" s="1">
        <v>2.145</v>
      </c>
      <c r="P21" s="1">
        <v>15.59</v>
      </c>
      <c r="Q21" s="1">
        <v>17.87</v>
      </c>
      <c r="R21" s="1">
        <v>0.41699999999999998</v>
      </c>
      <c r="S21" s="2">
        <v>1.29898</v>
      </c>
      <c r="T21" s="2">
        <v>1.4055200000000001</v>
      </c>
      <c r="U21" s="1">
        <v>0.184</v>
      </c>
      <c r="V21" s="1">
        <v>1.409</v>
      </c>
      <c r="W21" s="1">
        <v>10.14</v>
      </c>
      <c r="X21" s="1">
        <v>68.87</v>
      </c>
      <c r="Y21" s="1">
        <v>0.30099999999999999</v>
      </c>
      <c r="Z21" s="1">
        <v>1.196</v>
      </c>
      <c r="AA21" s="1">
        <v>0</v>
      </c>
      <c r="AB21" s="1">
        <v>2E-3</v>
      </c>
      <c r="AC21" s="1">
        <v>2.5999999999999999E-2</v>
      </c>
      <c r="AD21" s="1">
        <v>1.625</v>
      </c>
      <c r="AE21" s="1">
        <v>3.4000000000000002E-2</v>
      </c>
      <c r="AF21" s="2">
        <v>1.27902</v>
      </c>
      <c r="AG21" s="2">
        <v>1.4457100000000001</v>
      </c>
      <c r="AH21" s="1">
        <v>10.35</v>
      </c>
      <c r="AI21" s="1">
        <v>0</v>
      </c>
      <c r="AJ21" s="1">
        <v>2E-3</v>
      </c>
      <c r="AK21" s="1">
        <v>0.155</v>
      </c>
      <c r="AL21" s="1">
        <v>9.2409999999999997</v>
      </c>
      <c r="AM21" s="1">
        <v>0.53200000000000003</v>
      </c>
      <c r="AN21" s="1">
        <v>5.8999999999999997E-2</v>
      </c>
      <c r="AO21" s="1">
        <v>7.5999999999999998E-2</v>
      </c>
      <c r="AP21" s="1">
        <v>7.5999999999999998E-2</v>
      </c>
      <c r="AQ21" s="1">
        <v>2E-3</v>
      </c>
      <c r="AR21" s="1">
        <v>6.0000000000000001E-3</v>
      </c>
      <c r="AS21" s="1">
        <v>9.4E-2</v>
      </c>
      <c r="AT21" s="1">
        <v>7.0000000000000001E-3</v>
      </c>
      <c r="AU21" s="1">
        <v>0.995</v>
      </c>
      <c r="AV21" s="2">
        <v>1.1404000000000001</v>
      </c>
      <c r="AW21" s="2">
        <v>1.19529</v>
      </c>
      <c r="AX21" s="1">
        <v>0.02</v>
      </c>
      <c r="AZ21" s="1" t="s">
        <v>188</v>
      </c>
      <c r="BA21" s="1" t="s">
        <v>166</v>
      </c>
    </row>
    <row r="22" spans="1:53" x14ac:dyDescent="0.25">
      <c r="A22" s="1" t="s">
        <v>120</v>
      </c>
      <c r="B22" s="1">
        <v>13.3</v>
      </c>
      <c r="C22" s="1">
        <v>83.57</v>
      </c>
      <c r="D22" s="1">
        <v>3470</v>
      </c>
      <c r="E22" s="1">
        <v>651.9</v>
      </c>
      <c r="F22" s="1">
        <v>1515</v>
      </c>
      <c r="G22" s="1">
        <v>31000</v>
      </c>
      <c r="H22" s="1">
        <v>37110</v>
      </c>
      <c r="I22" s="1">
        <v>245.8</v>
      </c>
      <c r="J22" s="1">
        <v>3.0350000000000001</v>
      </c>
      <c r="K22" s="1">
        <v>2.1070000000000002</v>
      </c>
      <c r="L22" s="1">
        <v>98.08</v>
      </c>
      <c r="M22" s="1">
        <v>1281</v>
      </c>
      <c r="N22" s="1">
        <v>0.65</v>
      </c>
      <c r="O22" s="1">
        <v>2.036</v>
      </c>
      <c r="P22" s="1">
        <v>16.73</v>
      </c>
      <c r="Q22" s="1">
        <v>34.89</v>
      </c>
      <c r="R22" s="1">
        <v>0.95399999999999996</v>
      </c>
      <c r="S22" s="2">
        <v>1.31179</v>
      </c>
      <c r="T22" s="2">
        <v>1.43767</v>
      </c>
      <c r="U22" s="1">
        <v>6.5000000000000002E-2</v>
      </c>
      <c r="V22" s="1">
        <v>0.69399999999999995</v>
      </c>
      <c r="W22" s="1">
        <v>29.22</v>
      </c>
      <c r="X22" s="1">
        <v>102.4</v>
      </c>
      <c r="Y22" s="1">
        <v>0.187</v>
      </c>
      <c r="Z22" s="1">
        <v>0.82499999999999996</v>
      </c>
      <c r="AA22" s="1">
        <v>1E-3</v>
      </c>
      <c r="AB22" s="1">
        <v>3.0000000000000001E-3</v>
      </c>
      <c r="AC22" s="1">
        <v>3.5999999999999997E-2</v>
      </c>
      <c r="AD22" s="1">
        <v>0.32</v>
      </c>
      <c r="AE22" s="1">
        <v>4.8000000000000001E-2</v>
      </c>
      <c r="AF22" s="2">
        <v>1.2785500000000001</v>
      </c>
      <c r="AG22" s="2">
        <v>1.4583999999999999</v>
      </c>
      <c r="AH22" s="1">
        <v>0.46800000000000003</v>
      </c>
      <c r="AI22" s="1">
        <v>7.0000000000000001E-3</v>
      </c>
      <c r="AJ22" s="1">
        <v>5.0000000000000001E-3</v>
      </c>
      <c r="AK22" s="1">
        <v>0.44600000000000001</v>
      </c>
      <c r="AL22" s="1">
        <v>20.55</v>
      </c>
      <c r="AM22" s="1">
        <v>5.2999999999999999E-2</v>
      </c>
      <c r="AN22" s="1">
        <v>7.8E-2</v>
      </c>
      <c r="AO22" s="1">
        <v>0.08</v>
      </c>
      <c r="AP22" s="1">
        <v>0.08</v>
      </c>
      <c r="AQ22" s="1">
        <v>0</v>
      </c>
      <c r="AR22" s="1">
        <v>1E-3</v>
      </c>
      <c r="AS22" s="1">
        <v>0.186</v>
      </c>
      <c r="AT22" s="1">
        <v>1.9E-2</v>
      </c>
      <c r="AU22" s="1">
        <v>2.5150000000000001</v>
      </c>
      <c r="AV22" s="2">
        <v>1.11263</v>
      </c>
      <c r="AW22" s="2">
        <v>1.1724300000000001</v>
      </c>
      <c r="AX22" s="1">
        <v>6.4000000000000001E-2</v>
      </c>
      <c r="AZ22" s="1" t="s">
        <v>189</v>
      </c>
      <c r="BA22" s="1" t="s">
        <v>167</v>
      </c>
    </row>
    <row r="23" spans="1:53" x14ac:dyDescent="0.25">
      <c r="A23" s="1" t="s">
        <v>58</v>
      </c>
      <c r="B23" s="1">
        <v>9.702</v>
      </c>
      <c r="C23" s="1">
        <v>356.9</v>
      </c>
      <c r="D23" s="1">
        <v>6651</v>
      </c>
      <c r="E23" s="1">
        <v>239.4</v>
      </c>
      <c r="F23" s="1">
        <v>7652</v>
      </c>
      <c r="G23" s="1">
        <v>58810</v>
      </c>
      <c r="H23" s="1">
        <v>55160</v>
      </c>
      <c r="I23" s="1">
        <v>274.3</v>
      </c>
      <c r="J23" s="1">
        <v>1.071</v>
      </c>
      <c r="K23" s="1">
        <v>0.90400000000000003</v>
      </c>
      <c r="L23" s="1">
        <v>133.4</v>
      </c>
      <c r="M23" s="1">
        <v>574.9</v>
      </c>
      <c r="N23" s="1">
        <v>0.624</v>
      </c>
      <c r="O23" s="1">
        <v>5.1349999999999998</v>
      </c>
      <c r="P23" s="1">
        <v>26.09</v>
      </c>
      <c r="Q23" s="1">
        <v>31.64</v>
      </c>
      <c r="R23" s="1">
        <v>2.407</v>
      </c>
      <c r="S23" s="2">
        <v>1.2904599999999999</v>
      </c>
      <c r="T23" s="2">
        <v>1.4189400000000001</v>
      </c>
      <c r="U23" s="1">
        <v>-5.6000000000000001E-2</v>
      </c>
      <c r="V23" s="1">
        <v>1.8069999999999999</v>
      </c>
      <c r="W23" s="1">
        <v>14.17</v>
      </c>
      <c r="X23" s="1">
        <v>303.89999999999998</v>
      </c>
      <c r="Y23" s="1">
        <v>0.10199999999999999</v>
      </c>
      <c r="Z23" s="1">
        <v>1.538</v>
      </c>
      <c r="AA23" s="1">
        <v>2E-3</v>
      </c>
      <c r="AB23" s="1">
        <v>7.0000000000000001E-3</v>
      </c>
      <c r="AC23" s="1">
        <v>0.108</v>
      </c>
      <c r="AD23" s="1">
        <v>0.32300000000000001</v>
      </c>
      <c r="AE23" s="1">
        <v>0.183</v>
      </c>
      <c r="AF23" s="2">
        <v>1.26003</v>
      </c>
      <c r="AG23" s="2">
        <v>1.4426300000000001</v>
      </c>
      <c r="AH23" s="1">
        <v>0.20499999999999999</v>
      </c>
      <c r="AI23" s="1">
        <v>-0.05</v>
      </c>
      <c r="AJ23" s="1">
        <v>2E-3</v>
      </c>
      <c r="AK23" s="1">
        <v>0.128</v>
      </c>
      <c r="AL23" s="1">
        <v>64.94</v>
      </c>
      <c r="AM23" s="1">
        <v>1.6E-2</v>
      </c>
      <c r="AN23" s="1">
        <v>0.13200000000000001</v>
      </c>
      <c r="AO23" s="1">
        <v>0.184</v>
      </c>
      <c r="AP23" s="1">
        <v>0.182</v>
      </c>
      <c r="AQ23" s="1">
        <v>0</v>
      </c>
      <c r="AR23" s="1">
        <v>1E-3</v>
      </c>
      <c r="AS23" s="1">
        <v>0.20899999999999999</v>
      </c>
      <c r="AT23" s="1">
        <v>1.4E-2</v>
      </c>
      <c r="AU23" s="1">
        <v>0.41199999999999998</v>
      </c>
      <c r="AV23" s="2">
        <v>1.1029500000000001</v>
      </c>
      <c r="AW23" s="2">
        <v>1.15401</v>
      </c>
      <c r="AX23" s="1">
        <v>2.5999999999999999E-2</v>
      </c>
      <c r="AZ23" s="1" t="s">
        <v>190</v>
      </c>
      <c r="BA23" s="1" t="s">
        <v>168</v>
      </c>
    </row>
    <row r="24" spans="1:53" x14ac:dyDescent="0.25">
      <c r="A24" s="1" t="s">
        <v>59</v>
      </c>
      <c r="B24" s="1">
        <v>7.2409999999999997</v>
      </c>
      <c r="C24" s="1">
        <v>101.6</v>
      </c>
      <c r="D24" s="1">
        <v>4467</v>
      </c>
      <c r="E24" s="1">
        <v>276.5</v>
      </c>
      <c r="F24" s="1">
        <v>3608</v>
      </c>
      <c r="G24" s="1">
        <v>44090</v>
      </c>
      <c r="H24" s="1">
        <v>25310</v>
      </c>
      <c r="I24" s="1">
        <v>141.1</v>
      </c>
      <c r="J24" s="1">
        <v>1.337</v>
      </c>
      <c r="K24" s="1">
        <v>0.99299999999999999</v>
      </c>
      <c r="L24" s="1">
        <v>92.02</v>
      </c>
      <c r="M24" s="1">
        <v>641.1</v>
      </c>
      <c r="N24" s="1">
        <v>0.39700000000000002</v>
      </c>
      <c r="O24" s="1">
        <v>1.978</v>
      </c>
      <c r="P24" s="1">
        <v>15.65</v>
      </c>
      <c r="Q24" s="1">
        <v>17.79</v>
      </c>
      <c r="R24" s="1">
        <v>0.82699999999999996</v>
      </c>
      <c r="S24" s="2">
        <v>1.31501</v>
      </c>
      <c r="T24" s="2">
        <v>1.4370099999999999</v>
      </c>
      <c r="U24" s="1">
        <v>-7.9000000000000001E-2</v>
      </c>
      <c r="V24" s="1">
        <v>3.6970000000000001</v>
      </c>
      <c r="W24" s="1">
        <v>11.73</v>
      </c>
      <c r="X24" s="1">
        <v>160</v>
      </c>
      <c r="Y24" s="1">
        <v>7.2999999999999995E-2</v>
      </c>
      <c r="Z24" s="1">
        <v>1.0609999999999999</v>
      </c>
      <c r="AA24" s="1">
        <v>1E-3</v>
      </c>
      <c r="AB24" s="1">
        <v>4.0000000000000001E-3</v>
      </c>
      <c r="AC24" s="1">
        <v>5.6000000000000001E-2</v>
      </c>
      <c r="AD24" s="1">
        <v>0.26300000000000001</v>
      </c>
      <c r="AE24" s="1">
        <v>5.1999999999999998E-2</v>
      </c>
      <c r="AF24" s="2">
        <v>1.30261</v>
      </c>
      <c r="AG24" s="2">
        <v>1.4855499999999999</v>
      </c>
      <c r="AH24" s="1">
        <v>4.0000000000000001E-3</v>
      </c>
      <c r="AI24" s="1">
        <v>-7.6999999999999999E-2</v>
      </c>
      <c r="AJ24" s="1">
        <v>0</v>
      </c>
      <c r="AK24" s="1">
        <v>0.153</v>
      </c>
      <c r="AL24" s="1">
        <v>19.989999999999998</v>
      </c>
      <c r="AM24" s="1">
        <v>1.2E-2</v>
      </c>
      <c r="AN24" s="1">
        <v>8.4000000000000005E-2</v>
      </c>
      <c r="AO24" s="1">
        <v>0.16600000000000001</v>
      </c>
      <c r="AP24" s="1">
        <v>0.16500000000000001</v>
      </c>
      <c r="AQ24" s="1">
        <v>0</v>
      </c>
      <c r="AR24" s="1">
        <v>0</v>
      </c>
      <c r="AS24" s="1">
        <v>5.3999999999999999E-2</v>
      </c>
      <c r="AT24" s="1">
        <v>1.2E-2</v>
      </c>
      <c r="AU24" s="1">
        <v>0.38300000000000001</v>
      </c>
      <c r="AV24" s="2">
        <v>1.1505700000000001</v>
      </c>
      <c r="AW24" s="2">
        <v>1.2057100000000001</v>
      </c>
      <c r="AX24" s="1">
        <v>0.02</v>
      </c>
      <c r="AZ24" s="1" t="s">
        <v>191</v>
      </c>
      <c r="BA24" s="1" t="s">
        <v>169</v>
      </c>
    </row>
    <row r="25" spans="1:53" x14ac:dyDescent="0.25">
      <c r="A25" s="1" t="s">
        <v>121</v>
      </c>
      <c r="B25" s="1">
        <v>9.7840000000000007</v>
      </c>
      <c r="C25" s="1">
        <v>183.5</v>
      </c>
      <c r="D25" s="1">
        <v>4022</v>
      </c>
      <c r="E25" s="1">
        <v>265.5</v>
      </c>
      <c r="F25" s="1">
        <v>4200</v>
      </c>
      <c r="G25" s="1">
        <v>44820</v>
      </c>
      <c r="H25" s="1">
        <v>27160</v>
      </c>
      <c r="I25" s="1">
        <v>140.4</v>
      </c>
      <c r="J25" s="1">
        <v>1.3129999999999999</v>
      </c>
      <c r="K25" s="1">
        <v>1.3149999999999999</v>
      </c>
      <c r="L25" s="1">
        <v>112.1</v>
      </c>
      <c r="M25" s="1">
        <v>575.5</v>
      </c>
      <c r="N25" s="1">
        <v>0.51100000000000001</v>
      </c>
      <c r="O25" s="1">
        <v>5.0449999999999999</v>
      </c>
      <c r="P25" s="1">
        <v>22.17</v>
      </c>
      <c r="Q25" s="1">
        <v>13.55</v>
      </c>
      <c r="R25" s="1">
        <v>1.151</v>
      </c>
      <c r="S25" s="2">
        <v>1.2980499999999999</v>
      </c>
      <c r="T25" s="2">
        <v>1.42591</v>
      </c>
      <c r="U25" s="1">
        <v>-9.0999999999999998E-2</v>
      </c>
      <c r="V25" s="1">
        <v>5.2839999999999998</v>
      </c>
      <c r="W25" s="1">
        <v>17.52</v>
      </c>
      <c r="X25" s="1">
        <v>172</v>
      </c>
      <c r="Y25" s="1">
        <v>0.05</v>
      </c>
      <c r="Z25" s="1">
        <v>0.48599999999999999</v>
      </c>
      <c r="AA25" s="1">
        <v>1E-3</v>
      </c>
      <c r="AB25" s="1">
        <v>4.0000000000000001E-3</v>
      </c>
      <c r="AC25" s="1">
        <v>6.0999999999999999E-2</v>
      </c>
      <c r="AD25" s="1">
        <v>0.60699999999999998</v>
      </c>
      <c r="AE25" s="1">
        <v>6.9000000000000006E-2</v>
      </c>
      <c r="AF25" s="2">
        <v>1.2956099999999999</v>
      </c>
      <c r="AG25" s="2">
        <v>1.48255</v>
      </c>
      <c r="AH25" s="1">
        <v>7.6999999999999999E-2</v>
      </c>
      <c r="AI25" s="1">
        <v>-6.8000000000000005E-2</v>
      </c>
      <c r="AJ25" s="1">
        <v>2E-3</v>
      </c>
      <c r="AK25" s="1">
        <v>0.14499999999999999</v>
      </c>
      <c r="AL25" s="1">
        <v>28.94</v>
      </c>
      <c r="AM25" s="1">
        <v>1.0999999999999999E-2</v>
      </c>
      <c r="AN25" s="1">
        <v>5.2999999999999999E-2</v>
      </c>
      <c r="AO25" s="1">
        <v>0.107</v>
      </c>
      <c r="AP25" s="1">
        <v>0.108</v>
      </c>
      <c r="AQ25" s="1">
        <v>0</v>
      </c>
      <c r="AR25" s="1">
        <v>0</v>
      </c>
      <c r="AS25" s="1">
        <v>0.11899999999999999</v>
      </c>
      <c r="AT25" s="1">
        <v>8.0000000000000002E-3</v>
      </c>
      <c r="AU25" s="1">
        <v>0.96</v>
      </c>
      <c r="AV25" s="2">
        <v>1.16107</v>
      </c>
      <c r="AW25" s="2">
        <v>1.2093799999999999</v>
      </c>
      <c r="AX25" s="1">
        <v>1.7000000000000001E-2</v>
      </c>
      <c r="AZ25" s="1" t="s">
        <v>192</v>
      </c>
      <c r="BA25" s="1" t="s">
        <v>170</v>
      </c>
    </row>
    <row r="26" spans="1:53" x14ac:dyDescent="0.25">
      <c r="A26" s="1" t="s">
        <v>122</v>
      </c>
      <c r="B26" s="1">
        <v>4.7</v>
      </c>
      <c r="C26" s="1">
        <v>143.1</v>
      </c>
      <c r="D26" s="1">
        <v>2165</v>
      </c>
      <c r="E26" s="1">
        <v>235.5</v>
      </c>
      <c r="F26" s="1">
        <v>1944</v>
      </c>
      <c r="G26" s="1">
        <v>25820</v>
      </c>
      <c r="H26" s="1">
        <v>16040</v>
      </c>
      <c r="I26" s="1">
        <v>93.17</v>
      </c>
      <c r="J26" s="1">
        <v>1.468</v>
      </c>
      <c r="K26" s="1">
        <v>1.2050000000000001</v>
      </c>
      <c r="L26" s="1">
        <v>72.739999999999995</v>
      </c>
      <c r="M26" s="1">
        <v>623</v>
      </c>
      <c r="N26" s="1">
        <v>0.36299999999999999</v>
      </c>
      <c r="O26" s="1">
        <v>2.9220000000000002</v>
      </c>
      <c r="P26" s="1">
        <v>9.35</v>
      </c>
      <c r="Q26" s="1">
        <v>8.0670000000000002</v>
      </c>
      <c r="R26" s="1">
        <v>0.58199999999999996</v>
      </c>
      <c r="S26" s="2">
        <v>1.2985899999999999</v>
      </c>
      <c r="T26" s="2">
        <v>1.41465</v>
      </c>
      <c r="U26" s="1">
        <v>-0.13100000000000001</v>
      </c>
      <c r="V26" s="1">
        <v>1.597</v>
      </c>
      <c r="W26" s="1">
        <v>10.4</v>
      </c>
      <c r="X26" s="1">
        <v>69.319999999999993</v>
      </c>
      <c r="Y26" s="1">
        <v>5.8000000000000003E-2</v>
      </c>
      <c r="Z26" s="1">
        <v>0.246</v>
      </c>
      <c r="AA26" s="1">
        <v>1E-3</v>
      </c>
      <c r="AB26" s="1">
        <v>2E-3</v>
      </c>
      <c r="AC26" s="1">
        <v>2.5000000000000001E-2</v>
      </c>
      <c r="AD26" s="1">
        <v>0.23899999999999999</v>
      </c>
      <c r="AE26" s="1">
        <v>2.4E-2</v>
      </c>
      <c r="AF26" s="2">
        <v>1.3129900000000001</v>
      </c>
      <c r="AG26" s="2">
        <v>1.4858100000000001</v>
      </c>
      <c r="AH26" s="1">
        <v>9.9000000000000005E-2</v>
      </c>
      <c r="AI26" s="1">
        <v>-7.6999999999999999E-2</v>
      </c>
      <c r="AJ26" s="1">
        <v>1E-3</v>
      </c>
      <c r="AK26" s="1">
        <v>0.127</v>
      </c>
      <c r="AL26" s="1">
        <v>14.24</v>
      </c>
      <c r="AM26" s="1">
        <v>1.2999999999999999E-2</v>
      </c>
      <c r="AN26" s="1">
        <v>3.3000000000000002E-2</v>
      </c>
      <c r="AO26" s="1">
        <v>4.9000000000000002E-2</v>
      </c>
      <c r="AP26" s="1">
        <v>4.9000000000000002E-2</v>
      </c>
      <c r="AQ26" s="1">
        <v>0</v>
      </c>
      <c r="AR26" s="1">
        <v>0</v>
      </c>
      <c r="AS26" s="1">
        <v>0.1</v>
      </c>
      <c r="AT26" s="1">
        <v>7.0000000000000001E-3</v>
      </c>
      <c r="AU26" s="1">
        <v>0.51100000000000001</v>
      </c>
      <c r="AV26" s="2">
        <v>1.18682</v>
      </c>
      <c r="AW26" s="2">
        <v>1.24091</v>
      </c>
      <c r="AX26" s="1">
        <v>1.6E-2</v>
      </c>
      <c r="AZ26" s="1" t="s">
        <v>193</v>
      </c>
      <c r="BA26" s="1" t="s">
        <v>171</v>
      </c>
    </row>
    <row r="27" spans="1:53" x14ac:dyDescent="0.25">
      <c r="A27" s="1" t="s">
        <v>60</v>
      </c>
      <c r="B27" s="1">
        <v>10.3</v>
      </c>
      <c r="C27" s="1">
        <v>203.1</v>
      </c>
      <c r="D27" s="1">
        <v>5450</v>
      </c>
      <c r="E27" s="1">
        <v>373.2</v>
      </c>
      <c r="F27" s="1">
        <v>5325</v>
      </c>
      <c r="G27" s="1">
        <v>61860</v>
      </c>
      <c r="H27" s="1">
        <v>46440</v>
      </c>
      <c r="I27" s="1">
        <v>236.5</v>
      </c>
      <c r="J27" s="1">
        <v>1.5089999999999999</v>
      </c>
      <c r="K27" s="1">
        <v>1.2010000000000001</v>
      </c>
      <c r="L27" s="1">
        <v>142.5</v>
      </c>
      <c r="M27" s="1">
        <v>697.8</v>
      </c>
      <c r="N27" s="1">
        <v>0.55000000000000004</v>
      </c>
      <c r="O27" s="1">
        <v>3.5379999999999998</v>
      </c>
      <c r="P27" s="1">
        <v>18.96</v>
      </c>
      <c r="Q27" s="1">
        <v>30.25</v>
      </c>
      <c r="R27" s="1">
        <v>2.0840000000000001</v>
      </c>
      <c r="S27" s="2">
        <v>1.2647600000000001</v>
      </c>
      <c r="T27" s="2">
        <v>1.38825</v>
      </c>
      <c r="U27" s="1">
        <v>-0.04</v>
      </c>
      <c r="V27" s="1">
        <v>1.8240000000000001</v>
      </c>
      <c r="W27" s="1">
        <v>10.66</v>
      </c>
      <c r="X27" s="1">
        <v>189</v>
      </c>
      <c r="Y27" s="1">
        <v>9.2999999999999999E-2</v>
      </c>
      <c r="Z27" s="1">
        <v>0.53500000000000003</v>
      </c>
      <c r="AA27" s="1">
        <v>1E-3</v>
      </c>
      <c r="AB27" s="1">
        <v>4.0000000000000001E-3</v>
      </c>
      <c r="AC27" s="1">
        <v>6.9000000000000006E-2</v>
      </c>
      <c r="AD27" s="1">
        <v>0.48899999999999999</v>
      </c>
      <c r="AE27" s="1">
        <v>6.2E-2</v>
      </c>
      <c r="AF27" s="2">
        <v>1.26535</v>
      </c>
      <c r="AG27" s="2">
        <v>1.4400599999999999</v>
      </c>
      <c r="AH27" s="1">
        <v>0.34599999999999997</v>
      </c>
      <c r="AI27" s="1">
        <v>-5.5E-2</v>
      </c>
      <c r="AJ27" s="1">
        <v>1E-3</v>
      </c>
      <c r="AK27" s="1">
        <v>0.13600000000000001</v>
      </c>
      <c r="AL27" s="1">
        <v>55.66</v>
      </c>
      <c r="AM27" s="1">
        <v>0.02</v>
      </c>
      <c r="AN27" s="1">
        <v>0.05</v>
      </c>
      <c r="AO27" s="1">
        <v>6.6000000000000003E-2</v>
      </c>
      <c r="AP27" s="1">
        <v>6.5000000000000002E-2</v>
      </c>
      <c r="AQ27" s="1">
        <v>0</v>
      </c>
      <c r="AR27" s="1">
        <v>0</v>
      </c>
      <c r="AS27" s="1">
        <v>0.20499999999999999</v>
      </c>
      <c r="AT27" s="1">
        <v>1.0999999999999999E-2</v>
      </c>
      <c r="AU27" s="1">
        <v>0.84099999999999997</v>
      </c>
      <c r="AV27" s="2">
        <v>1.1445000000000001</v>
      </c>
      <c r="AW27" s="2">
        <v>1.1809700000000001</v>
      </c>
      <c r="AX27" s="1">
        <v>2.3E-2</v>
      </c>
      <c r="AZ27" s="1" t="s">
        <v>177</v>
      </c>
      <c r="BA27" s="1" t="s">
        <v>172</v>
      </c>
    </row>
    <row r="28" spans="1:53" x14ac:dyDescent="0.25">
      <c r="A28" s="1" t="s">
        <v>61</v>
      </c>
      <c r="B28" s="1">
        <v>6.2519999999999998</v>
      </c>
      <c r="C28" s="1">
        <v>61.18</v>
      </c>
      <c r="D28" s="1">
        <v>14950</v>
      </c>
      <c r="E28" s="1">
        <v>444.7</v>
      </c>
      <c r="F28" s="1">
        <v>4154</v>
      </c>
      <c r="G28" s="1">
        <v>83640</v>
      </c>
      <c r="H28" s="1">
        <v>51500</v>
      </c>
      <c r="I28" s="1">
        <v>252.3</v>
      </c>
      <c r="J28" s="1">
        <v>1.7849999999999999</v>
      </c>
      <c r="K28" s="1">
        <v>3.1760000000000002</v>
      </c>
      <c r="L28" s="1">
        <v>311.60000000000002</v>
      </c>
      <c r="M28" s="1">
        <v>738.8</v>
      </c>
      <c r="N28" s="1">
        <v>0.26300000000000001</v>
      </c>
      <c r="O28" s="1">
        <v>1.3879999999999999</v>
      </c>
      <c r="P28" s="1">
        <v>10.48</v>
      </c>
      <c r="Q28" s="1">
        <v>51.08</v>
      </c>
      <c r="R28" s="1">
        <v>12.82</v>
      </c>
      <c r="S28" s="2">
        <v>1.2783199999999999</v>
      </c>
      <c r="T28" s="2">
        <v>1.4334899999999999</v>
      </c>
      <c r="U28" s="1">
        <v>0.47499999999999998</v>
      </c>
      <c r="V28" s="1">
        <v>1.913</v>
      </c>
      <c r="W28" s="1">
        <v>55.6</v>
      </c>
      <c r="X28" s="1">
        <v>162.30000000000001</v>
      </c>
      <c r="Y28" s="1">
        <v>7.3999999999999996E-2</v>
      </c>
      <c r="Z28" s="1">
        <v>0.20799999999999999</v>
      </c>
      <c r="AA28" s="1">
        <v>1E-3</v>
      </c>
      <c r="AB28" s="1">
        <v>3.0000000000000001E-3</v>
      </c>
      <c r="AC28" s="1">
        <v>5.8000000000000003E-2</v>
      </c>
      <c r="AD28" s="1">
        <v>4.226</v>
      </c>
      <c r="AE28" s="1">
        <v>6.5000000000000002E-2</v>
      </c>
      <c r="AF28" s="2">
        <v>1.2578800000000001</v>
      </c>
      <c r="AG28" s="2">
        <v>1.44821</v>
      </c>
      <c r="AH28" s="1">
        <v>1.5169999999999999</v>
      </c>
      <c r="AI28" s="1">
        <v>-3.6999999999999998E-2</v>
      </c>
      <c r="AJ28" s="1">
        <v>2E-3</v>
      </c>
      <c r="AK28" s="1">
        <v>0.217</v>
      </c>
      <c r="AL28" s="1">
        <v>358.8</v>
      </c>
      <c r="AM28" s="1">
        <v>2.3E-2</v>
      </c>
      <c r="AN28" s="1">
        <v>3.2000000000000001E-2</v>
      </c>
      <c r="AO28" s="1">
        <v>1E-3</v>
      </c>
      <c r="AP28" s="1">
        <v>1E-3</v>
      </c>
      <c r="AQ28" s="1">
        <v>0</v>
      </c>
      <c r="AR28" s="1">
        <v>0</v>
      </c>
      <c r="AS28" s="1">
        <v>6.0000000000000001E-3</v>
      </c>
      <c r="AT28" s="1">
        <v>6.2E-2</v>
      </c>
      <c r="AU28" s="1">
        <v>2.4830000000000001</v>
      </c>
      <c r="AV28" s="2">
        <v>1.1337600000000001</v>
      </c>
      <c r="AW28" s="2">
        <v>1.16411</v>
      </c>
      <c r="AX28" s="1">
        <v>3.1E-2</v>
      </c>
    </row>
    <row r="29" spans="1:53" x14ac:dyDescent="0.25">
      <c r="A29" s="1" t="s">
        <v>62</v>
      </c>
      <c r="B29" s="1">
        <v>0.42399999999999999</v>
      </c>
      <c r="C29" s="1">
        <v>203.6</v>
      </c>
      <c r="D29" s="1">
        <v>416.7</v>
      </c>
      <c r="E29" s="1">
        <v>318.3</v>
      </c>
      <c r="F29" s="1">
        <v>184</v>
      </c>
      <c r="G29" s="1">
        <v>474.3</v>
      </c>
      <c r="H29" s="1">
        <v>240.7</v>
      </c>
      <c r="I29" s="1">
        <v>197.2</v>
      </c>
      <c r="J29" s="1">
        <v>9.2349999999999994</v>
      </c>
      <c r="K29" s="1">
        <v>3.742</v>
      </c>
      <c r="L29" s="1">
        <v>35.28</v>
      </c>
      <c r="M29" s="1">
        <v>452.7</v>
      </c>
      <c r="N29" s="1">
        <v>3.6629999999999998</v>
      </c>
      <c r="O29" s="1">
        <v>3.32</v>
      </c>
      <c r="P29" s="1">
        <v>3.4969999999999999</v>
      </c>
      <c r="Q29" s="1">
        <v>3.5259999999999998</v>
      </c>
      <c r="R29" s="1">
        <v>1.488</v>
      </c>
      <c r="S29" s="2">
        <v>1.2887500000000001</v>
      </c>
      <c r="T29" s="2">
        <v>1.4153800000000001</v>
      </c>
      <c r="U29" s="1">
        <v>1.4710000000000001</v>
      </c>
      <c r="V29" s="1">
        <v>1.798</v>
      </c>
      <c r="W29" s="1">
        <v>8.4060000000000006</v>
      </c>
      <c r="X29" s="1">
        <v>3.37</v>
      </c>
      <c r="Y29" s="1">
        <v>1.3140000000000001</v>
      </c>
      <c r="Z29" s="1">
        <v>3.3010000000000002</v>
      </c>
      <c r="AA29" s="1">
        <v>0.25700000000000001</v>
      </c>
      <c r="AB29" s="1">
        <v>0.255</v>
      </c>
      <c r="AC29" s="1">
        <v>0.24199999999999999</v>
      </c>
      <c r="AD29" s="1">
        <v>12.07</v>
      </c>
      <c r="AE29" s="1">
        <v>3.359</v>
      </c>
      <c r="AF29" s="2">
        <v>1.24637</v>
      </c>
      <c r="AG29" s="2">
        <v>1.4201600000000001</v>
      </c>
      <c r="AH29" s="1">
        <v>0.26600000000000001</v>
      </c>
      <c r="AI29" s="1">
        <v>0.24099999999999999</v>
      </c>
      <c r="AJ29" s="1">
        <v>0.26700000000000002</v>
      </c>
      <c r="AK29" s="1">
        <v>1.6779999999999999</v>
      </c>
      <c r="AL29" s="1">
        <v>16.28</v>
      </c>
      <c r="AM29" s="1">
        <v>3.5110000000000001</v>
      </c>
      <c r="AN29" s="1">
        <v>1.5580000000000001</v>
      </c>
      <c r="AO29" s="1">
        <v>1.6619999999999999</v>
      </c>
      <c r="AP29" s="1">
        <v>1.647</v>
      </c>
      <c r="AQ29" s="1">
        <v>0.247</v>
      </c>
      <c r="AR29" s="1">
        <v>0.26</v>
      </c>
      <c r="AS29" s="1">
        <v>0.3</v>
      </c>
      <c r="AT29" s="1">
        <v>12.67</v>
      </c>
      <c r="AU29" s="1">
        <v>1.718</v>
      </c>
      <c r="AV29" s="2">
        <v>1.1857800000000001</v>
      </c>
      <c r="AW29" s="2">
        <v>1.2469699999999999</v>
      </c>
      <c r="AX29" s="1">
        <v>2.0529999999999999</v>
      </c>
    </row>
    <row r="30" spans="1:53" x14ac:dyDescent="0.25">
      <c r="A30" s="1" t="s">
        <v>63</v>
      </c>
      <c r="B30" s="1">
        <v>-0.59399999999999997</v>
      </c>
      <c r="C30" s="1">
        <v>-8.0250000000000004</v>
      </c>
      <c r="D30" s="1">
        <v>1.524</v>
      </c>
      <c r="E30" s="1">
        <v>16.670000000000002</v>
      </c>
      <c r="F30" s="1">
        <v>-8.43</v>
      </c>
      <c r="G30" s="1">
        <v>29.48</v>
      </c>
      <c r="H30" s="1">
        <v>-27.55</v>
      </c>
      <c r="I30" s="1">
        <v>1.613</v>
      </c>
      <c r="J30" s="1">
        <v>6.2E-2</v>
      </c>
      <c r="K30" s="1">
        <v>-4.2000000000000003E-2</v>
      </c>
      <c r="L30" s="1">
        <v>9.4E-2</v>
      </c>
      <c r="M30" s="1">
        <v>-3.427</v>
      </c>
      <c r="N30" s="1">
        <v>2.3E-2</v>
      </c>
      <c r="O30" s="1">
        <v>-0.56100000000000005</v>
      </c>
      <c r="P30" s="1">
        <v>-0.27800000000000002</v>
      </c>
      <c r="Q30" s="1">
        <v>-0.318</v>
      </c>
      <c r="R30" s="1">
        <v>-3.2000000000000001E-2</v>
      </c>
      <c r="S30" s="2">
        <v>1.28531</v>
      </c>
      <c r="T30" s="2">
        <v>1.43102</v>
      </c>
      <c r="U30" s="1">
        <v>-0.18099999999999999</v>
      </c>
      <c r="V30" s="1">
        <v>7.0000000000000007E-2</v>
      </c>
      <c r="W30" s="1">
        <v>1.2999999999999999E-2</v>
      </c>
      <c r="X30" s="1">
        <v>2.3E-2</v>
      </c>
      <c r="Y30" s="1">
        <v>2E-3</v>
      </c>
      <c r="Z30" s="1">
        <v>3.2000000000000001E-2</v>
      </c>
      <c r="AA30" s="1">
        <v>1E-3</v>
      </c>
      <c r="AB30" s="1">
        <v>0</v>
      </c>
      <c r="AC30" s="1">
        <v>0</v>
      </c>
      <c r="AD30" s="1">
        <v>5.1999999999999998E-2</v>
      </c>
      <c r="AE30" s="1">
        <v>1.6E-2</v>
      </c>
      <c r="AF30" s="2">
        <v>1.2306999999999999</v>
      </c>
      <c r="AG30" s="2">
        <v>1.4215899999999999</v>
      </c>
      <c r="AH30" s="1">
        <v>-6.3E-2</v>
      </c>
      <c r="AI30" s="1">
        <v>-7.9000000000000001E-2</v>
      </c>
      <c r="AJ30" s="1">
        <v>0</v>
      </c>
      <c r="AK30" s="1">
        <v>5.0000000000000001E-3</v>
      </c>
      <c r="AL30" s="1">
        <v>-0.93</v>
      </c>
      <c r="AM30" s="1">
        <v>1E-3</v>
      </c>
      <c r="AN30" s="1">
        <v>2E-3</v>
      </c>
      <c r="AO30" s="1">
        <v>2E-3</v>
      </c>
      <c r="AP30" s="1">
        <v>2E-3</v>
      </c>
      <c r="AQ30" s="1">
        <v>0</v>
      </c>
      <c r="AR30" s="1">
        <v>0</v>
      </c>
      <c r="AS30" s="1">
        <v>-1E-3</v>
      </c>
      <c r="AT30" s="1">
        <v>2.5999999999999999E-2</v>
      </c>
      <c r="AU30" s="1">
        <v>-1.2E-2</v>
      </c>
      <c r="AV30" s="2">
        <v>1.19353</v>
      </c>
      <c r="AW30" s="2">
        <v>1.2598400000000001</v>
      </c>
      <c r="AX30" s="1">
        <v>1.7000000000000001E-2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O83"/>
  <sheetViews>
    <sheetView workbookViewId="0"/>
  </sheetViews>
  <sheetFormatPr defaultRowHeight="15" x14ac:dyDescent="0.25"/>
  <cols>
    <col min="2" max="2" width="12.85546875" customWidth="1"/>
    <col min="3" max="3" width="13.140625" customWidth="1"/>
    <col min="4" max="4" width="15" customWidth="1"/>
    <col min="5" max="5" width="13" bestFit="1" customWidth="1"/>
    <col min="6" max="6" width="12.85546875" customWidth="1"/>
    <col min="7" max="7" width="13" bestFit="1" customWidth="1"/>
    <col min="8" max="8" width="14.28515625" customWidth="1"/>
    <col min="9" max="9" width="12.7109375" customWidth="1"/>
    <col min="10" max="10" width="11.42578125" bestFit="1" customWidth="1"/>
    <col min="17" max="17" width="12.5703125" customWidth="1"/>
    <col min="18" max="18" width="12.140625" customWidth="1"/>
    <col min="34" max="34" width="15" customWidth="1"/>
    <col min="35" max="35" width="15.42578125" customWidth="1"/>
    <col min="36" max="36" width="14.5703125" customWidth="1"/>
    <col min="37" max="37" width="17.140625" customWidth="1"/>
    <col min="38" max="38" width="14.28515625" customWidth="1"/>
    <col min="39" max="39" width="14.42578125" customWidth="1"/>
    <col min="40" max="40" width="12.140625" customWidth="1"/>
    <col min="41" max="41" width="12.28515625" customWidth="1"/>
    <col min="42" max="42" width="14.140625" customWidth="1"/>
    <col min="43" max="43" width="15.140625" customWidth="1"/>
    <col min="44" max="44" width="12.7109375" customWidth="1"/>
    <col min="45" max="46" width="14.42578125" customWidth="1"/>
    <col min="47" max="47" width="12.7109375" customWidth="1"/>
    <col min="48" max="48" width="15.140625" customWidth="1"/>
    <col min="49" max="49" width="16.28515625" customWidth="1"/>
    <col min="50" max="50" width="14.7109375" customWidth="1"/>
    <col min="51" max="51" width="14.85546875" customWidth="1"/>
    <col min="52" max="52" width="14.42578125" customWidth="1"/>
    <col min="53" max="53" width="11.28515625" customWidth="1"/>
    <col min="54" max="54" width="14.85546875" customWidth="1"/>
    <col min="55" max="55" width="11.7109375" customWidth="1"/>
    <col min="56" max="56" width="13.7109375" customWidth="1"/>
    <col min="57" max="57" width="13" customWidth="1"/>
    <col min="58" max="58" width="13.42578125" customWidth="1"/>
    <col min="59" max="59" width="11.5703125" customWidth="1"/>
    <col min="60" max="60" width="14.140625" customWidth="1"/>
    <col min="61" max="61" width="11.5703125" customWidth="1"/>
    <col min="62" max="62" width="13.42578125" customWidth="1"/>
    <col min="64" max="64" width="11.28515625" customWidth="1"/>
    <col min="65" max="65" width="12" customWidth="1"/>
    <col min="66" max="66" width="12.85546875" customWidth="1"/>
    <col min="67" max="67" width="12" customWidth="1"/>
  </cols>
  <sheetData>
    <row r="2" spans="1:11" ht="20.100000000000001" customHeight="1" thickBot="1" x14ac:dyDescent="0.3"/>
    <row r="3" spans="1:11" ht="20.100000000000001" customHeight="1" x14ac:dyDescent="0.3">
      <c r="B3" s="6" t="s">
        <v>123</v>
      </c>
      <c r="C3" s="6" t="s">
        <v>124</v>
      </c>
      <c r="D3" s="6" t="s">
        <v>125</v>
      </c>
      <c r="E3" s="6" t="s">
        <v>126</v>
      </c>
      <c r="F3" s="6" t="s">
        <v>127</v>
      </c>
      <c r="G3" s="6" t="s">
        <v>128</v>
      </c>
      <c r="H3" s="6" t="s">
        <v>129</v>
      </c>
      <c r="J3" s="6" t="s">
        <v>130</v>
      </c>
    </row>
    <row r="4" spans="1:11" ht="20.100000000000001" customHeight="1" x14ac:dyDescent="0.3">
      <c r="B4" s="7" t="s">
        <v>116</v>
      </c>
      <c r="C4" s="7" t="s">
        <v>115</v>
      </c>
      <c r="D4" s="7" t="s">
        <v>114</v>
      </c>
      <c r="E4" s="8">
        <v>6.9444444444444434E-2</v>
      </c>
      <c r="F4" s="8">
        <v>5.5555555555555552E-2</v>
      </c>
      <c r="G4" s="8">
        <v>4.8611111111111112E-2</v>
      </c>
      <c r="H4" s="9" t="s">
        <v>112</v>
      </c>
      <c r="J4" s="7" t="s">
        <v>109</v>
      </c>
    </row>
    <row r="5" spans="1:11" ht="20.100000000000001" customHeight="1" thickBot="1" x14ac:dyDescent="0.35">
      <c r="B5" s="10" t="s">
        <v>81</v>
      </c>
      <c r="C5" s="10" t="s">
        <v>81</v>
      </c>
      <c r="D5" s="10" t="s">
        <v>81</v>
      </c>
      <c r="E5" s="10" t="s">
        <v>81</v>
      </c>
      <c r="F5" s="10" t="s">
        <v>81</v>
      </c>
      <c r="G5" s="10" t="s">
        <v>81</v>
      </c>
      <c r="H5" s="10" t="s">
        <v>81</v>
      </c>
      <c r="J5" s="11" t="s">
        <v>81</v>
      </c>
    </row>
    <row r="6" spans="1:11" ht="20.100000000000001" customHeight="1" thickBot="1" x14ac:dyDescent="0.4">
      <c r="A6" s="12" t="s">
        <v>131</v>
      </c>
      <c r="B6" s="13">
        <f>H6/1000</f>
        <v>51.152847152847173</v>
      </c>
      <c r="C6" s="13">
        <f>H6/200</f>
        <v>255.76423576423585</v>
      </c>
      <c r="D6" s="14">
        <f>H6/100</f>
        <v>511.5284715284717</v>
      </c>
      <c r="E6" s="13">
        <f>H6/40</f>
        <v>1278.8211788211793</v>
      </c>
      <c r="F6" s="13">
        <f>H6/20</f>
        <v>2557.6423576423585</v>
      </c>
      <c r="G6" s="13">
        <f>H6/10</f>
        <v>5115.2847152847171</v>
      </c>
      <c r="H6" s="15">
        <v>51152.847152847171</v>
      </c>
      <c r="J6" s="16">
        <f>H6/40</f>
        <v>1278.8211788211793</v>
      </c>
    </row>
    <row r="7" spans="1:11" ht="20.100000000000001" customHeight="1" thickBot="1" x14ac:dyDescent="0.4">
      <c r="A7" s="17" t="s">
        <v>64</v>
      </c>
      <c r="B7" s="13">
        <f t="shared" ref="B7:B8" si="0">H7/1000</f>
        <v>2.0979020979020994E-2</v>
      </c>
      <c r="C7" s="13">
        <f t="shared" ref="C7:C8" si="1">H7/200</f>
        <v>0.10489510489510497</v>
      </c>
      <c r="D7" s="14">
        <f t="shared" ref="D7:D8" si="2">H7/100</f>
        <v>0.20979020979020993</v>
      </c>
      <c r="E7" s="13">
        <f t="shared" ref="E7:E8" si="3">H7/40</f>
        <v>0.52447552447552481</v>
      </c>
      <c r="F7" s="13">
        <f t="shared" ref="F7:F8" si="4">H7/20</f>
        <v>1.0489510489510496</v>
      </c>
      <c r="G7" s="13">
        <f t="shared" ref="G7:G8" si="5">H7/10</f>
        <v>2.0979020979020992</v>
      </c>
      <c r="H7" s="15">
        <v>20.979020979020994</v>
      </c>
      <c r="J7" s="16">
        <f t="shared" ref="J7:J8" si="6">H7/40</f>
        <v>0.52447552447552481</v>
      </c>
    </row>
    <row r="8" spans="1:11" ht="20.100000000000001" customHeight="1" thickBot="1" x14ac:dyDescent="0.4">
      <c r="A8" s="18" t="s">
        <v>69</v>
      </c>
      <c r="B8" s="13">
        <f t="shared" si="0"/>
        <v>0.99900099900101325</v>
      </c>
      <c r="C8" s="13">
        <f t="shared" si="1"/>
        <v>4.9950049950050666</v>
      </c>
      <c r="D8" s="14">
        <f t="shared" si="2"/>
        <v>9.9900099900101331</v>
      </c>
      <c r="E8" s="13">
        <f t="shared" si="3"/>
        <v>24.975024975025331</v>
      </c>
      <c r="F8" s="13">
        <f t="shared" si="4"/>
        <v>49.950049950050662</v>
      </c>
      <c r="G8" s="13">
        <f t="shared" si="5"/>
        <v>99.900099900101324</v>
      </c>
      <c r="H8" s="15">
        <v>999.00099900101327</v>
      </c>
      <c r="J8" s="16">
        <f t="shared" si="6"/>
        <v>24.975024975025331</v>
      </c>
    </row>
    <row r="9" spans="1:11" ht="20.100000000000001" customHeight="1" x14ac:dyDescent="0.35">
      <c r="A9" s="19" t="s">
        <v>82</v>
      </c>
      <c r="B9" s="13">
        <f>H9/1000</f>
        <v>5.2552380523171585E-2</v>
      </c>
      <c r="C9" s="13">
        <f>H9/200</f>
        <v>0.26276190261585791</v>
      </c>
      <c r="D9" s="14">
        <f>H9/100</f>
        <v>0.52552380523171582</v>
      </c>
      <c r="E9" s="13">
        <f>H9/40</f>
        <v>1.3138095130792897</v>
      </c>
      <c r="F9" s="13">
        <f>H9/20</f>
        <v>2.6276190261585795</v>
      </c>
      <c r="G9" s="13">
        <f>H9/10</f>
        <v>5.2552380523171589</v>
      </c>
      <c r="H9" s="15">
        <v>52.552380523171585</v>
      </c>
      <c r="J9" s="16">
        <f>H9/40</f>
        <v>1.3138095130792897</v>
      </c>
    </row>
    <row r="10" spans="1:11" ht="20.100000000000001" customHeight="1" thickBot="1" x14ac:dyDescent="0.4">
      <c r="A10" s="20" t="s">
        <v>87</v>
      </c>
      <c r="B10" s="21">
        <f t="shared" ref="B10:B67" si="7">H10/1000</f>
        <v>5.1348735161810023E-2</v>
      </c>
      <c r="C10" s="21">
        <f t="shared" ref="C10:C67" si="8">H10/200</f>
        <v>0.25674367580905011</v>
      </c>
      <c r="D10" s="22">
        <f t="shared" ref="D10:D67" si="9">H10/100</f>
        <v>0.51348735161810022</v>
      </c>
      <c r="E10" s="21">
        <f t="shared" ref="E10:E67" si="10">H10/40</f>
        <v>1.2837183790452507</v>
      </c>
      <c r="F10" s="21">
        <f t="shared" ref="F10:F67" si="11">H10/20</f>
        <v>2.5674367580905013</v>
      </c>
      <c r="G10" s="21">
        <f t="shared" ref="G10:G67" si="12">H10/10</f>
        <v>5.1348735161810026</v>
      </c>
      <c r="H10" s="23">
        <v>51.348735161810026</v>
      </c>
      <c r="J10" s="24">
        <f t="shared" ref="J10:J68" si="13">H10/40</f>
        <v>1.2837183790452507</v>
      </c>
    </row>
    <row r="11" spans="1:11" ht="20.100000000000001" customHeight="1" x14ac:dyDescent="0.35">
      <c r="A11" s="25" t="s">
        <v>92</v>
      </c>
      <c r="B11" s="13">
        <f t="shared" si="7"/>
        <v>0.4971056260273482</v>
      </c>
      <c r="C11" s="13">
        <f t="shared" si="8"/>
        <v>2.4855281301367409</v>
      </c>
      <c r="D11" s="14">
        <f t="shared" si="9"/>
        <v>4.9710562602734818</v>
      </c>
      <c r="E11" s="13">
        <f t="shared" si="10"/>
        <v>12.427640650683704</v>
      </c>
      <c r="F11" s="13">
        <f t="shared" si="11"/>
        <v>24.855281301367409</v>
      </c>
      <c r="G11" s="13">
        <f t="shared" si="12"/>
        <v>49.710562602734818</v>
      </c>
      <c r="H11" s="26">
        <v>497.10562602734819</v>
      </c>
      <c r="J11" s="16">
        <f t="shared" si="13"/>
        <v>12.427640650683704</v>
      </c>
      <c r="K11" s="27"/>
    </row>
    <row r="12" spans="1:11" ht="20.100000000000001" customHeight="1" thickBot="1" x14ac:dyDescent="0.4">
      <c r="A12" s="28" t="s">
        <v>106</v>
      </c>
      <c r="B12" s="21">
        <f t="shared" si="7"/>
        <v>0.51330387630654384</v>
      </c>
      <c r="C12" s="21">
        <f t="shared" si="8"/>
        <v>2.5665193815327196</v>
      </c>
      <c r="D12" s="22">
        <f t="shared" si="9"/>
        <v>5.1330387630654393</v>
      </c>
      <c r="E12" s="21">
        <f t="shared" si="10"/>
        <v>12.832596907663596</v>
      </c>
      <c r="F12" s="21">
        <f t="shared" si="11"/>
        <v>25.665193815327193</v>
      </c>
      <c r="G12" s="21">
        <f t="shared" si="12"/>
        <v>51.330387630654386</v>
      </c>
      <c r="H12" s="29">
        <v>513.30387630654388</v>
      </c>
      <c r="J12" s="24">
        <f t="shared" si="13"/>
        <v>12.832596907663596</v>
      </c>
    </row>
    <row r="13" spans="1:11" ht="20.100000000000001" customHeight="1" x14ac:dyDescent="0.35">
      <c r="A13" s="30" t="s">
        <v>105</v>
      </c>
      <c r="B13" s="13">
        <f t="shared" si="7"/>
        <v>1.0035908828614687E-2</v>
      </c>
      <c r="C13" s="13">
        <f t="shared" si="8"/>
        <v>5.0179544143073435E-2</v>
      </c>
      <c r="D13" s="14">
        <f t="shared" si="9"/>
        <v>0.10035908828614687</v>
      </c>
      <c r="E13" s="13">
        <f t="shared" si="10"/>
        <v>0.2508977207153672</v>
      </c>
      <c r="F13" s="13">
        <f t="shared" si="11"/>
        <v>0.5017954414307344</v>
      </c>
      <c r="G13" s="31">
        <f t="shared" si="12"/>
        <v>1.0035908828614688</v>
      </c>
      <c r="H13" s="26">
        <v>10.035908828614687</v>
      </c>
      <c r="J13" s="16">
        <f t="shared" si="13"/>
        <v>0.2508977207153672</v>
      </c>
    </row>
    <row r="14" spans="1:11" ht="20.100000000000001" customHeight="1" x14ac:dyDescent="0.35">
      <c r="A14" s="32" t="s">
        <v>100</v>
      </c>
      <c r="B14" s="33">
        <f t="shared" si="7"/>
        <v>1.0035908828614687E-2</v>
      </c>
      <c r="C14" s="33">
        <f t="shared" si="8"/>
        <v>5.0179544143073435E-2</v>
      </c>
      <c r="D14" s="34">
        <f t="shared" si="9"/>
        <v>0.10035908828614687</v>
      </c>
      <c r="E14" s="33">
        <f t="shared" si="10"/>
        <v>0.2508977207153672</v>
      </c>
      <c r="F14" s="33">
        <f t="shared" si="11"/>
        <v>0.5017954414307344</v>
      </c>
      <c r="G14" s="35">
        <f t="shared" si="12"/>
        <v>1.0035908828614688</v>
      </c>
      <c r="H14" s="29">
        <v>10.035908828614687</v>
      </c>
      <c r="J14" s="36">
        <f t="shared" si="13"/>
        <v>0.2508977207153672</v>
      </c>
    </row>
    <row r="15" spans="1:11" ht="20.100000000000001" customHeight="1" x14ac:dyDescent="0.35">
      <c r="A15" s="37" t="s">
        <v>103</v>
      </c>
      <c r="B15" s="33">
        <f t="shared" si="7"/>
        <v>1.0035908828614687E-2</v>
      </c>
      <c r="C15" s="33">
        <f t="shared" si="8"/>
        <v>5.0179544143073435E-2</v>
      </c>
      <c r="D15" s="34">
        <f t="shared" si="9"/>
        <v>0.10035908828614687</v>
      </c>
      <c r="E15" s="33">
        <f t="shared" si="10"/>
        <v>0.2508977207153672</v>
      </c>
      <c r="F15" s="33">
        <f t="shared" si="11"/>
        <v>0.5017954414307344</v>
      </c>
      <c r="G15" s="35">
        <f t="shared" si="12"/>
        <v>1.0035908828614688</v>
      </c>
      <c r="H15" s="29">
        <v>10.035908828614687</v>
      </c>
      <c r="J15" s="36">
        <f t="shared" si="13"/>
        <v>0.2508977207153672</v>
      </c>
    </row>
    <row r="16" spans="1:11" ht="20.100000000000001" customHeight="1" x14ac:dyDescent="0.35">
      <c r="A16" s="37" t="s">
        <v>91</v>
      </c>
      <c r="B16" s="33">
        <f t="shared" si="7"/>
        <v>1.0035908828614687E-2</v>
      </c>
      <c r="C16" s="33">
        <f t="shared" si="8"/>
        <v>5.0179544143073435E-2</v>
      </c>
      <c r="D16" s="34">
        <f t="shared" si="9"/>
        <v>0.10035908828614687</v>
      </c>
      <c r="E16" s="33">
        <f t="shared" si="10"/>
        <v>0.2508977207153672</v>
      </c>
      <c r="F16" s="33">
        <f t="shared" si="11"/>
        <v>0.5017954414307344</v>
      </c>
      <c r="G16" s="35">
        <f t="shared" si="12"/>
        <v>1.0035908828614688</v>
      </c>
      <c r="H16" s="29">
        <v>10.035908828614687</v>
      </c>
      <c r="J16" s="36">
        <f t="shared" si="13"/>
        <v>0.2508977207153672</v>
      </c>
    </row>
    <row r="17" spans="1:10" ht="20.100000000000001" customHeight="1" x14ac:dyDescent="0.35">
      <c r="A17" s="37" t="s">
        <v>104</v>
      </c>
      <c r="B17" s="33">
        <f t="shared" si="7"/>
        <v>1.0035908828614687E-2</v>
      </c>
      <c r="C17" s="33">
        <f t="shared" si="8"/>
        <v>5.0179544143073435E-2</v>
      </c>
      <c r="D17" s="34">
        <f t="shared" si="9"/>
        <v>0.10035908828614687</v>
      </c>
      <c r="E17" s="33">
        <f t="shared" si="10"/>
        <v>0.2508977207153672</v>
      </c>
      <c r="F17" s="33">
        <f t="shared" si="11"/>
        <v>0.5017954414307344</v>
      </c>
      <c r="G17" s="35">
        <f t="shared" si="12"/>
        <v>1.0035908828614688</v>
      </c>
      <c r="H17" s="29">
        <v>10.035908828614687</v>
      </c>
      <c r="J17" s="36">
        <f t="shared" si="13"/>
        <v>0.2508977207153672</v>
      </c>
    </row>
    <row r="18" spans="1:10" ht="20.100000000000001" customHeight="1" x14ac:dyDescent="0.35">
      <c r="A18" s="37" t="s">
        <v>90</v>
      </c>
      <c r="B18" s="33">
        <f t="shared" si="7"/>
        <v>1.0035908828614687E-2</v>
      </c>
      <c r="C18" s="33">
        <f t="shared" si="8"/>
        <v>5.0179544143073435E-2</v>
      </c>
      <c r="D18" s="34">
        <f t="shared" si="9"/>
        <v>0.10035908828614687</v>
      </c>
      <c r="E18" s="33">
        <f t="shared" si="10"/>
        <v>0.2508977207153672</v>
      </c>
      <c r="F18" s="33">
        <f t="shared" si="11"/>
        <v>0.5017954414307344</v>
      </c>
      <c r="G18" s="35">
        <f t="shared" si="12"/>
        <v>1.0035908828614688</v>
      </c>
      <c r="H18" s="29">
        <v>10.035908828614687</v>
      </c>
      <c r="J18" s="36">
        <f t="shared" si="13"/>
        <v>0.2508977207153672</v>
      </c>
    </row>
    <row r="19" spans="1:10" ht="20.100000000000001" customHeight="1" x14ac:dyDescent="0.35">
      <c r="A19" s="37" t="s">
        <v>89</v>
      </c>
      <c r="B19" s="33">
        <f t="shared" si="7"/>
        <v>1.0035908828614687E-2</v>
      </c>
      <c r="C19" s="33">
        <f t="shared" si="8"/>
        <v>5.0179544143073435E-2</v>
      </c>
      <c r="D19" s="34">
        <f t="shared" si="9"/>
        <v>0.10035908828614687</v>
      </c>
      <c r="E19" s="33">
        <f t="shared" si="10"/>
        <v>0.2508977207153672</v>
      </c>
      <c r="F19" s="33">
        <f t="shared" si="11"/>
        <v>0.5017954414307344</v>
      </c>
      <c r="G19" s="35">
        <f t="shared" si="12"/>
        <v>1.0035908828614688</v>
      </c>
      <c r="H19" s="29">
        <v>10.035908828614687</v>
      </c>
      <c r="J19" s="36">
        <f t="shared" si="13"/>
        <v>0.2508977207153672</v>
      </c>
    </row>
    <row r="20" spans="1:10" ht="20.100000000000001" customHeight="1" x14ac:dyDescent="0.35">
      <c r="A20" s="37" t="s">
        <v>95</v>
      </c>
      <c r="B20" s="33">
        <f t="shared" si="7"/>
        <v>1.0035908828614687E-2</v>
      </c>
      <c r="C20" s="33">
        <f t="shared" si="8"/>
        <v>5.0179544143073435E-2</v>
      </c>
      <c r="D20" s="34">
        <f t="shared" si="9"/>
        <v>0.10035908828614687</v>
      </c>
      <c r="E20" s="33">
        <f t="shared" si="10"/>
        <v>0.2508977207153672</v>
      </c>
      <c r="F20" s="33">
        <f t="shared" si="11"/>
        <v>0.5017954414307344</v>
      </c>
      <c r="G20" s="35">
        <f t="shared" si="12"/>
        <v>1.0035908828614688</v>
      </c>
      <c r="H20" s="29">
        <v>10.035908828614687</v>
      </c>
      <c r="J20" s="36">
        <f t="shared" si="13"/>
        <v>0.2508977207153672</v>
      </c>
    </row>
    <row r="21" spans="1:10" ht="20.100000000000001" customHeight="1" x14ac:dyDescent="0.35">
      <c r="A21" s="37" t="s">
        <v>94</v>
      </c>
      <c r="B21" s="33">
        <f t="shared" si="7"/>
        <v>1.0035908828614687E-2</v>
      </c>
      <c r="C21" s="33">
        <f t="shared" si="8"/>
        <v>5.0179544143073435E-2</v>
      </c>
      <c r="D21" s="34">
        <f t="shared" si="9"/>
        <v>0.10035908828614687</v>
      </c>
      <c r="E21" s="33">
        <f t="shared" si="10"/>
        <v>0.2508977207153672</v>
      </c>
      <c r="F21" s="33">
        <f t="shared" si="11"/>
        <v>0.5017954414307344</v>
      </c>
      <c r="G21" s="35">
        <f t="shared" si="12"/>
        <v>1.0035908828614688</v>
      </c>
      <c r="H21" s="29">
        <v>10.035908828614687</v>
      </c>
      <c r="J21" s="36">
        <f t="shared" si="13"/>
        <v>0.2508977207153672</v>
      </c>
    </row>
    <row r="22" spans="1:10" ht="20.100000000000001" customHeight="1" thickBot="1" x14ac:dyDescent="0.4">
      <c r="A22" s="38" t="s">
        <v>96</v>
      </c>
      <c r="B22" s="21">
        <f t="shared" si="7"/>
        <v>1.0035908828614687E-2</v>
      </c>
      <c r="C22" s="21">
        <f t="shared" si="8"/>
        <v>5.0179544143073435E-2</v>
      </c>
      <c r="D22" s="22">
        <f t="shared" si="9"/>
        <v>0.10035908828614687</v>
      </c>
      <c r="E22" s="21">
        <f t="shared" si="10"/>
        <v>0.2508977207153672</v>
      </c>
      <c r="F22" s="21">
        <f t="shared" si="11"/>
        <v>0.5017954414307344</v>
      </c>
      <c r="G22" s="39">
        <f t="shared" si="12"/>
        <v>1.0035908828614688</v>
      </c>
      <c r="H22" s="40">
        <v>10.035908828614687</v>
      </c>
      <c r="J22" s="24">
        <f t="shared" si="13"/>
        <v>0.2508977207153672</v>
      </c>
    </row>
    <row r="23" spans="1:10" ht="20.100000000000001" customHeight="1" x14ac:dyDescent="0.35">
      <c r="A23" s="41" t="s">
        <v>99</v>
      </c>
      <c r="B23" s="13">
        <f t="shared" si="7"/>
        <v>1.9502248315332663E-2</v>
      </c>
      <c r="C23" s="13">
        <f t="shared" si="8"/>
        <v>9.7511241576663299E-2</v>
      </c>
      <c r="D23" s="14">
        <f t="shared" si="9"/>
        <v>0.1950224831533266</v>
      </c>
      <c r="E23" s="13">
        <f t="shared" si="10"/>
        <v>0.48755620788331655</v>
      </c>
      <c r="F23" s="13">
        <f t="shared" si="11"/>
        <v>0.9751124157666331</v>
      </c>
      <c r="G23" s="13">
        <f t="shared" si="12"/>
        <v>1.9502248315332662</v>
      </c>
      <c r="H23" s="29">
        <v>19.502248315332661</v>
      </c>
      <c r="J23" s="16">
        <f t="shared" si="13"/>
        <v>0.48755620788331655</v>
      </c>
    </row>
    <row r="24" spans="1:10" ht="20.100000000000001" customHeight="1" x14ac:dyDescent="0.35">
      <c r="A24" s="42" t="s">
        <v>132</v>
      </c>
      <c r="B24" s="33">
        <f t="shared" si="7"/>
        <v>1.9502248315332663E-2</v>
      </c>
      <c r="C24" s="33">
        <f t="shared" si="8"/>
        <v>9.7511241576663299E-2</v>
      </c>
      <c r="D24" s="34">
        <f t="shared" si="9"/>
        <v>0.1950224831533266</v>
      </c>
      <c r="E24" s="33">
        <f t="shared" si="10"/>
        <v>0.48755620788331655</v>
      </c>
      <c r="F24" s="33">
        <f t="shared" si="11"/>
        <v>0.9751124157666331</v>
      </c>
      <c r="G24" s="33">
        <f t="shared" si="12"/>
        <v>1.9502248315332662</v>
      </c>
      <c r="H24" s="29">
        <v>19.502248315332661</v>
      </c>
      <c r="J24" s="36">
        <f t="shared" si="13"/>
        <v>0.48755620788331655</v>
      </c>
    </row>
    <row r="25" spans="1:10" ht="20.100000000000001" customHeight="1" x14ac:dyDescent="0.35">
      <c r="A25" s="42" t="s">
        <v>133</v>
      </c>
      <c r="B25" s="33">
        <f t="shared" si="7"/>
        <v>1.9502248315332663E-2</v>
      </c>
      <c r="C25" s="33">
        <f t="shared" si="8"/>
        <v>9.7511241576663299E-2</v>
      </c>
      <c r="D25" s="34">
        <f t="shared" si="9"/>
        <v>0.1950224831533266</v>
      </c>
      <c r="E25" s="33">
        <f t="shared" si="10"/>
        <v>0.48755620788331655</v>
      </c>
      <c r="F25" s="33">
        <f t="shared" si="11"/>
        <v>0.9751124157666331</v>
      </c>
      <c r="G25" s="33">
        <f t="shared" si="12"/>
        <v>1.9502248315332662</v>
      </c>
      <c r="H25" s="29">
        <v>19.502248315332661</v>
      </c>
      <c r="J25" s="36">
        <f t="shared" si="13"/>
        <v>0.48755620788331655</v>
      </c>
    </row>
    <row r="26" spans="1:10" ht="20.100000000000001" customHeight="1" x14ac:dyDescent="0.35">
      <c r="A26" s="42" t="s">
        <v>134</v>
      </c>
      <c r="B26" s="33">
        <f t="shared" si="7"/>
        <v>1.9502248315332663E-2</v>
      </c>
      <c r="C26" s="33">
        <f t="shared" si="8"/>
        <v>9.7511241576663299E-2</v>
      </c>
      <c r="D26" s="34">
        <f t="shared" si="9"/>
        <v>0.1950224831533266</v>
      </c>
      <c r="E26" s="33">
        <f t="shared" si="10"/>
        <v>0.48755620788331655</v>
      </c>
      <c r="F26" s="33">
        <f t="shared" si="11"/>
        <v>0.9751124157666331</v>
      </c>
      <c r="G26" s="33">
        <f t="shared" si="12"/>
        <v>1.9502248315332662</v>
      </c>
      <c r="H26" s="29">
        <v>19.502248315332661</v>
      </c>
      <c r="J26" s="36">
        <f t="shared" si="13"/>
        <v>0.48755620788331655</v>
      </c>
    </row>
    <row r="27" spans="1:10" ht="20.100000000000001" customHeight="1" x14ac:dyDescent="0.35">
      <c r="A27" s="42" t="s">
        <v>135</v>
      </c>
      <c r="B27" s="33">
        <f t="shared" si="7"/>
        <v>1.9502248315332663E-2</v>
      </c>
      <c r="C27" s="33">
        <f t="shared" si="8"/>
        <v>9.7511241576663299E-2</v>
      </c>
      <c r="D27" s="34">
        <f t="shared" si="9"/>
        <v>0.1950224831533266</v>
      </c>
      <c r="E27" s="33">
        <f t="shared" si="10"/>
        <v>0.48755620788331655</v>
      </c>
      <c r="F27" s="33">
        <f t="shared" si="11"/>
        <v>0.9751124157666331</v>
      </c>
      <c r="G27" s="33">
        <f t="shared" si="12"/>
        <v>1.9502248315332662</v>
      </c>
      <c r="H27" s="29">
        <v>19.502248315332661</v>
      </c>
      <c r="J27" s="36">
        <f t="shared" si="13"/>
        <v>0.48755620788331655</v>
      </c>
    </row>
    <row r="28" spans="1:10" ht="20.100000000000001" customHeight="1" x14ac:dyDescent="0.35">
      <c r="A28" s="42" t="s">
        <v>136</v>
      </c>
      <c r="B28" s="33">
        <f t="shared" si="7"/>
        <v>1.9502248315332663E-2</v>
      </c>
      <c r="C28" s="33">
        <f t="shared" si="8"/>
        <v>9.7511241576663299E-2</v>
      </c>
      <c r="D28" s="34">
        <f t="shared" si="9"/>
        <v>0.1950224831533266</v>
      </c>
      <c r="E28" s="33">
        <f t="shared" si="10"/>
        <v>0.48755620788331655</v>
      </c>
      <c r="F28" s="33">
        <f t="shared" si="11"/>
        <v>0.9751124157666331</v>
      </c>
      <c r="G28" s="33">
        <f t="shared" si="12"/>
        <v>1.9502248315332662</v>
      </c>
      <c r="H28" s="29">
        <v>19.502248315332661</v>
      </c>
      <c r="J28" s="36">
        <f t="shared" si="13"/>
        <v>0.48755620788331655</v>
      </c>
    </row>
    <row r="29" spans="1:10" ht="20.100000000000001" customHeight="1" x14ac:dyDescent="0.35">
      <c r="A29" s="42" t="s">
        <v>137</v>
      </c>
      <c r="B29" s="33">
        <f t="shared" si="7"/>
        <v>1.9502248315332663E-2</v>
      </c>
      <c r="C29" s="33">
        <f t="shared" si="8"/>
        <v>9.7511241576663299E-2</v>
      </c>
      <c r="D29" s="34">
        <f t="shared" si="9"/>
        <v>0.1950224831533266</v>
      </c>
      <c r="E29" s="33">
        <f t="shared" si="10"/>
        <v>0.48755620788331655</v>
      </c>
      <c r="F29" s="33">
        <f t="shared" si="11"/>
        <v>0.9751124157666331</v>
      </c>
      <c r="G29" s="33">
        <f t="shared" si="12"/>
        <v>1.9502248315332662</v>
      </c>
      <c r="H29" s="29">
        <v>19.502248315332661</v>
      </c>
      <c r="J29" s="36">
        <f t="shared" si="13"/>
        <v>0.48755620788331655</v>
      </c>
    </row>
    <row r="30" spans="1:10" ht="20.100000000000001" customHeight="1" x14ac:dyDescent="0.35">
      <c r="A30" s="42" t="s">
        <v>138</v>
      </c>
      <c r="B30" s="33">
        <f t="shared" si="7"/>
        <v>1.9502248315332663E-2</v>
      </c>
      <c r="C30" s="33">
        <f t="shared" si="8"/>
        <v>9.7511241576663299E-2</v>
      </c>
      <c r="D30" s="34">
        <f t="shared" si="9"/>
        <v>0.1950224831533266</v>
      </c>
      <c r="E30" s="33">
        <f t="shared" si="10"/>
        <v>0.48755620788331655</v>
      </c>
      <c r="F30" s="33">
        <f t="shared" si="11"/>
        <v>0.9751124157666331</v>
      </c>
      <c r="G30" s="33">
        <f t="shared" si="12"/>
        <v>1.9502248315332662</v>
      </c>
      <c r="H30" s="29">
        <v>19.502248315332661</v>
      </c>
      <c r="J30" s="36">
        <f t="shared" si="13"/>
        <v>0.48755620788331655</v>
      </c>
    </row>
    <row r="31" spans="1:10" ht="20.100000000000001" customHeight="1" x14ac:dyDescent="0.35">
      <c r="A31" s="42" t="s">
        <v>139</v>
      </c>
      <c r="B31" s="33">
        <f t="shared" si="7"/>
        <v>1.9502248315332663E-2</v>
      </c>
      <c r="C31" s="33">
        <f t="shared" si="8"/>
        <v>9.7511241576663299E-2</v>
      </c>
      <c r="D31" s="34">
        <f t="shared" si="9"/>
        <v>0.1950224831533266</v>
      </c>
      <c r="E31" s="33">
        <f t="shared" si="10"/>
        <v>0.48755620788331655</v>
      </c>
      <c r="F31" s="33">
        <f t="shared" si="11"/>
        <v>0.9751124157666331</v>
      </c>
      <c r="G31" s="33">
        <f t="shared" si="12"/>
        <v>1.9502248315332662</v>
      </c>
      <c r="H31" s="29">
        <v>19.502248315332661</v>
      </c>
      <c r="J31" s="36">
        <f t="shared" si="13"/>
        <v>0.48755620788331655</v>
      </c>
    </row>
    <row r="32" spans="1:10" ht="20.100000000000001" customHeight="1" x14ac:dyDescent="0.35">
      <c r="A32" s="42" t="s">
        <v>140</v>
      </c>
      <c r="B32" s="33">
        <f t="shared" si="7"/>
        <v>1.9502248315332663E-2</v>
      </c>
      <c r="C32" s="33">
        <f t="shared" si="8"/>
        <v>9.7511241576663299E-2</v>
      </c>
      <c r="D32" s="34">
        <f t="shared" si="9"/>
        <v>0.1950224831533266</v>
      </c>
      <c r="E32" s="33">
        <f t="shared" si="10"/>
        <v>0.48755620788331655</v>
      </c>
      <c r="F32" s="33">
        <f t="shared" si="11"/>
        <v>0.9751124157666331</v>
      </c>
      <c r="G32" s="33">
        <f t="shared" si="12"/>
        <v>1.9502248315332662</v>
      </c>
      <c r="H32" s="29">
        <v>19.502248315332661</v>
      </c>
      <c r="J32" s="36">
        <f t="shared" si="13"/>
        <v>0.48755620788331655</v>
      </c>
    </row>
    <row r="33" spans="1:10" ht="20.100000000000001" customHeight="1" x14ac:dyDescent="0.35">
      <c r="A33" s="42" t="s">
        <v>141</v>
      </c>
      <c r="B33" s="33">
        <f t="shared" si="7"/>
        <v>1.9502248315332663E-2</v>
      </c>
      <c r="C33" s="33">
        <f t="shared" si="8"/>
        <v>9.7511241576663299E-2</v>
      </c>
      <c r="D33" s="34">
        <f t="shared" si="9"/>
        <v>0.1950224831533266</v>
      </c>
      <c r="E33" s="33">
        <f t="shared" si="10"/>
        <v>0.48755620788331655</v>
      </c>
      <c r="F33" s="33">
        <f t="shared" si="11"/>
        <v>0.9751124157666331</v>
      </c>
      <c r="G33" s="33">
        <f t="shared" si="12"/>
        <v>1.9502248315332662</v>
      </c>
      <c r="H33" s="29">
        <v>19.502248315332661</v>
      </c>
      <c r="J33" s="36">
        <f t="shared" si="13"/>
        <v>0.48755620788331655</v>
      </c>
    </row>
    <row r="34" spans="1:10" ht="20.100000000000001" customHeight="1" x14ac:dyDescent="0.35">
      <c r="A34" s="42" t="s">
        <v>142</v>
      </c>
      <c r="B34" s="33">
        <f t="shared" si="7"/>
        <v>1.9502248315332663E-2</v>
      </c>
      <c r="C34" s="33">
        <f t="shared" si="8"/>
        <v>9.7511241576663299E-2</v>
      </c>
      <c r="D34" s="34">
        <f t="shared" si="9"/>
        <v>0.1950224831533266</v>
      </c>
      <c r="E34" s="33">
        <f t="shared" si="10"/>
        <v>0.48755620788331655</v>
      </c>
      <c r="F34" s="33">
        <f t="shared" si="11"/>
        <v>0.9751124157666331</v>
      </c>
      <c r="G34" s="33">
        <f t="shared" si="12"/>
        <v>1.9502248315332662</v>
      </c>
      <c r="H34" s="29">
        <v>19.502248315332661</v>
      </c>
      <c r="J34" s="36">
        <f t="shared" si="13"/>
        <v>0.48755620788331655</v>
      </c>
    </row>
    <row r="35" spans="1:10" ht="20.100000000000001" customHeight="1" x14ac:dyDescent="0.35">
      <c r="A35" s="42" t="s">
        <v>143</v>
      </c>
      <c r="B35" s="33">
        <f t="shared" si="7"/>
        <v>1.9502248315332663E-2</v>
      </c>
      <c r="C35" s="33">
        <f t="shared" si="8"/>
        <v>9.7511241576663299E-2</v>
      </c>
      <c r="D35" s="34">
        <f t="shared" si="9"/>
        <v>0.1950224831533266</v>
      </c>
      <c r="E35" s="33">
        <f t="shared" si="10"/>
        <v>0.48755620788331655</v>
      </c>
      <c r="F35" s="33">
        <f t="shared" si="11"/>
        <v>0.9751124157666331</v>
      </c>
      <c r="G35" s="33">
        <f t="shared" si="12"/>
        <v>1.9502248315332662</v>
      </c>
      <c r="H35" s="29">
        <v>19.502248315332661</v>
      </c>
      <c r="J35" s="36">
        <f t="shared" si="13"/>
        <v>0.48755620788331655</v>
      </c>
    </row>
    <row r="36" spans="1:10" ht="20.100000000000001" customHeight="1" x14ac:dyDescent="0.35">
      <c r="A36" s="42" t="s">
        <v>144</v>
      </c>
      <c r="B36" s="33">
        <f t="shared" si="7"/>
        <v>1.9502248315332663E-2</v>
      </c>
      <c r="C36" s="33">
        <f t="shared" si="8"/>
        <v>9.7511241576663299E-2</v>
      </c>
      <c r="D36" s="34">
        <f t="shared" si="9"/>
        <v>0.1950224831533266</v>
      </c>
      <c r="E36" s="33">
        <f t="shared" si="10"/>
        <v>0.48755620788331655</v>
      </c>
      <c r="F36" s="33">
        <f t="shared" si="11"/>
        <v>0.9751124157666331</v>
      </c>
      <c r="G36" s="33">
        <f t="shared" si="12"/>
        <v>1.9502248315332662</v>
      </c>
      <c r="H36" s="29">
        <v>19.502248315332661</v>
      </c>
      <c r="J36" s="36">
        <f t="shared" si="13"/>
        <v>0.48755620788331655</v>
      </c>
    </row>
    <row r="37" spans="1:10" ht="20.100000000000001" customHeight="1" x14ac:dyDescent="0.35">
      <c r="A37" s="42" t="s">
        <v>145</v>
      </c>
      <c r="B37" s="33">
        <f t="shared" si="7"/>
        <v>1.9502248315332663E-2</v>
      </c>
      <c r="C37" s="33">
        <f t="shared" si="8"/>
        <v>9.7511241576663299E-2</v>
      </c>
      <c r="D37" s="34">
        <f t="shared" si="9"/>
        <v>0.1950224831533266</v>
      </c>
      <c r="E37" s="33">
        <f t="shared" si="10"/>
        <v>0.48755620788331655</v>
      </c>
      <c r="F37" s="33">
        <f t="shared" si="11"/>
        <v>0.9751124157666331</v>
      </c>
      <c r="G37" s="33">
        <f t="shared" si="12"/>
        <v>1.9502248315332662</v>
      </c>
      <c r="H37" s="29">
        <v>19.502248315332661</v>
      </c>
      <c r="J37" s="36">
        <f t="shared" si="13"/>
        <v>0.48755620788331655</v>
      </c>
    </row>
    <row r="38" spans="1:10" ht="20.100000000000001" customHeight="1" x14ac:dyDescent="0.35">
      <c r="A38" s="32" t="s">
        <v>108</v>
      </c>
      <c r="B38" s="33">
        <f t="shared" si="7"/>
        <v>1.9502248315332663E-2</v>
      </c>
      <c r="C38" s="33">
        <f t="shared" si="8"/>
        <v>9.7511241576663299E-2</v>
      </c>
      <c r="D38" s="34">
        <f t="shared" si="9"/>
        <v>0.1950224831533266</v>
      </c>
      <c r="E38" s="33">
        <f t="shared" si="10"/>
        <v>0.48755620788331655</v>
      </c>
      <c r="F38" s="33">
        <f t="shared" si="11"/>
        <v>0.9751124157666331</v>
      </c>
      <c r="G38" s="33">
        <f t="shared" si="12"/>
        <v>1.9502248315332662</v>
      </c>
      <c r="H38" s="29">
        <v>19.502248315332661</v>
      </c>
      <c r="J38" s="36">
        <f t="shared" si="13"/>
        <v>0.48755620788331655</v>
      </c>
    </row>
    <row r="39" spans="1:10" ht="20.100000000000001" customHeight="1" x14ac:dyDescent="0.35">
      <c r="A39" s="42" t="s">
        <v>146</v>
      </c>
      <c r="B39" s="33">
        <f t="shared" si="7"/>
        <v>1.9502248315332663E-2</v>
      </c>
      <c r="C39" s="33">
        <f t="shared" si="8"/>
        <v>9.7511241576663299E-2</v>
      </c>
      <c r="D39" s="34">
        <f t="shared" si="9"/>
        <v>0.1950224831533266</v>
      </c>
      <c r="E39" s="33">
        <f t="shared" si="10"/>
        <v>0.48755620788331655</v>
      </c>
      <c r="F39" s="33">
        <f t="shared" si="11"/>
        <v>0.9751124157666331</v>
      </c>
      <c r="G39" s="33">
        <f t="shared" si="12"/>
        <v>1.9502248315332662</v>
      </c>
      <c r="H39" s="29">
        <v>19.502248315332661</v>
      </c>
      <c r="J39" s="36">
        <f t="shared" si="13"/>
        <v>0.48755620788331655</v>
      </c>
    </row>
    <row r="40" spans="1:10" ht="20.100000000000001" customHeight="1" thickBot="1" x14ac:dyDescent="0.4">
      <c r="A40" s="43" t="s">
        <v>147</v>
      </c>
      <c r="B40" s="33">
        <f t="shared" si="7"/>
        <v>1.9502248315332663E-2</v>
      </c>
      <c r="C40" s="21">
        <f t="shared" si="8"/>
        <v>9.7511241576663299E-2</v>
      </c>
      <c r="D40" s="22">
        <f t="shared" si="9"/>
        <v>0.1950224831533266</v>
      </c>
      <c r="E40" s="21">
        <f t="shared" si="10"/>
        <v>0.48755620788331655</v>
      </c>
      <c r="F40" s="21">
        <f t="shared" si="11"/>
        <v>0.9751124157666331</v>
      </c>
      <c r="G40" s="21">
        <f t="shared" si="12"/>
        <v>1.9502248315332662</v>
      </c>
      <c r="H40" s="29">
        <v>19.502248315332661</v>
      </c>
      <c r="J40" s="24">
        <f t="shared" si="13"/>
        <v>0.48755620788331655</v>
      </c>
    </row>
    <row r="41" spans="1:10" ht="20.100000000000001" customHeight="1" x14ac:dyDescent="0.35">
      <c r="A41" s="44" t="s">
        <v>67</v>
      </c>
      <c r="B41" s="13">
        <f t="shared" si="7"/>
        <v>13.422614033748705</v>
      </c>
      <c r="C41" s="13">
        <f t="shared" si="8"/>
        <v>67.113070168743519</v>
      </c>
      <c r="D41" s="13">
        <f t="shared" si="9"/>
        <v>134.22614033748704</v>
      </c>
      <c r="E41" s="13">
        <f t="shared" si="10"/>
        <v>335.56535084371762</v>
      </c>
      <c r="F41" s="13">
        <f t="shared" si="11"/>
        <v>671.13070168743525</v>
      </c>
      <c r="G41" s="31">
        <f t="shared" si="12"/>
        <v>1342.2614033748705</v>
      </c>
      <c r="H41" s="26">
        <v>13422.614033748705</v>
      </c>
      <c r="J41" s="36">
        <f t="shared" si="13"/>
        <v>335.56535084371762</v>
      </c>
    </row>
    <row r="42" spans="1:10" ht="20.100000000000001" customHeight="1" x14ac:dyDescent="0.35">
      <c r="A42" s="45" t="s">
        <v>83</v>
      </c>
      <c r="B42" s="33">
        <f t="shared" si="7"/>
        <v>6.3074724083657344E-2</v>
      </c>
      <c r="C42" s="33">
        <f t="shared" si="8"/>
        <v>0.3153736204182867</v>
      </c>
      <c r="D42" s="33">
        <f t="shared" si="9"/>
        <v>0.63074724083657341</v>
      </c>
      <c r="E42" s="33">
        <f t="shared" si="10"/>
        <v>1.5768681020914337</v>
      </c>
      <c r="F42" s="33">
        <f t="shared" si="11"/>
        <v>3.1537362041828674</v>
      </c>
      <c r="G42" s="35">
        <f t="shared" si="12"/>
        <v>6.3074724083657348</v>
      </c>
      <c r="H42" s="29">
        <v>63.074724083657344</v>
      </c>
      <c r="J42" s="36">
        <f t="shared" si="13"/>
        <v>1.5768681020914337</v>
      </c>
    </row>
    <row r="43" spans="1:10" ht="20.100000000000001" customHeight="1" x14ac:dyDescent="0.35">
      <c r="A43" s="45" t="s">
        <v>98</v>
      </c>
      <c r="B43" s="33">
        <f t="shared" si="7"/>
        <v>0.64826554384519719</v>
      </c>
      <c r="C43" s="33">
        <f t="shared" si="8"/>
        <v>3.2413277192259859</v>
      </c>
      <c r="D43" s="33">
        <f t="shared" si="9"/>
        <v>6.4826554384519719</v>
      </c>
      <c r="E43" s="33">
        <f t="shared" si="10"/>
        <v>16.206638596129928</v>
      </c>
      <c r="F43" s="33">
        <f t="shared" si="11"/>
        <v>32.413277192259855</v>
      </c>
      <c r="G43" s="35">
        <f t="shared" si="12"/>
        <v>64.82655438451971</v>
      </c>
      <c r="H43" s="29">
        <v>648.26554384519716</v>
      </c>
      <c r="J43" s="36">
        <f t="shared" si="13"/>
        <v>16.206638596129928</v>
      </c>
    </row>
    <row r="44" spans="1:10" ht="20.100000000000001" customHeight="1" x14ac:dyDescent="0.35">
      <c r="A44" s="45" t="s">
        <v>71</v>
      </c>
      <c r="B44" s="33">
        <f t="shared" si="7"/>
        <v>8.1596239644100379</v>
      </c>
      <c r="C44" s="33">
        <f t="shared" si="8"/>
        <v>40.798119822050197</v>
      </c>
      <c r="D44" s="33">
        <f t="shared" si="9"/>
        <v>81.596239644100393</v>
      </c>
      <c r="E44" s="33">
        <f t="shared" si="10"/>
        <v>203.99059911025097</v>
      </c>
      <c r="F44" s="33">
        <f t="shared" si="11"/>
        <v>407.98119822050194</v>
      </c>
      <c r="G44" s="35">
        <f t="shared" si="12"/>
        <v>815.96239644100388</v>
      </c>
      <c r="H44" s="29">
        <v>8159.6239644100388</v>
      </c>
      <c r="J44" s="36">
        <f t="shared" si="13"/>
        <v>203.99059911025097</v>
      </c>
    </row>
    <row r="45" spans="1:10" ht="20.100000000000001" customHeight="1" x14ac:dyDescent="0.35">
      <c r="A45" s="45" t="s">
        <v>93</v>
      </c>
      <c r="B45" s="33">
        <f t="shared" si="7"/>
        <v>0.13162724816825838</v>
      </c>
      <c r="C45" s="33">
        <f t="shared" si="8"/>
        <v>0.65813624084129185</v>
      </c>
      <c r="D45" s="33">
        <f t="shared" si="9"/>
        <v>1.3162724816825837</v>
      </c>
      <c r="E45" s="33">
        <f t="shared" si="10"/>
        <v>3.2906812042064595</v>
      </c>
      <c r="F45" s="33">
        <f t="shared" si="11"/>
        <v>6.581362408412919</v>
      </c>
      <c r="G45" s="35">
        <f t="shared" si="12"/>
        <v>13.162724816825838</v>
      </c>
      <c r="H45" s="29">
        <v>131.62724816825838</v>
      </c>
      <c r="J45" s="36">
        <f t="shared" si="13"/>
        <v>3.2906812042064595</v>
      </c>
    </row>
    <row r="46" spans="1:10" ht="20.100000000000001" customHeight="1" x14ac:dyDescent="0.35">
      <c r="A46" s="45" t="s">
        <v>77</v>
      </c>
      <c r="B46" s="33">
        <f t="shared" si="7"/>
        <v>0.13116366981147048</v>
      </c>
      <c r="C46" s="33">
        <f t="shared" si="8"/>
        <v>0.65581834905735248</v>
      </c>
      <c r="D46" s="33">
        <f t="shared" si="9"/>
        <v>1.311636698114705</v>
      </c>
      <c r="E46" s="33">
        <f t="shared" si="10"/>
        <v>3.2790917452867623</v>
      </c>
      <c r="F46" s="33">
        <f t="shared" si="11"/>
        <v>6.5581834905735246</v>
      </c>
      <c r="G46" s="35">
        <f t="shared" si="12"/>
        <v>13.116366981147049</v>
      </c>
      <c r="H46" s="29">
        <v>131.1636698114705</v>
      </c>
      <c r="J46" s="36">
        <f t="shared" si="13"/>
        <v>3.2790917452867623</v>
      </c>
    </row>
    <row r="47" spans="1:10" ht="20.100000000000001" customHeight="1" x14ac:dyDescent="0.35">
      <c r="A47" s="45" t="s">
        <v>74</v>
      </c>
      <c r="B47" s="33">
        <f t="shared" si="7"/>
        <v>0.13448220159846117</v>
      </c>
      <c r="C47" s="33">
        <f t="shared" si="8"/>
        <v>0.6724110079923058</v>
      </c>
      <c r="D47" s="33">
        <f t="shared" si="9"/>
        <v>1.3448220159846116</v>
      </c>
      <c r="E47" s="33">
        <f t="shared" si="10"/>
        <v>3.362055039961529</v>
      </c>
      <c r="F47" s="33">
        <f t="shared" si="11"/>
        <v>6.724110079923058</v>
      </c>
      <c r="G47" s="35">
        <f t="shared" si="12"/>
        <v>13.448220159846116</v>
      </c>
      <c r="H47" s="29">
        <v>134.48220159846116</v>
      </c>
      <c r="J47" s="36">
        <f t="shared" si="13"/>
        <v>3.362055039961529</v>
      </c>
    </row>
    <row r="48" spans="1:10" ht="20.100000000000001" customHeight="1" x14ac:dyDescent="0.35">
      <c r="A48" s="45" t="s">
        <v>97</v>
      </c>
      <c r="B48" s="33">
        <f t="shared" si="7"/>
        <v>6.3356526142242783E-2</v>
      </c>
      <c r="C48" s="33">
        <f t="shared" si="8"/>
        <v>0.31678263071121388</v>
      </c>
      <c r="D48" s="33">
        <f t="shared" si="9"/>
        <v>0.63356526142242775</v>
      </c>
      <c r="E48" s="33">
        <f t="shared" si="10"/>
        <v>1.5839131535560695</v>
      </c>
      <c r="F48" s="33">
        <f t="shared" si="11"/>
        <v>3.1678263071121391</v>
      </c>
      <c r="G48" s="35">
        <f t="shared" si="12"/>
        <v>6.3356526142242782</v>
      </c>
      <c r="H48" s="29">
        <v>63.356526142242778</v>
      </c>
      <c r="J48" s="36">
        <f t="shared" si="13"/>
        <v>1.5839131535560695</v>
      </c>
    </row>
    <row r="49" spans="1:10" ht="20.100000000000001" customHeight="1" x14ac:dyDescent="0.35">
      <c r="A49" s="45" t="s">
        <v>79</v>
      </c>
      <c r="B49" s="33">
        <f t="shared" si="7"/>
        <v>0.13195690988034264</v>
      </c>
      <c r="C49" s="33">
        <f t="shared" si="8"/>
        <v>0.65978454940171316</v>
      </c>
      <c r="D49" s="33">
        <f t="shared" si="9"/>
        <v>1.3195690988034263</v>
      </c>
      <c r="E49" s="33">
        <f t="shared" si="10"/>
        <v>3.2989227470085658</v>
      </c>
      <c r="F49" s="33">
        <f t="shared" si="11"/>
        <v>6.5978454940171316</v>
      </c>
      <c r="G49" s="35">
        <f t="shared" si="12"/>
        <v>13.195690988034263</v>
      </c>
      <c r="H49" s="29">
        <v>131.95690988034264</v>
      </c>
      <c r="J49" s="36">
        <f t="shared" si="13"/>
        <v>3.2989227470085658</v>
      </c>
    </row>
    <row r="50" spans="1:10" ht="20.100000000000001" customHeight="1" x14ac:dyDescent="0.35">
      <c r="A50" s="45" t="s">
        <v>76</v>
      </c>
      <c r="B50" s="33">
        <f t="shared" si="7"/>
        <v>14.544872076664877</v>
      </c>
      <c r="C50" s="33">
        <f t="shared" si="8"/>
        <v>72.724360383324381</v>
      </c>
      <c r="D50" s="33">
        <f t="shared" si="9"/>
        <v>145.44872076664876</v>
      </c>
      <c r="E50" s="33">
        <f t="shared" si="10"/>
        <v>363.62180191662191</v>
      </c>
      <c r="F50" s="33">
        <f t="shared" si="11"/>
        <v>727.24360383324381</v>
      </c>
      <c r="G50" s="35">
        <f t="shared" si="12"/>
        <v>1454.4872076664876</v>
      </c>
      <c r="H50" s="29">
        <v>14544.872076664877</v>
      </c>
      <c r="J50" s="36">
        <f t="shared" si="13"/>
        <v>363.62180191662191</v>
      </c>
    </row>
    <row r="51" spans="1:10" ht="20.100000000000001" customHeight="1" x14ac:dyDescent="0.35">
      <c r="A51" s="32" t="s">
        <v>100</v>
      </c>
      <c r="B51" s="33">
        <f t="shared" si="7"/>
        <v>0.13447390157696154</v>
      </c>
      <c r="C51" s="33">
        <f t="shared" si="8"/>
        <v>0.67236950788480765</v>
      </c>
      <c r="D51" s="33">
        <f t="shared" si="9"/>
        <v>1.3447390157696153</v>
      </c>
      <c r="E51" s="33">
        <f t="shared" si="10"/>
        <v>3.3618475394240384</v>
      </c>
      <c r="F51" s="33">
        <f t="shared" si="11"/>
        <v>6.7236950788480767</v>
      </c>
      <c r="G51" s="35">
        <f t="shared" si="12"/>
        <v>13.447390157696153</v>
      </c>
      <c r="H51" s="29">
        <v>134.47390157696154</v>
      </c>
      <c r="J51" s="36">
        <f t="shared" si="13"/>
        <v>3.3618475394240384</v>
      </c>
    </row>
    <row r="52" spans="1:10" ht="20.100000000000001" customHeight="1" x14ac:dyDescent="0.35">
      <c r="A52" s="45" t="s">
        <v>70</v>
      </c>
      <c r="B52" s="33">
        <f t="shared" si="7"/>
        <v>13.264294547105322</v>
      </c>
      <c r="C52" s="33">
        <f t="shared" si="8"/>
        <v>66.321472735526612</v>
      </c>
      <c r="D52" s="33">
        <f t="shared" si="9"/>
        <v>132.64294547105322</v>
      </c>
      <c r="E52" s="33">
        <f t="shared" si="10"/>
        <v>331.60736367763309</v>
      </c>
      <c r="F52" s="33">
        <f t="shared" si="11"/>
        <v>663.21472735526618</v>
      </c>
      <c r="G52" s="35">
        <f t="shared" si="12"/>
        <v>1326.4294547105324</v>
      </c>
      <c r="H52" s="29">
        <v>13264.294547105323</v>
      </c>
      <c r="J52" s="36">
        <f t="shared" si="13"/>
        <v>331.60736367763309</v>
      </c>
    </row>
    <row r="53" spans="1:10" ht="20.100000000000001" customHeight="1" x14ac:dyDescent="0.35">
      <c r="A53" s="45" t="s">
        <v>66</v>
      </c>
      <c r="B53" s="33">
        <f t="shared" si="7"/>
        <v>13.647112379182785</v>
      </c>
      <c r="C53" s="33">
        <f t="shared" si="8"/>
        <v>68.235561895913918</v>
      </c>
      <c r="D53" s="33">
        <f t="shared" si="9"/>
        <v>136.47112379182784</v>
      </c>
      <c r="E53" s="33">
        <f t="shared" si="10"/>
        <v>341.17780947956965</v>
      </c>
      <c r="F53" s="33">
        <f t="shared" si="11"/>
        <v>682.35561895913929</v>
      </c>
      <c r="G53" s="35">
        <f t="shared" si="12"/>
        <v>1364.7112379182786</v>
      </c>
      <c r="H53" s="29">
        <v>13647.112379182785</v>
      </c>
      <c r="J53" s="36">
        <f t="shared" si="13"/>
        <v>341.17780947956965</v>
      </c>
    </row>
    <row r="54" spans="1:10" ht="20.100000000000001" customHeight="1" x14ac:dyDescent="0.35">
      <c r="A54" s="45" t="s">
        <v>75</v>
      </c>
      <c r="B54" s="33">
        <f t="shared" si="7"/>
        <v>1.285485882939744</v>
      </c>
      <c r="C54" s="33">
        <f t="shared" si="8"/>
        <v>6.4274294146987199</v>
      </c>
      <c r="D54" s="33">
        <f t="shared" si="9"/>
        <v>12.85485882939744</v>
      </c>
      <c r="E54" s="33">
        <f t="shared" si="10"/>
        <v>32.137147073493601</v>
      </c>
      <c r="F54" s="33">
        <f t="shared" si="11"/>
        <v>64.274294146987202</v>
      </c>
      <c r="G54" s="35">
        <f t="shared" si="12"/>
        <v>128.5485882939744</v>
      </c>
      <c r="H54" s="29">
        <v>1285.485882939744</v>
      </c>
      <c r="J54" s="36">
        <f t="shared" si="13"/>
        <v>32.137147073493601</v>
      </c>
    </row>
    <row r="55" spans="1:10" ht="20.100000000000001" customHeight="1" x14ac:dyDescent="0.35">
      <c r="A55" s="45" t="s">
        <v>88</v>
      </c>
      <c r="B55" s="33">
        <f t="shared" si="7"/>
        <v>0.13222977382538192</v>
      </c>
      <c r="C55" s="33">
        <f t="shared" si="8"/>
        <v>0.66114886912690962</v>
      </c>
      <c r="D55" s="33">
        <f t="shared" si="9"/>
        <v>1.3222977382538192</v>
      </c>
      <c r="E55" s="33">
        <f t="shared" si="10"/>
        <v>3.3057443456345483</v>
      </c>
      <c r="F55" s="33">
        <f t="shared" si="11"/>
        <v>6.6114886912690967</v>
      </c>
      <c r="G55" s="35">
        <f t="shared" si="12"/>
        <v>13.222977382538193</v>
      </c>
      <c r="H55" s="29">
        <v>132.22977382538193</v>
      </c>
      <c r="J55" s="36">
        <f t="shared" si="13"/>
        <v>3.3057443456345483</v>
      </c>
    </row>
    <row r="56" spans="1:10" ht="20.100000000000001" customHeight="1" x14ac:dyDescent="0.35">
      <c r="A56" s="45" t="s">
        <v>65</v>
      </c>
      <c r="B56" s="33">
        <f t="shared" si="7"/>
        <v>6.5555210768798036</v>
      </c>
      <c r="C56" s="33">
        <f t="shared" si="8"/>
        <v>32.777605384399017</v>
      </c>
      <c r="D56" s="33">
        <f t="shared" si="9"/>
        <v>65.555210768798034</v>
      </c>
      <c r="E56" s="33">
        <f t="shared" si="10"/>
        <v>163.88802692199508</v>
      </c>
      <c r="F56" s="33">
        <f t="shared" si="11"/>
        <v>327.77605384399016</v>
      </c>
      <c r="G56" s="35">
        <f t="shared" si="12"/>
        <v>655.55210768798031</v>
      </c>
      <c r="H56" s="29">
        <v>6555.5210768798033</v>
      </c>
      <c r="J56" s="36">
        <f t="shared" si="13"/>
        <v>163.88802692199508</v>
      </c>
    </row>
    <row r="57" spans="1:10" ht="20.100000000000001" customHeight="1" x14ac:dyDescent="0.35">
      <c r="A57" s="45" t="s">
        <v>78</v>
      </c>
      <c r="B57" s="33">
        <f t="shared" si="7"/>
        <v>0.13412576130417933</v>
      </c>
      <c r="C57" s="33">
        <f t="shared" si="8"/>
        <v>0.67062880652089663</v>
      </c>
      <c r="D57" s="33">
        <f t="shared" si="9"/>
        <v>1.3412576130417933</v>
      </c>
      <c r="E57" s="33">
        <f t="shared" si="10"/>
        <v>3.353144032604483</v>
      </c>
      <c r="F57" s="33">
        <f t="shared" si="11"/>
        <v>6.706288065208966</v>
      </c>
      <c r="G57" s="35">
        <f t="shared" si="12"/>
        <v>13.412576130417932</v>
      </c>
      <c r="H57" s="29">
        <v>134.12576130417932</v>
      </c>
      <c r="J57" s="36">
        <f t="shared" si="13"/>
        <v>3.353144032604483</v>
      </c>
    </row>
    <row r="58" spans="1:10" ht="20.100000000000001" customHeight="1" x14ac:dyDescent="0.35">
      <c r="A58" s="45" t="s">
        <v>68</v>
      </c>
      <c r="B58" s="33">
        <f t="shared" si="7"/>
        <v>6.4633127645704391</v>
      </c>
      <c r="C58" s="33">
        <f t="shared" si="8"/>
        <v>32.316563822852196</v>
      </c>
      <c r="D58" s="33">
        <f t="shared" si="9"/>
        <v>64.633127645704391</v>
      </c>
      <c r="E58" s="33">
        <f t="shared" si="10"/>
        <v>161.58281911426099</v>
      </c>
      <c r="F58" s="33">
        <f t="shared" si="11"/>
        <v>323.16563822852197</v>
      </c>
      <c r="G58" s="35">
        <f t="shared" si="12"/>
        <v>646.33127645704394</v>
      </c>
      <c r="H58" s="29">
        <v>6463.312764570439</v>
      </c>
      <c r="J58" s="36">
        <f t="shared" si="13"/>
        <v>161.58281911426099</v>
      </c>
    </row>
    <row r="59" spans="1:10" ht="20.100000000000001" customHeight="1" x14ac:dyDescent="0.35">
      <c r="A59" s="45" t="s">
        <v>107</v>
      </c>
      <c r="B59" s="33">
        <f t="shared" si="7"/>
        <v>6.6479062173301795E-2</v>
      </c>
      <c r="C59" s="33">
        <f t="shared" si="8"/>
        <v>0.33239531086650898</v>
      </c>
      <c r="D59" s="33">
        <f t="shared" si="9"/>
        <v>0.66479062173301795</v>
      </c>
      <c r="E59" s="33">
        <f t="shared" si="10"/>
        <v>1.6619765543325449</v>
      </c>
      <c r="F59" s="33">
        <f t="shared" si="11"/>
        <v>3.3239531086650898</v>
      </c>
      <c r="G59" s="35">
        <f t="shared" si="12"/>
        <v>6.6479062173301795</v>
      </c>
      <c r="H59" s="29">
        <v>66.479062173301799</v>
      </c>
      <c r="J59" s="36">
        <f t="shared" si="13"/>
        <v>1.6619765543325449</v>
      </c>
    </row>
    <row r="60" spans="1:10" ht="20.100000000000001" customHeight="1" x14ac:dyDescent="0.35">
      <c r="A60" s="45" t="s">
        <v>85</v>
      </c>
      <c r="B60" s="33">
        <f t="shared" si="7"/>
        <v>0.32198735326647343</v>
      </c>
      <c r="C60" s="33">
        <f t="shared" si="8"/>
        <v>1.6099367663323669</v>
      </c>
      <c r="D60" s="33">
        <f t="shared" si="9"/>
        <v>3.2198735326647339</v>
      </c>
      <c r="E60" s="33">
        <f t="shared" si="10"/>
        <v>8.0496838316618344</v>
      </c>
      <c r="F60" s="33">
        <f t="shared" si="11"/>
        <v>16.099367663323669</v>
      </c>
      <c r="G60" s="35">
        <f t="shared" si="12"/>
        <v>32.198735326647338</v>
      </c>
      <c r="H60" s="29">
        <v>321.98735326647341</v>
      </c>
      <c r="J60" s="36">
        <f t="shared" si="13"/>
        <v>8.0496838316618344</v>
      </c>
    </row>
    <row r="61" spans="1:10" ht="20.100000000000001" customHeight="1" x14ac:dyDescent="0.35">
      <c r="A61" s="45" t="s">
        <v>102</v>
      </c>
      <c r="B61" s="33">
        <f t="shared" si="7"/>
        <v>6.7596487626173818E-2</v>
      </c>
      <c r="C61" s="33">
        <f t="shared" si="8"/>
        <v>0.33798243813086903</v>
      </c>
      <c r="D61" s="33">
        <f t="shared" si="9"/>
        <v>0.67596487626173807</v>
      </c>
      <c r="E61" s="33">
        <f t="shared" si="10"/>
        <v>1.6899121906543453</v>
      </c>
      <c r="F61" s="33">
        <f t="shared" si="11"/>
        <v>3.3798243813086906</v>
      </c>
      <c r="G61" s="35">
        <f t="shared" si="12"/>
        <v>6.7596487626173811</v>
      </c>
      <c r="H61" s="29">
        <v>67.596487626173811</v>
      </c>
      <c r="J61" s="36">
        <f t="shared" si="13"/>
        <v>1.6899121906543453</v>
      </c>
    </row>
    <row r="62" spans="1:10" ht="20.100000000000001" customHeight="1" x14ac:dyDescent="0.35">
      <c r="A62" s="45" t="s">
        <v>84</v>
      </c>
      <c r="B62" s="33">
        <f t="shared" si="7"/>
        <v>6.4285226314041058E-2</v>
      </c>
      <c r="C62" s="33">
        <f t="shared" si="8"/>
        <v>0.32142613157020528</v>
      </c>
      <c r="D62" s="33">
        <f t="shared" si="9"/>
        <v>0.64285226314041055</v>
      </c>
      <c r="E62" s="33">
        <f t="shared" si="10"/>
        <v>1.6071306578510263</v>
      </c>
      <c r="F62" s="33">
        <f t="shared" si="11"/>
        <v>3.2142613157020525</v>
      </c>
      <c r="G62" s="35">
        <f t="shared" si="12"/>
        <v>6.4285226314041051</v>
      </c>
      <c r="H62" s="29">
        <v>64.285226314041054</v>
      </c>
      <c r="J62" s="36">
        <f t="shared" si="13"/>
        <v>1.6071306578510263</v>
      </c>
    </row>
    <row r="63" spans="1:10" ht="20.100000000000001" customHeight="1" x14ac:dyDescent="0.35">
      <c r="A63" s="45" t="s">
        <v>86</v>
      </c>
      <c r="B63" s="33">
        <f t="shared" si="7"/>
        <v>0.1293511240149629</v>
      </c>
      <c r="C63" s="33">
        <f t="shared" si="8"/>
        <v>0.64675562007481446</v>
      </c>
      <c r="D63" s="33">
        <f t="shared" si="9"/>
        <v>1.2935112401496289</v>
      </c>
      <c r="E63" s="33">
        <f t="shared" si="10"/>
        <v>3.2337781003740722</v>
      </c>
      <c r="F63" s="33">
        <f t="shared" si="11"/>
        <v>6.4675562007481444</v>
      </c>
      <c r="G63" s="35">
        <f t="shared" si="12"/>
        <v>12.935112401496289</v>
      </c>
      <c r="H63" s="29">
        <v>129.35112401496289</v>
      </c>
      <c r="J63" s="36">
        <f t="shared" si="13"/>
        <v>3.2337781003740722</v>
      </c>
    </row>
    <row r="64" spans="1:10" ht="20.100000000000001" customHeight="1" x14ac:dyDescent="0.35">
      <c r="A64" s="45" t="s">
        <v>72</v>
      </c>
      <c r="B64" s="33">
        <f t="shared" si="7"/>
        <v>6.5982837204326632</v>
      </c>
      <c r="C64" s="33">
        <f t="shared" si="8"/>
        <v>32.991418602163314</v>
      </c>
      <c r="D64" s="33">
        <f t="shared" si="9"/>
        <v>65.982837204326628</v>
      </c>
      <c r="E64" s="33">
        <f t="shared" si="10"/>
        <v>164.95709301081658</v>
      </c>
      <c r="F64" s="33">
        <f t="shared" si="11"/>
        <v>329.91418602163316</v>
      </c>
      <c r="G64" s="35">
        <f t="shared" si="12"/>
        <v>659.82837204326631</v>
      </c>
      <c r="H64" s="29">
        <v>6598.2837204326634</v>
      </c>
      <c r="J64" s="36">
        <f t="shared" si="13"/>
        <v>164.95709301081658</v>
      </c>
    </row>
    <row r="65" spans="1:67" ht="20.100000000000001" customHeight="1" x14ac:dyDescent="0.35">
      <c r="A65" s="32" t="s">
        <v>108</v>
      </c>
      <c r="B65" s="33">
        <f t="shared" si="7"/>
        <v>6.6999559128932781E-2</v>
      </c>
      <c r="C65" s="33">
        <f t="shared" si="8"/>
        <v>0.33499779564466392</v>
      </c>
      <c r="D65" s="33">
        <f t="shared" si="9"/>
        <v>0.66999559128932784</v>
      </c>
      <c r="E65" s="33">
        <f t="shared" si="10"/>
        <v>1.6749889782233196</v>
      </c>
      <c r="F65" s="33">
        <f t="shared" si="11"/>
        <v>3.3499779564466392</v>
      </c>
      <c r="G65" s="35">
        <f t="shared" si="12"/>
        <v>6.6999559128932784</v>
      </c>
      <c r="H65" s="29">
        <v>66.999559128932788</v>
      </c>
      <c r="J65" s="36">
        <f t="shared" si="13"/>
        <v>1.6749889782233196</v>
      </c>
    </row>
    <row r="66" spans="1:67" ht="20.100000000000001" customHeight="1" x14ac:dyDescent="0.35">
      <c r="A66" s="45" t="s">
        <v>73</v>
      </c>
      <c r="B66" s="33">
        <f t="shared" si="7"/>
        <v>0.32632795836784784</v>
      </c>
      <c r="C66" s="33">
        <f t="shared" si="8"/>
        <v>1.6316397918392391</v>
      </c>
      <c r="D66" s="33">
        <f t="shared" si="9"/>
        <v>3.2632795836784783</v>
      </c>
      <c r="E66" s="33">
        <f t="shared" si="10"/>
        <v>8.158198959196195</v>
      </c>
      <c r="F66" s="33">
        <f t="shared" si="11"/>
        <v>16.31639791839239</v>
      </c>
      <c r="G66" s="35">
        <f t="shared" si="12"/>
        <v>32.63279583678478</v>
      </c>
      <c r="H66" s="29">
        <v>326.32795836784783</v>
      </c>
      <c r="J66" s="36">
        <f t="shared" si="13"/>
        <v>8.158198959196195</v>
      </c>
    </row>
    <row r="67" spans="1:67" ht="20.100000000000001" customHeight="1" x14ac:dyDescent="0.35">
      <c r="A67" s="45" t="s">
        <v>101</v>
      </c>
      <c r="B67" s="33">
        <f t="shared" si="7"/>
        <v>6.6118066939957185E-2</v>
      </c>
      <c r="C67" s="33">
        <f t="shared" si="8"/>
        <v>0.33059033469978594</v>
      </c>
      <c r="D67" s="33">
        <f t="shared" si="9"/>
        <v>0.66118066939957187</v>
      </c>
      <c r="E67" s="33">
        <f t="shared" si="10"/>
        <v>1.6529516734989298</v>
      </c>
      <c r="F67" s="33">
        <f t="shared" si="11"/>
        <v>3.3059033469978596</v>
      </c>
      <c r="G67" s="35">
        <f t="shared" si="12"/>
        <v>6.6118066939957192</v>
      </c>
      <c r="H67" s="29">
        <v>66.118066939957188</v>
      </c>
      <c r="J67" s="36">
        <f t="shared" si="13"/>
        <v>1.6529516734989298</v>
      </c>
    </row>
    <row r="68" spans="1:67" ht="20.100000000000001" customHeight="1" x14ac:dyDescent="0.35">
      <c r="A68" s="46" t="s">
        <v>80</v>
      </c>
      <c r="B68" s="33">
        <f>H68/1000</f>
        <v>0.13496814714212219</v>
      </c>
      <c r="C68" s="33">
        <f>H68/200</f>
        <v>0.67484073571061087</v>
      </c>
      <c r="D68" s="33">
        <f>H68/100</f>
        <v>1.3496814714212217</v>
      </c>
      <c r="E68" s="33">
        <f>H68/40</f>
        <v>3.3742036785530543</v>
      </c>
      <c r="F68" s="33">
        <f>H68/20</f>
        <v>6.7484073571061085</v>
      </c>
      <c r="G68" s="35">
        <f>H68/10</f>
        <v>13.496814714212217</v>
      </c>
      <c r="H68" s="29">
        <v>134.96814714212218</v>
      </c>
      <c r="J68" s="36">
        <f t="shared" si="13"/>
        <v>3.3742036785530543</v>
      </c>
    </row>
    <row r="69" spans="1:67" ht="20.100000000000001" customHeight="1" thickBot="1" x14ac:dyDescent="0.4">
      <c r="A69" s="47" t="s">
        <v>148</v>
      </c>
      <c r="B69" s="21">
        <f>H69/1000</f>
        <v>0.33179739311261774</v>
      </c>
      <c r="C69" s="21">
        <f>H69/200</f>
        <v>1.6589869655630887</v>
      </c>
      <c r="D69" s="21">
        <f>H69/100</f>
        <v>3.3179739311261773</v>
      </c>
      <c r="E69" s="21">
        <f>H69/40</f>
        <v>8.2949348278154424</v>
      </c>
      <c r="F69" s="21">
        <f>H69/20</f>
        <v>16.589869655630885</v>
      </c>
      <c r="G69" s="39">
        <f>H69/10</f>
        <v>33.17973931126177</v>
      </c>
      <c r="H69" s="40">
        <v>331.79739311261773</v>
      </c>
      <c r="J69" s="24">
        <f>H68/40</f>
        <v>3.3742036785530543</v>
      </c>
    </row>
    <row r="71" spans="1:67" ht="20.100000000000001" customHeight="1" x14ac:dyDescent="0.25">
      <c r="A71" s="32" t="s">
        <v>108</v>
      </c>
      <c r="B71" s="48">
        <f>B65+B38</f>
        <v>8.6501807444265444E-2</v>
      </c>
      <c r="C71" s="48">
        <f t="shared" ref="C71:H71" si="14">C65+C38</f>
        <v>0.43250903722132722</v>
      </c>
      <c r="D71" s="48">
        <f t="shared" si="14"/>
        <v>0.86501807444265444</v>
      </c>
      <c r="E71" s="48">
        <f t="shared" si="14"/>
        <v>2.162545186106636</v>
      </c>
      <c r="F71" s="48">
        <f t="shared" si="14"/>
        <v>4.3250903722132721</v>
      </c>
      <c r="G71" s="48">
        <f t="shared" si="14"/>
        <v>8.6501807444265442</v>
      </c>
      <c r="H71" s="48">
        <f t="shared" si="14"/>
        <v>86.501807444265452</v>
      </c>
    </row>
    <row r="72" spans="1:67" ht="20.100000000000001" customHeight="1" x14ac:dyDescent="0.25">
      <c r="A72" s="32" t="s">
        <v>100</v>
      </c>
      <c r="B72" s="48">
        <f>B51+B14</f>
        <v>0.14450981040557623</v>
      </c>
      <c r="C72" s="48">
        <f t="shared" ref="C72:H72" si="15">C51+C14</f>
        <v>0.72254905202788111</v>
      </c>
      <c r="D72" s="48">
        <f t="shared" si="15"/>
        <v>1.4450981040557622</v>
      </c>
      <c r="E72" s="48">
        <f t="shared" si="15"/>
        <v>3.6127452601394054</v>
      </c>
      <c r="F72" s="48">
        <f t="shared" si="15"/>
        <v>7.2254905202788109</v>
      </c>
      <c r="G72" s="48">
        <f t="shared" si="15"/>
        <v>14.450981040557622</v>
      </c>
      <c r="H72" s="48">
        <f t="shared" si="15"/>
        <v>144.50981040557622</v>
      </c>
    </row>
    <row r="73" spans="1:67" s="55" customFormat="1" ht="20.100000000000001" customHeight="1" x14ac:dyDescent="0.35">
      <c r="A73" s="49"/>
      <c r="B73" s="49"/>
      <c r="C73" s="49"/>
      <c r="D73" s="50"/>
      <c r="E73" s="51"/>
      <c r="F73" s="51"/>
      <c r="G73" s="52"/>
      <c r="H73" s="52"/>
      <c r="I73" s="53"/>
      <c r="J73" s="53"/>
      <c r="K73" s="53"/>
      <c r="L73" s="53"/>
      <c r="M73" s="53"/>
      <c r="N73" s="53"/>
      <c r="O73" s="53"/>
      <c r="P73" s="53"/>
      <c r="Q73" s="53"/>
      <c r="R73" s="54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</row>
    <row r="74" spans="1:67" s="56" customFormat="1" ht="20.100000000000001" customHeight="1" x14ac:dyDescent="0.25">
      <c r="AC74" s="57"/>
      <c r="AD74" s="57"/>
      <c r="AE74" s="57"/>
      <c r="AF74" s="57"/>
      <c r="AG74" s="57"/>
      <c r="AH74" s="57"/>
      <c r="AI74" s="57"/>
    </row>
    <row r="75" spans="1:67" s="56" customFormat="1" ht="20.100000000000001" customHeight="1" x14ac:dyDescent="0.25"/>
    <row r="76" spans="1:67" s="56" customFormat="1" ht="20.100000000000001" customHeight="1" x14ac:dyDescent="0.35">
      <c r="D76" s="58" t="s">
        <v>131</v>
      </c>
      <c r="E76" s="59" t="s">
        <v>64</v>
      </c>
      <c r="F76" s="60" t="s">
        <v>69</v>
      </c>
      <c r="G76" s="61" t="s">
        <v>82</v>
      </c>
      <c r="H76" s="61" t="s">
        <v>87</v>
      </c>
      <c r="I76" s="62" t="s">
        <v>92</v>
      </c>
      <c r="J76" s="62" t="s">
        <v>106</v>
      </c>
      <c r="K76" s="63" t="s">
        <v>105</v>
      </c>
      <c r="L76" s="64" t="s">
        <v>100</v>
      </c>
      <c r="M76" s="63" t="s">
        <v>103</v>
      </c>
      <c r="N76" s="63" t="s">
        <v>91</v>
      </c>
      <c r="O76" s="63" t="s">
        <v>104</v>
      </c>
      <c r="P76" s="63" t="s">
        <v>90</v>
      </c>
      <c r="Q76" s="63" t="s">
        <v>89</v>
      </c>
      <c r="R76" s="63" t="s">
        <v>95</v>
      </c>
      <c r="S76" s="63" t="s">
        <v>94</v>
      </c>
      <c r="T76" s="65" t="s">
        <v>96</v>
      </c>
      <c r="U76" s="66" t="s">
        <v>99</v>
      </c>
      <c r="V76" s="66" t="s">
        <v>132</v>
      </c>
      <c r="W76" s="66" t="s">
        <v>133</v>
      </c>
      <c r="X76" s="66" t="s">
        <v>134</v>
      </c>
      <c r="Y76" s="66" t="s">
        <v>135</v>
      </c>
      <c r="Z76" s="66" t="s">
        <v>136</v>
      </c>
      <c r="AA76" s="66" t="s">
        <v>137</v>
      </c>
      <c r="AB76" s="66" t="s">
        <v>138</v>
      </c>
      <c r="AC76" s="66" t="s">
        <v>139</v>
      </c>
      <c r="AD76" s="66" t="s">
        <v>140</v>
      </c>
      <c r="AE76" s="66" t="s">
        <v>141</v>
      </c>
      <c r="AF76" s="66" t="s">
        <v>142</v>
      </c>
      <c r="AG76" s="66" t="s">
        <v>143</v>
      </c>
      <c r="AH76" s="66" t="s">
        <v>144</v>
      </c>
      <c r="AI76" s="66" t="s">
        <v>145</v>
      </c>
      <c r="AJ76" s="64" t="s">
        <v>108</v>
      </c>
      <c r="AK76" s="66" t="s">
        <v>146</v>
      </c>
      <c r="AL76" s="66" t="s">
        <v>147</v>
      </c>
      <c r="AM76" s="46" t="s">
        <v>67</v>
      </c>
      <c r="AN76" s="46" t="s">
        <v>83</v>
      </c>
      <c r="AO76" s="46" t="s">
        <v>98</v>
      </c>
      <c r="AP76" s="46" t="s">
        <v>71</v>
      </c>
      <c r="AQ76" s="46" t="s">
        <v>93</v>
      </c>
      <c r="AR76" s="46" t="s">
        <v>77</v>
      </c>
      <c r="AS76" s="46" t="s">
        <v>74</v>
      </c>
      <c r="AT76" s="46" t="s">
        <v>97</v>
      </c>
      <c r="AU76" s="46" t="s">
        <v>79</v>
      </c>
      <c r="AV76" s="46" t="s">
        <v>76</v>
      </c>
      <c r="AW76" s="64" t="s">
        <v>100</v>
      </c>
      <c r="AX76" s="46" t="s">
        <v>70</v>
      </c>
      <c r="AY76" s="46" t="s">
        <v>66</v>
      </c>
      <c r="AZ76" s="46" t="s">
        <v>75</v>
      </c>
      <c r="BA76" s="46" t="s">
        <v>88</v>
      </c>
      <c r="BB76" s="46" t="s">
        <v>65</v>
      </c>
      <c r="BC76" s="46" t="s">
        <v>78</v>
      </c>
      <c r="BD76" s="46" t="s">
        <v>68</v>
      </c>
      <c r="BE76" s="46" t="s">
        <v>107</v>
      </c>
      <c r="BF76" s="46" t="s">
        <v>85</v>
      </c>
      <c r="BG76" s="46" t="s">
        <v>102</v>
      </c>
      <c r="BH76" s="46" t="s">
        <v>84</v>
      </c>
      <c r="BI76" s="46" t="s">
        <v>86</v>
      </c>
      <c r="BJ76" s="46" t="s">
        <v>72</v>
      </c>
      <c r="BK76" s="64" t="s">
        <v>108</v>
      </c>
      <c r="BL76" s="46" t="s">
        <v>73</v>
      </c>
      <c r="BM76" s="46" t="s">
        <v>101</v>
      </c>
      <c r="BN76" s="46" t="s">
        <v>80</v>
      </c>
      <c r="BO76" s="46" t="s">
        <v>148</v>
      </c>
    </row>
    <row r="77" spans="1:67" s="56" customFormat="1" ht="20.100000000000001" customHeight="1" x14ac:dyDescent="0.35">
      <c r="A77" s="67" t="s">
        <v>123</v>
      </c>
      <c r="B77" s="68" t="s">
        <v>116</v>
      </c>
      <c r="C77" s="67" t="s">
        <v>81</v>
      </c>
      <c r="D77" s="34">
        <f t="shared" ref="D77:BO77" si="16">D83/1000</f>
        <v>51.152847152847173</v>
      </c>
      <c r="E77" s="34">
        <f t="shared" si="16"/>
        <v>2.0979020979020994E-2</v>
      </c>
      <c r="F77" s="34">
        <f t="shared" si="16"/>
        <v>0.99900099900101325</v>
      </c>
      <c r="G77" s="34">
        <f t="shared" si="16"/>
        <v>5.2552380523171585E-2</v>
      </c>
      <c r="H77" s="34">
        <f t="shared" si="16"/>
        <v>5.1348735161810023E-2</v>
      </c>
      <c r="I77" s="34">
        <f t="shared" si="16"/>
        <v>0.4971056260273482</v>
      </c>
      <c r="J77" s="34">
        <f t="shared" si="16"/>
        <v>0.51330387630654384</v>
      </c>
      <c r="K77" s="34">
        <f t="shared" si="16"/>
        <v>1.0035908828614687E-2</v>
      </c>
      <c r="L77" s="34">
        <f t="shared" si="16"/>
        <v>1.0035908828614687E-2</v>
      </c>
      <c r="M77" s="34">
        <f t="shared" si="16"/>
        <v>1.0035908828614687E-2</v>
      </c>
      <c r="N77" s="34">
        <f t="shared" si="16"/>
        <v>1.0035908828614687E-2</v>
      </c>
      <c r="O77" s="34">
        <f t="shared" si="16"/>
        <v>1.0035908828614687E-2</v>
      </c>
      <c r="P77" s="34">
        <f t="shared" si="16"/>
        <v>1.0035908828614687E-2</v>
      </c>
      <c r="Q77" s="34">
        <f t="shared" si="16"/>
        <v>1.0035908828614687E-2</v>
      </c>
      <c r="R77" s="34">
        <f t="shared" si="16"/>
        <v>1.0035908828614687E-2</v>
      </c>
      <c r="S77" s="34">
        <f t="shared" si="16"/>
        <v>1.0035908828614687E-2</v>
      </c>
      <c r="T77" s="34">
        <f t="shared" si="16"/>
        <v>1.0035908828614687E-2</v>
      </c>
      <c r="U77" s="34">
        <f t="shared" si="16"/>
        <v>1.9502248315332663E-2</v>
      </c>
      <c r="V77" s="34">
        <f t="shared" si="16"/>
        <v>1.9502248315332663E-2</v>
      </c>
      <c r="W77" s="34">
        <f t="shared" si="16"/>
        <v>1.9502248315332663E-2</v>
      </c>
      <c r="X77" s="34">
        <f t="shared" si="16"/>
        <v>1.9502248315332663E-2</v>
      </c>
      <c r="Y77" s="34">
        <f t="shared" si="16"/>
        <v>1.9502248315332663E-2</v>
      </c>
      <c r="Z77" s="34">
        <f t="shared" si="16"/>
        <v>1.9502248315332663E-2</v>
      </c>
      <c r="AA77" s="34">
        <f t="shared" si="16"/>
        <v>1.9502248315332663E-2</v>
      </c>
      <c r="AB77" s="34">
        <f t="shared" si="16"/>
        <v>1.9502248315332663E-2</v>
      </c>
      <c r="AC77" s="34">
        <f t="shared" si="16"/>
        <v>1.9502248315332663E-2</v>
      </c>
      <c r="AD77" s="34">
        <f t="shared" si="16"/>
        <v>1.9502248315332663E-2</v>
      </c>
      <c r="AE77" s="34">
        <f t="shared" si="16"/>
        <v>1.9502248315332663E-2</v>
      </c>
      <c r="AF77" s="34">
        <f t="shared" si="16"/>
        <v>1.9502248315332663E-2</v>
      </c>
      <c r="AG77" s="34">
        <f t="shared" si="16"/>
        <v>1.9502248315332663E-2</v>
      </c>
      <c r="AH77" s="34">
        <f t="shared" si="16"/>
        <v>1.9502248315332663E-2</v>
      </c>
      <c r="AI77" s="34">
        <f t="shared" si="16"/>
        <v>1.9502248315332663E-2</v>
      </c>
      <c r="AJ77" s="34">
        <f t="shared" si="16"/>
        <v>1.9502248315332663E-2</v>
      </c>
      <c r="AK77" s="34">
        <f t="shared" si="16"/>
        <v>1.9502248315332663E-2</v>
      </c>
      <c r="AL77" s="34">
        <f t="shared" si="16"/>
        <v>1.9502248315332663E-2</v>
      </c>
      <c r="AM77" s="34">
        <f t="shared" si="16"/>
        <v>13.422614033748705</v>
      </c>
      <c r="AN77" s="34">
        <f t="shared" si="16"/>
        <v>6.3074724083657344E-2</v>
      </c>
      <c r="AO77" s="34">
        <f t="shared" si="16"/>
        <v>0.64826554384519719</v>
      </c>
      <c r="AP77" s="34">
        <f t="shared" si="16"/>
        <v>8.1596239644100379</v>
      </c>
      <c r="AQ77" s="34">
        <f t="shared" si="16"/>
        <v>0.13162724816825838</v>
      </c>
      <c r="AR77" s="34">
        <f t="shared" si="16"/>
        <v>0.13116366981147048</v>
      </c>
      <c r="AS77" s="34">
        <f t="shared" si="16"/>
        <v>0.13448220159846117</v>
      </c>
      <c r="AT77" s="34">
        <f t="shared" si="16"/>
        <v>6.3356526142242783E-2</v>
      </c>
      <c r="AU77" s="34">
        <f t="shared" si="16"/>
        <v>0.13195690988034264</v>
      </c>
      <c r="AV77" s="34">
        <f t="shared" si="16"/>
        <v>14.544872076664877</v>
      </c>
      <c r="AW77" s="34">
        <f t="shared" si="16"/>
        <v>0.13447390157696154</v>
      </c>
      <c r="AX77" s="34">
        <f t="shared" si="16"/>
        <v>13.264294547105322</v>
      </c>
      <c r="AY77" s="34">
        <f t="shared" si="16"/>
        <v>13.647112379182785</v>
      </c>
      <c r="AZ77" s="34">
        <f t="shared" si="16"/>
        <v>1.285485882939744</v>
      </c>
      <c r="BA77" s="34">
        <f t="shared" si="16"/>
        <v>0.13222977382538192</v>
      </c>
      <c r="BB77" s="34">
        <f t="shared" si="16"/>
        <v>6.5555210768798036</v>
      </c>
      <c r="BC77" s="34">
        <f t="shared" si="16"/>
        <v>0.13412576130417933</v>
      </c>
      <c r="BD77" s="34">
        <f t="shared" si="16"/>
        <v>6.4633127645704391</v>
      </c>
      <c r="BE77" s="34">
        <f t="shared" si="16"/>
        <v>6.6479062173301795E-2</v>
      </c>
      <c r="BF77" s="34">
        <f t="shared" si="16"/>
        <v>0.32198735326647343</v>
      </c>
      <c r="BG77" s="34">
        <f t="shared" si="16"/>
        <v>6.7596487626173818E-2</v>
      </c>
      <c r="BH77" s="34">
        <f t="shared" si="16"/>
        <v>6.4285226314041058E-2</v>
      </c>
      <c r="BI77" s="34">
        <f t="shared" si="16"/>
        <v>0.1293511240149629</v>
      </c>
      <c r="BJ77" s="34">
        <f t="shared" si="16"/>
        <v>6.5982837204326632</v>
      </c>
      <c r="BK77" s="34">
        <f t="shared" si="16"/>
        <v>6.6999559128932781E-2</v>
      </c>
      <c r="BL77" s="34">
        <f t="shared" si="16"/>
        <v>0.32632795836784784</v>
      </c>
      <c r="BM77" s="34">
        <f t="shared" si="16"/>
        <v>6.6118066939957185E-2</v>
      </c>
      <c r="BN77" s="34">
        <f t="shared" si="16"/>
        <v>0.13496814714212219</v>
      </c>
      <c r="BO77" s="34">
        <f t="shared" si="16"/>
        <v>0.33179739311261774</v>
      </c>
    </row>
    <row r="78" spans="1:67" s="56" customFormat="1" ht="20.100000000000001" customHeight="1" x14ac:dyDescent="0.35">
      <c r="A78" s="67" t="s">
        <v>124</v>
      </c>
      <c r="B78" s="68" t="s">
        <v>115</v>
      </c>
      <c r="C78" s="67" t="s">
        <v>81</v>
      </c>
      <c r="D78" s="34">
        <f t="shared" ref="D78:BO78" si="17">D83/200</f>
        <v>255.76423576423585</v>
      </c>
      <c r="E78" s="34">
        <f t="shared" si="17"/>
        <v>0.10489510489510497</v>
      </c>
      <c r="F78" s="34">
        <f t="shared" si="17"/>
        <v>4.9950049950050666</v>
      </c>
      <c r="G78" s="34">
        <f t="shared" si="17"/>
        <v>0.26276190261585791</v>
      </c>
      <c r="H78" s="34">
        <f t="shared" si="17"/>
        <v>0.25674367580905011</v>
      </c>
      <c r="I78" s="34">
        <f t="shared" si="17"/>
        <v>2.4855281301367409</v>
      </c>
      <c r="J78" s="34">
        <f t="shared" si="17"/>
        <v>2.5665193815327196</v>
      </c>
      <c r="K78" s="34">
        <f t="shared" si="17"/>
        <v>5.0179544143073435E-2</v>
      </c>
      <c r="L78" s="34">
        <f t="shared" si="17"/>
        <v>5.0179544143073435E-2</v>
      </c>
      <c r="M78" s="34">
        <f t="shared" si="17"/>
        <v>5.0179544143073435E-2</v>
      </c>
      <c r="N78" s="34">
        <f t="shared" si="17"/>
        <v>5.0179544143073435E-2</v>
      </c>
      <c r="O78" s="34">
        <f t="shared" si="17"/>
        <v>5.0179544143073435E-2</v>
      </c>
      <c r="P78" s="34">
        <f t="shared" si="17"/>
        <v>5.0179544143073435E-2</v>
      </c>
      <c r="Q78" s="34">
        <f t="shared" si="17"/>
        <v>5.0179544143073435E-2</v>
      </c>
      <c r="R78" s="34">
        <f t="shared" si="17"/>
        <v>5.0179544143073435E-2</v>
      </c>
      <c r="S78" s="34">
        <f t="shared" si="17"/>
        <v>5.0179544143073435E-2</v>
      </c>
      <c r="T78" s="34">
        <f t="shared" si="17"/>
        <v>5.0179544143073435E-2</v>
      </c>
      <c r="U78" s="34">
        <f t="shared" si="17"/>
        <v>9.7511241576663299E-2</v>
      </c>
      <c r="V78" s="34">
        <f t="shared" si="17"/>
        <v>9.7511241576663299E-2</v>
      </c>
      <c r="W78" s="34">
        <f t="shared" si="17"/>
        <v>9.7511241576663299E-2</v>
      </c>
      <c r="X78" s="34">
        <f t="shared" si="17"/>
        <v>9.7511241576663299E-2</v>
      </c>
      <c r="Y78" s="34">
        <f t="shared" si="17"/>
        <v>9.7511241576663299E-2</v>
      </c>
      <c r="Z78" s="34">
        <f t="shared" si="17"/>
        <v>9.7511241576663299E-2</v>
      </c>
      <c r="AA78" s="34">
        <f t="shared" si="17"/>
        <v>9.7511241576663299E-2</v>
      </c>
      <c r="AB78" s="34">
        <f t="shared" si="17"/>
        <v>9.7511241576663299E-2</v>
      </c>
      <c r="AC78" s="34">
        <f t="shared" si="17"/>
        <v>9.7511241576663299E-2</v>
      </c>
      <c r="AD78" s="34">
        <f t="shared" si="17"/>
        <v>9.7511241576663299E-2</v>
      </c>
      <c r="AE78" s="34">
        <f t="shared" si="17"/>
        <v>9.7511241576663299E-2</v>
      </c>
      <c r="AF78" s="34">
        <f t="shared" si="17"/>
        <v>9.7511241576663299E-2</v>
      </c>
      <c r="AG78" s="34">
        <f t="shared" si="17"/>
        <v>9.7511241576663299E-2</v>
      </c>
      <c r="AH78" s="34">
        <f t="shared" si="17"/>
        <v>9.7511241576663299E-2</v>
      </c>
      <c r="AI78" s="34">
        <f t="shared" si="17"/>
        <v>9.7511241576663299E-2</v>
      </c>
      <c r="AJ78" s="34">
        <f t="shared" si="17"/>
        <v>9.7511241576663299E-2</v>
      </c>
      <c r="AK78" s="34">
        <f t="shared" si="17"/>
        <v>9.7511241576663299E-2</v>
      </c>
      <c r="AL78" s="34">
        <f t="shared" si="17"/>
        <v>9.7511241576663299E-2</v>
      </c>
      <c r="AM78" s="34">
        <f t="shared" si="17"/>
        <v>67.113070168743519</v>
      </c>
      <c r="AN78" s="34">
        <f t="shared" si="17"/>
        <v>0.3153736204182867</v>
      </c>
      <c r="AO78" s="34">
        <f t="shared" si="17"/>
        <v>3.2413277192259859</v>
      </c>
      <c r="AP78" s="34">
        <f t="shared" si="17"/>
        <v>40.798119822050197</v>
      </c>
      <c r="AQ78" s="34">
        <f t="shared" si="17"/>
        <v>0.65813624084129185</v>
      </c>
      <c r="AR78" s="34">
        <f t="shared" si="17"/>
        <v>0.65581834905735248</v>
      </c>
      <c r="AS78" s="34">
        <f t="shared" si="17"/>
        <v>0.6724110079923058</v>
      </c>
      <c r="AT78" s="34">
        <f t="shared" si="17"/>
        <v>0.31678263071121388</v>
      </c>
      <c r="AU78" s="34">
        <f t="shared" si="17"/>
        <v>0.65978454940171316</v>
      </c>
      <c r="AV78" s="34">
        <f t="shared" si="17"/>
        <v>72.724360383324381</v>
      </c>
      <c r="AW78" s="34">
        <f t="shared" si="17"/>
        <v>0.67236950788480765</v>
      </c>
      <c r="AX78" s="34">
        <f t="shared" si="17"/>
        <v>66.321472735526612</v>
      </c>
      <c r="AY78" s="34">
        <f t="shared" si="17"/>
        <v>68.235561895913918</v>
      </c>
      <c r="AZ78" s="34">
        <f t="shared" si="17"/>
        <v>6.4274294146987199</v>
      </c>
      <c r="BA78" s="34">
        <f t="shared" si="17"/>
        <v>0.66114886912690962</v>
      </c>
      <c r="BB78" s="34">
        <f t="shared" si="17"/>
        <v>32.777605384399017</v>
      </c>
      <c r="BC78" s="34">
        <f t="shared" si="17"/>
        <v>0.67062880652089663</v>
      </c>
      <c r="BD78" s="34">
        <f t="shared" si="17"/>
        <v>32.316563822852196</v>
      </c>
      <c r="BE78" s="34">
        <f t="shared" si="17"/>
        <v>0.33239531086650898</v>
      </c>
      <c r="BF78" s="34">
        <f t="shared" si="17"/>
        <v>1.6099367663323669</v>
      </c>
      <c r="BG78" s="34">
        <f t="shared" si="17"/>
        <v>0.33798243813086903</v>
      </c>
      <c r="BH78" s="34">
        <f t="shared" si="17"/>
        <v>0.32142613157020528</v>
      </c>
      <c r="BI78" s="34">
        <f t="shared" si="17"/>
        <v>0.64675562007481446</v>
      </c>
      <c r="BJ78" s="34">
        <f t="shared" si="17"/>
        <v>32.991418602163314</v>
      </c>
      <c r="BK78" s="34">
        <f t="shared" si="17"/>
        <v>0.33499779564466392</v>
      </c>
      <c r="BL78" s="34">
        <f t="shared" si="17"/>
        <v>1.6316397918392391</v>
      </c>
      <c r="BM78" s="34">
        <f t="shared" si="17"/>
        <v>0.33059033469978594</v>
      </c>
      <c r="BN78" s="34">
        <f t="shared" si="17"/>
        <v>0.67484073571061087</v>
      </c>
      <c r="BO78" s="34">
        <f t="shared" si="17"/>
        <v>1.6589869655630887</v>
      </c>
    </row>
    <row r="79" spans="1:67" s="56" customFormat="1" ht="20.100000000000001" customHeight="1" x14ac:dyDescent="0.35">
      <c r="A79" s="67" t="s">
        <v>125</v>
      </c>
      <c r="B79" s="68" t="s">
        <v>114</v>
      </c>
      <c r="C79" s="67" t="s">
        <v>81</v>
      </c>
      <c r="D79" s="34">
        <f t="shared" ref="D79:BO79" si="18">D83/100</f>
        <v>511.5284715284717</v>
      </c>
      <c r="E79" s="34">
        <f t="shared" si="18"/>
        <v>0.20979020979020993</v>
      </c>
      <c r="F79" s="34">
        <f t="shared" si="18"/>
        <v>9.9900099900101331</v>
      </c>
      <c r="G79" s="34">
        <f t="shared" si="18"/>
        <v>0.52552380523171582</v>
      </c>
      <c r="H79" s="34">
        <f t="shared" si="18"/>
        <v>0.51348735161810022</v>
      </c>
      <c r="I79" s="34">
        <f t="shared" si="18"/>
        <v>4.9710562602734818</v>
      </c>
      <c r="J79" s="34">
        <f t="shared" si="18"/>
        <v>5.1330387630654393</v>
      </c>
      <c r="K79" s="34">
        <f t="shared" si="18"/>
        <v>0.10035908828614687</v>
      </c>
      <c r="L79" s="34">
        <f t="shared" si="18"/>
        <v>0.10035908828614687</v>
      </c>
      <c r="M79" s="34">
        <f t="shared" si="18"/>
        <v>0.10035908828614687</v>
      </c>
      <c r="N79" s="34">
        <f t="shared" si="18"/>
        <v>0.10035908828614687</v>
      </c>
      <c r="O79" s="34">
        <f t="shared" si="18"/>
        <v>0.10035908828614687</v>
      </c>
      <c r="P79" s="34">
        <f t="shared" si="18"/>
        <v>0.10035908828614687</v>
      </c>
      <c r="Q79" s="34">
        <f t="shared" si="18"/>
        <v>0.10035908828614687</v>
      </c>
      <c r="R79" s="34">
        <f t="shared" si="18"/>
        <v>0.10035908828614687</v>
      </c>
      <c r="S79" s="34">
        <f t="shared" si="18"/>
        <v>0.10035908828614687</v>
      </c>
      <c r="T79" s="34">
        <f t="shared" si="18"/>
        <v>0.10035908828614687</v>
      </c>
      <c r="U79" s="34">
        <f t="shared" si="18"/>
        <v>0.1950224831533266</v>
      </c>
      <c r="V79" s="34">
        <f t="shared" si="18"/>
        <v>0.1950224831533266</v>
      </c>
      <c r="W79" s="34">
        <f t="shared" si="18"/>
        <v>0.1950224831533266</v>
      </c>
      <c r="X79" s="34">
        <f t="shared" si="18"/>
        <v>0.1950224831533266</v>
      </c>
      <c r="Y79" s="34">
        <f t="shared" si="18"/>
        <v>0.1950224831533266</v>
      </c>
      <c r="Z79" s="34">
        <f t="shared" si="18"/>
        <v>0.1950224831533266</v>
      </c>
      <c r="AA79" s="34">
        <f t="shared" si="18"/>
        <v>0.1950224831533266</v>
      </c>
      <c r="AB79" s="34">
        <f t="shared" si="18"/>
        <v>0.1950224831533266</v>
      </c>
      <c r="AC79" s="34">
        <f t="shared" si="18"/>
        <v>0.1950224831533266</v>
      </c>
      <c r="AD79" s="34">
        <f t="shared" si="18"/>
        <v>0.1950224831533266</v>
      </c>
      <c r="AE79" s="34">
        <f t="shared" si="18"/>
        <v>0.1950224831533266</v>
      </c>
      <c r="AF79" s="34">
        <f t="shared" si="18"/>
        <v>0.1950224831533266</v>
      </c>
      <c r="AG79" s="34">
        <f t="shared" si="18"/>
        <v>0.1950224831533266</v>
      </c>
      <c r="AH79" s="34">
        <f t="shared" si="18"/>
        <v>0.1950224831533266</v>
      </c>
      <c r="AI79" s="34">
        <f t="shared" si="18"/>
        <v>0.1950224831533266</v>
      </c>
      <c r="AJ79" s="34">
        <f t="shared" si="18"/>
        <v>0.1950224831533266</v>
      </c>
      <c r="AK79" s="34">
        <f t="shared" si="18"/>
        <v>0.1950224831533266</v>
      </c>
      <c r="AL79" s="34">
        <f t="shared" si="18"/>
        <v>0.1950224831533266</v>
      </c>
      <c r="AM79" s="34">
        <f t="shared" si="18"/>
        <v>134.22614033748704</v>
      </c>
      <c r="AN79" s="34">
        <f t="shared" si="18"/>
        <v>0.63074724083657341</v>
      </c>
      <c r="AO79" s="34">
        <f t="shared" si="18"/>
        <v>6.4826554384519719</v>
      </c>
      <c r="AP79" s="34">
        <f t="shared" si="18"/>
        <v>81.596239644100393</v>
      </c>
      <c r="AQ79" s="34">
        <f t="shared" si="18"/>
        <v>1.3162724816825837</v>
      </c>
      <c r="AR79" s="34">
        <f t="shared" si="18"/>
        <v>1.311636698114705</v>
      </c>
      <c r="AS79" s="34">
        <f t="shared" si="18"/>
        <v>1.3448220159846116</v>
      </c>
      <c r="AT79" s="34">
        <f t="shared" si="18"/>
        <v>0.63356526142242775</v>
      </c>
      <c r="AU79" s="34">
        <f t="shared" si="18"/>
        <v>1.3195690988034263</v>
      </c>
      <c r="AV79" s="34">
        <f t="shared" si="18"/>
        <v>145.44872076664876</v>
      </c>
      <c r="AW79" s="34">
        <f t="shared" si="18"/>
        <v>1.3447390157696153</v>
      </c>
      <c r="AX79" s="34">
        <f t="shared" si="18"/>
        <v>132.64294547105322</v>
      </c>
      <c r="AY79" s="34">
        <f t="shared" si="18"/>
        <v>136.47112379182784</v>
      </c>
      <c r="AZ79" s="34">
        <f t="shared" si="18"/>
        <v>12.85485882939744</v>
      </c>
      <c r="BA79" s="34">
        <f t="shared" si="18"/>
        <v>1.3222977382538192</v>
      </c>
      <c r="BB79" s="34">
        <f t="shared" si="18"/>
        <v>65.555210768798034</v>
      </c>
      <c r="BC79" s="34">
        <f t="shared" si="18"/>
        <v>1.3412576130417933</v>
      </c>
      <c r="BD79" s="34">
        <f t="shared" si="18"/>
        <v>64.633127645704391</v>
      </c>
      <c r="BE79" s="34">
        <f t="shared" si="18"/>
        <v>0.66479062173301795</v>
      </c>
      <c r="BF79" s="34">
        <f t="shared" si="18"/>
        <v>3.2198735326647339</v>
      </c>
      <c r="BG79" s="34">
        <f t="shared" si="18"/>
        <v>0.67596487626173807</v>
      </c>
      <c r="BH79" s="34">
        <f t="shared" si="18"/>
        <v>0.64285226314041055</v>
      </c>
      <c r="BI79" s="34">
        <f t="shared" si="18"/>
        <v>1.2935112401496289</v>
      </c>
      <c r="BJ79" s="34">
        <f t="shared" si="18"/>
        <v>65.982837204326628</v>
      </c>
      <c r="BK79" s="34">
        <f t="shared" si="18"/>
        <v>0.66999559128932784</v>
      </c>
      <c r="BL79" s="34">
        <f t="shared" si="18"/>
        <v>3.2632795836784783</v>
      </c>
      <c r="BM79" s="34">
        <f t="shared" si="18"/>
        <v>0.66118066939957187</v>
      </c>
      <c r="BN79" s="34">
        <f t="shared" si="18"/>
        <v>1.3496814714212217</v>
      </c>
      <c r="BO79" s="34">
        <f t="shared" si="18"/>
        <v>3.3179739311261773</v>
      </c>
    </row>
    <row r="80" spans="1:67" s="56" customFormat="1" ht="20.100000000000001" customHeight="1" x14ac:dyDescent="0.35">
      <c r="A80" s="67" t="s">
        <v>126</v>
      </c>
      <c r="B80" s="69">
        <v>6.9444444444444434E-2</v>
      </c>
      <c r="C80" s="67" t="s">
        <v>81</v>
      </c>
      <c r="D80" s="34">
        <f t="shared" ref="D80:BO80" si="19">D83/40</f>
        <v>1278.8211788211793</v>
      </c>
      <c r="E80" s="34">
        <f t="shared" si="19"/>
        <v>0.52447552447552481</v>
      </c>
      <c r="F80" s="34">
        <f t="shared" si="19"/>
        <v>24.975024975025331</v>
      </c>
      <c r="G80" s="34">
        <f t="shared" si="19"/>
        <v>1.3138095130792897</v>
      </c>
      <c r="H80" s="34">
        <f t="shared" si="19"/>
        <v>1.2837183790452507</v>
      </c>
      <c r="I80" s="34">
        <f t="shared" si="19"/>
        <v>12.427640650683704</v>
      </c>
      <c r="J80" s="34">
        <f t="shared" si="19"/>
        <v>12.832596907663596</v>
      </c>
      <c r="K80" s="34">
        <f t="shared" si="19"/>
        <v>0.2508977207153672</v>
      </c>
      <c r="L80" s="34">
        <f t="shared" si="19"/>
        <v>0.2508977207153672</v>
      </c>
      <c r="M80" s="34">
        <f t="shared" si="19"/>
        <v>0.2508977207153672</v>
      </c>
      <c r="N80" s="34">
        <f t="shared" si="19"/>
        <v>0.2508977207153672</v>
      </c>
      <c r="O80" s="34">
        <f t="shared" si="19"/>
        <v>0.2508977207153672</v>
      </c>
      <c r="P80" s="34">
        <f t="shared" si="19"/>
        <v>0.2508977207153672</v>
      </c>
      <c r="Q80" s="34">
        <f t="shared" si="19"/>
        <v>0.2508977207153672</v>
      </c>
      <c r="R80" s="34">
        <f t="shared" si="19"/>
        <v>0.2508977207153672</v>
      </c>
      <c r="S80" s="34">
        <f t="shared" si="19"/>
        <v>0.2508977207153672</v>
      </c>
      <c r="T80" s="34">
        <f t="shared" si="19"/>
        <v>0.2508977207153672</v>
      </c>
      <c r="U80" s="34">
        <f t="shared" si="19"/>
        <v>0.48755620788331655</v>
      </c>
      <c r="V80" s="34">
        <f t="shared" si="19"/>
        <v>0.48755620788331655</v>
      </c>
      <c r="W80" s="34">
        <f t="shared" si="19"/>
        <v>0.48755620788331655</v>
      </c>
      <c r="X80" s="34">
        <f t="shared" si="19"/>
        <v>0.48755620788331655</v>
      </c>
      <c r="Y80" s="34">
        <f t="shared" si="19"/>
        <v>0.48755620788331655</v>
      </c>
      <c r="Z80" s="34">
        <f t="shared" si="19"/>
        <v>0.48755620788331655</v>
      </c>
      <c r="AA80" s="34">
        <f t="shared" si="19"/>
        <v>0.48755620788331655</v>
      </c>
      <c r="AB80" s="34">
        <f t="shared" si="19"/>
        <v>0.48755620788331655</v>
      </c>
      <c r="AC80" s="34">
        <f t="shared" si="19"/>
        <v>0.48755620788331655</v>
      </c>
      <c r="AD80" s="34">
        <f t="shared" si="19"/>
        <v>0.48755620788331655</v>
      </c>
      <c r="AE80" s="34">
        <f t="shared" si="19"/>
        <v>0.48755620788331655</v>
      </c>
      <c r="AF80" s="34">
        <f t="shared" si="19"/>
        <v>0.48755620788331655</v>
      </c>
      <c r="AG80" s="34">
        <f t="shared" si="19"/>
        <v>0.48755620788331655</v>
      </c>
      <c r="AH80" s="34">
        <f t="shared" si="19"/>
        <v>0.48755620788331655</v>
      </c>
      <c r="AI80" s="34">
        <f t="shared" si="19"/>
        <v>0.48755620788331655</v>
      </c>
      <c r="AJ80" s="34">
        <f t="shared" si="19"/>
        <v>0.48755620788331655</v>
      </c>
      <c r="AK80" s="34">
        <f t="shared" si="19"/>
        <v>0.48755620788331655</v>
      </c>
      <c r="AL80" s="34">
        <f t="shared" si="19"/>
        <v>0.48755620788331655</v>
      </c>
      <c r="AM80" s="34">
        <f t="shared" si="19"/>
        <v>335.56535084371762</v>
      </c>
      <c r="AN80" s="34">
        <f t="shared" si="19"/>
        <v>1.5768681020914337</v>
      </c>
      <c r="AO80" s="34">
        <f t="shared" si="19"/>
        <v>16.206638596129928</v>
      </c>
      <c r="AP80" s="34">
        <f t="shared" si="19"/>
        <v>203.99059911025097</v>
      </c>
      <c r="AQ80" s="34">
        <f t="shared" si="19"/>
        <v>3.2906812042064595</v>
      </c>
      <c r="AR80" s="34">
        <f t="shared" si="19"/>
        <v>3.2790917452867623</v>
      </c>
      <c r="AS80" s="34">
        <f t="shared" si="19"/>
        <v>3.362055039961529</v>
      </c>
      <c r="AT80" s="34">
        <f t="shared" si="19"/>
        <v>1.5839131535560695</v>
      </c>
      <c r="AU80" s="34">
        <f t="shared" si="19"/>
        <v>3.2989227470085658</v>
      </c>
      <c r="AV80" s="34">
        <f t="shared" si="19"/>
        <v>363.62180191662191</v>
      </c>
      <c r="AW80" s="34">
        <f t="shared" si="19"/>
        <v>3.3618475394240384</v>
      </c>
      <c r="AX80" s="34">
        <f t="shared" si="19"/>
        <v>331.60736367763309</v>
      </c>
      <c r="AY80" s="34">
        <f t="shared" si="19"/>
        <v>341.17780947956965</v>
      </c>
      <c r="AZ80" s="34">
        <f t="shared" si="19"/>
        <v>32.137147073493601</v>
      </c>
      <c r="BA80" s="34">
        <f t="shared" si="19"/>
        <v>3.3057443456345483</v>
      </c>
      <c r="BB80" s="34">
        <f t="shared" si="19"/>
        <v>163.88802692199508</v>
      </c>
      <c r="BC80" s="34">
        <f t="shared" si="19"/>
        <v>3.353144032604483</v>
      </c>
      <c r="BD80" s="34">
        <f t="shared" si="19"/>
        <v>161.58281911426099</v>
      </c>
      <c r="BE80" s="34">
        <f t="shared" si="19"/>
        <v>1.6619765543325449</v>
      </c>
      <c r="BF80" s="34">
        <f t="shared" si="19"/>
        <v>8.0496838316618344</v>
      </c>
      <c r="BG80" s="34">
        <f t="shared" si="19"/>
        <v>1.6899121906543453</v>
      </c>
      <c r="BH80" s="34">
        <f t="shared" si="19"/>
        <v>1.6071306578510263</v>
      </c>
      <c r="BI80" s="34">
        <f t="shared" si="19"/>
        <v>3.2337781003740722</v>
      </c>
      <c r="BJ80" s="34">
        <f t="shared" si="19"/>
        <v>164.95709301081658</v>
      </c>
      <c r="BK80" s="34">
        <f t="shared" si="19"/>
        <v>1.6749889782233196</v>
      </c>
      <c r="BL80" s="34">
        <f t="shared" si="19"/>
        <v>8.158198959196195</v>
      </c>
      <c r="BM80" s="34">
        <f t="shared" si="19"/>
        <v>1.6529516734989298</v>
      </c>
      <c r="BN80" s="34">
        <f t="shared" si="19"/>
        <v>3.3742036785530543</v>
      </c>
      <c r="BO80" s="34">
        <f t="shared" si="19"/>
        <v>8.2949348278154424</v>
      </c>
    </row>
    <row r="81" spans="1:67" s="56" customFormat="1" ht="20.100000000000001" customHeight="1" x14ac:dyDescent="0.35">
      <c r="A81" s="67" t="s">
        <v>127</v>
      </c>
      <c r="B81" s="69">
        <v>5.5555555555555552E-2</v>
      </c>
      <c r="C81" s="67" t="s">
        <v>81</v>
      </c>
      <c r="D81" s="34">
        <f t="shared" ref="D81:BO81" si="20">D83/20</f>
        <v>2557.6423576423585</v>
      </c>
      <c r="E81" s="34">
        <f t="shared" si="20"/>
        <v>1.0489510489510496</v>
      </c>
      <c r="F81" s="34">
        <f t="shared" si="20"/>
        <v>49.950049950050662</v>
      </c>
      <c r="G81" s="34">
        <f t="shared" si="20"/>
        <v>2.6276190261585795</v>
      </c>
      <c r="H81" s="34">
        <f t="shared" si="20"/>
        <v>2.5674367580905013</v>
      </c>
      <c r="I81" s="34">
        <f t="shared" si="20"/>
        <v>24.855281301367409</v>
      </c>
      <c r="J81" s="34">
        <f t="shared" si="20"/>
        <v>25.665193815327193</v>
      </c>
      <c r="K81" s="34">
        <f t="shared" si="20"/>
        <v>0.5017954414307344</v>
      </c>
      <c r="L81" s="34">
        <f t="shared" si="20"/>
        <v>0.5017954414307344</v>
      </c>
      <c r="M81" s="34">
        <f t="shared" si="20"/>
        <v>0.5017954414307344</v>
      </c>
      <c r="N81" s="34">
        <f t="shared" si="20"/>
        <v>0.5017954414307344</v>
      </c>
      <c r="O81" s="34">
        <f t="shared" si="20"/>
        <v>0.5017954414307344</v>
      </c>
      <c r="P81" s="34">
        <f t="shared" si="20"/>
        <v>0.5017954414307344</v>
      </c>
      <c r="Q81" s="34">
        <f t="shared" si="20"/>
        <v>0.5017954414307344</v>
      </c>
      <c r="R81" s="34">
        <f t="shared" si="20"/>
        <v>0.5017954414307344</v>
      </c>
      <c r="S81" s="34">
        <f t="shared" si="20"/>
        <v>0.5017954414307344</v>
      </c>
      <c r="T81" s="34">
        <f t="shared" si="20"/>
        <v>0.5017954414307344</v>
      </c>
      <c r="U81" s="34">
        <f t="shared" si="20"/>
        <v>0.9751124157666331</v>
      </c>
      <c r="V81" s="34">
        <f t="shared" si="20"/>
        <v>0.9751124157666331</v>
      </c>
      <c r="W81" s="34">
        <f t="shared" si="20"/>
        <v>0.9751124157666331</v>
      </c>
      <c r="X81" s="34">
        <f t="shared" si="20"/>
        <v>0.9751124157666331</v>
      </c>
      <c r="Y81" s="34">
        <f t="shared" si="20"/>
        <v>0.9751124157666331</v>
      </c>
      <c r="Z81" s="34">
        <f t="shared" si="20"/>
        <v>0.9751124157666331</v>
      </c>
      <c r="AA81" s="34">
        <f t="shared" si="20"/>
        <v>0.9751124157666331</v>
      </c>
      <c r="AB81" s="34">
        <f t="shared" si="20"/>
        <v>0.9751124157666331</v>
      </c>
      <c r="AC81" s="34">
        <f t="shared" si="20"/>
        <v>0.9751124157666331</v>
      </c>
      <c r="AD81" s="34">
        <f t="shared" si="20"/>
        <v>0.9751124157666331</v>
      </c>
      <c r="AE81" s="34">
        <f t="shared" si="20"/>
        <v>0.9751124157666331</v>
      </c>
      <c r="AF81" s="34">
        <f t="shared" si="20"/>
        <v>0.9751124157666331</v>
      </c>
      <c r="AG81" s="34">
        <f t="shared" si="20"/>
        <v>0.9751124157666331</v>
      </c>
      <c r="AH81" s="34">
        <f t="shared" si="20"/>
        <v>0.9751124157666331</v>
      </c>
      <c r="AI81" s="34">
        <f t="shared" si="20"/>
        <v>0.9751124157666331</v>
      </c>
      <c r="AJ81" s="34">
        <f t="shared" si="20"/>
        <v>0.9751124157666331</v>
      </c>
      <c r="AK81" s="34">
        <f t="shared" si="20"/>
        <v>0.9751124157666331</v>
      </c>
      <c r="AL81" s="34">
        <f t="shared" si="20"/>
        <v>0.9751124157666331</v>
      </c>
      <c r="AM81" s="34">
        <f t="shared" si="20"/>
        <v>671.13070168743525</v>
      </c>
      <c r="AN81" s="34">
        <f t="shared" si="20"/>
        <v>3.1537362041828674</v>
      </c>
      <c r="AO81" s="34">
        <f t="shared" si="20"/>
        <v>32.413277192259855</v>
      </c>
      <c r="AP81" s="34">
        <f t="shared" si="20"/>
        <v>407.98119822050194</v>
      </c>
      <c r="AQ81" s="34">
        <f t="shared" si="20"/>
        <v>6.581362408412919</v>
      </c>
      <c r="AR81" s="34">
        <f t="shared" si="20"/>
        <v>6.5581834905735246</v>
      </c>
      <c r="AS81" s="34">
        <f t="shared" si="20"/>
        <v>6.724110079923058</v>
      </c>
      <c r="AT81" s="34">
        <f t="shared" si="20"/>
        <v>3.1678263071121391</v>
      </c>
      <c r="AU81" s="34">
        <f t="shared" si="20"/>
        <v>6.5978454940171316</v>
      </c>
      <c r="AV81" s="34">
        <f t="shared" si="20"/>
        <v>727.24360383324381</v>
      </c>
      <c r="AW81" s="34">
        <f t="shared" si="20"/>
        <v>6.7236950788480767</v>
      </c>
      <c r="AX81" s="34">
        <f t="shared" si="20"/>
        <v>663.21472735526618</v>
      </c>
      <c r="AY81" s="34">
        <f t="shared" si="20"/>
        <v>682.35561895913929</v>
      </c>
      <c r="AZ81" s="34">
        <f t="shared" si="20"/>
        <v>64.274294146987202</v>
      </c>
      <c r="BA81" s="34">
        <f t="shared" si="20"/>
        <v>6.6114886912690967</v>
      </c>
      <c r="BB81" s="34">
        <f t="shared" si="20"/>
        <v>327.77605384399016</v>
      </c>
      <c r="BC81" s="34">
        <f t="shared" si="20"/>
        <v>6.706288065208966</v>
      </c>
      <c r="BD81" s="34">
        <f t="shared" si="20"/>
        <v>323.16563822852197</v>
      </c>
      <c r="BE81" s="34">
        <f t="shared" si="20"/>
        <v>3.3239531086650898</v>
      </c>
      <c r="BF81" s="34">
        <f t="shared" si="20"/>
        <v>16.099367663323669</v>
      </c>
      <c r="BG81" s="34">
        <f t="shared" si="20"/>
        <v>3.3798243813086906</v>
      </c>
      <c r="BH81" s="34">
        <f t="shared" si="20"/>
        <v>3.2142613157020525</v>
      </c>
      <c r="BI81" s="34">
        <f t="shared" si="20"/>
        <v>6.4675562007481444</v>
      </c>
      <c r="BJ81" s="34">
        <f t="shared" si="20"/>
        <v>329.91418602163316</v>
      </c>
      <c r="BK81" s="34">
        <f t="shared" si="20"/>
        <v>3.3499779564466392</v>
      </c>
      <c r="BL81" s="34">
        <f t="shared" si="20"/>
        <v>16.31639791839239</v>
      </c>
      <c r="BM81" s="34">
        <f t="shared" si="20"/>
        <v>3.3059033469978596</v>
      </c>
      <c r="BN81" s="34">
        <f t="shared" si="20"/>
        <v>6.7484073571061085</v>
      </c>
      <c r="BO81" s="34">
        <f t="shared" si="20"/>
        <v>16.589869655630885</v>
      </c>
    </row>
    <row r="82" spans="1:67" s="56" customFormat="1" ht="20.100000000000001" customHeight="1" x14ac:dyDescent="0.35">
      <c r="A82" s="67" t="s">
        <v>128</v>
      </c>
      <c r="B82" s="69">
        <v>4.8611111111111112E-2</v>
      </c>
      <c r="C82" s="67" t="s">
        <v>81</v>
      </c>
      <c r="D82" s="34">
        <f t="shared" ref="D82:BO82" si="21">D83/10</f>
        <v>5115.2847152847171</v>
      </c>
      <c r="E82" s="34">
        <f t="shared" si="21"/>
        <v>2.0979020979020992</v>
      </c>
      <c r="F82" s="34">
        <f t="shared" si="21"/>
        <v>99.900099900101324</v>
      </c>
      <c r="G82" s="34">
        <f t="shared" si="21"/>
        <v>5.2552380523171589</v>
      </c>
      <c r="H82" s="34">
        <f t="shared" si="21"/>
        <v>5.1348735161810026</v>
      </c>
      <c r="I82" s="34">
        <f t="shared" si="21"/>
        <v>49.710562602734818</v>
      </c>
      <c r="J82" s="34">
        <f t="shared" si="21"/>
        <v>51.330387630654386</v>
      </c>
      <c r="K82" s="34">
        <f t="shared" si="21"/>
        <v>1.0035908828614688</v>
      </c>
      <c r="L82" s="34">
        <f t="shared" si="21"/>
        <v>1.0035908828614688</v>
      </c>
      <c r="M82" s="34">
        <f t="shared" si="21"/>
        <v>1.0035908828614688</v>
      </c>
      <c r="N82" s="34">
        <f t="shared" si="21"/>
        <v>1.0035908828614688</v>
      </c>
      <c r="O82" s="34">
        <f t="shared" si="21"/>
        <v>1.0035908828614688</v>
      </c>
      <c r="P82" s="34">
        <f t="shared" si="21"/>
        <v>1.0035908828614688</v>
      </c>
      <c r="Q82" s="34">
        <f t="shared" si="21"/>
        <v>1.0035908828614688</v>
      </c>
      <c r="R82" s="34">
        <f t="shared" si="21"/>
        <v>1.0035908828614688</v>
      </c>
      <c r="S82" s="34">
        <f t="shared" si="21"/>
        <v>1.0035908828614688</v>
      </c>
      <c r="T82" s="34">
        <f t="shared" si="21"/>
        <v>1.0035908828614688</v>
      </c>
      <c r="U82" s="34">
        <f t="shared" si="21"/>
        <v>1.9502248315332662</v>
      </c>
      <c r="V82" s="34">
        <f t="shared" si="21"/>
        <v>1.9502248315332662</v>
      </c>
      <c r="W82" s="34">
        <f t="shared" si="21"/>
        <v>1.9502248315332662</v>
      </c>
      <c r="X82" s="34">
        <f t="shared" si="21"/>
        <v>1.9502248315332662</v>
      </c>
      <c r="Y82" s="34">
        <f t="shared" si="21"/>
        <v>1.9502248315332662</v>
      </c>
      <c r="Z82" s="34">
        <f t="shared" si="21"/>
        <v>1.9502248315332662</v>
      </c>
      <c r="AA82" s="34">
        <f t="shared" si="21"/>
        <v>1.9502248315332662</v>
      </c>
      <c r="AB82" s="34">
        <f t="shared" si="21"/>
        <v>1.9502248315332662</v>
      </c>
      <c r="AC82" s="34">
        <f t="shared" si="21"/>
        <v>1.9502248315332662</v>
      </c>
      <c r="AD82" s="34">
        <f t="shared" si="21"/>
        <v>1.9502248315332662</v>
      </c>
      <c r="AE82" s="34">
        <f t="shared" si="21"/>
        <v>1.9502248315332662</v>
      </c>
      <c r="AF82" s="34">
        <f t="shared" si="21"/>
        <v>1.9502248315332662</v>
      </c>
      <c r="AG82" s="34">
        <f t="shared" si="21"/>
        <v>1.9502248315332662</v>
      </c>
      <c r="AH82" s="34">
        <f t="shared" si="21"/>
        <v>1.9502248315332662</v>
      </c>
      <c r="AI82" s="34">
        <f t="shared" si="21"/>
        <v>1.9502248315332662</v>
      </c>
      <c r="AJ82" s="34">
        <f t="shared" si="21"/>
        <v>1.9502248315332662</v>
      </c>
      <c r="AK82" s="34">
        <f t="shared" si="21"/>
        <v>1.9502248315332662</v>
      </c>
      <c r="AL82" s="34">
        <f t="shared" si="21"/>
        <v>1.9502248315332662</v>
      </c>
      <c r="AM82" s="34">
        <f t="shared" si="21"/>
        <v>1342.2614033748705</v>
      </c>
      <c r="AN82" s="34">
        <f t="shared" si="21"/>
        <v>6.3074724083657348</v>
      </c>
      <c r="AO82" s="34">
        <f t="shared" si="21"/>
        <v>64.82655438451971</v>
      </c>
      <c r="AP82" s="34">
        <f t="shared" si="21"/>
        <v>815.96239644100388</v>
      </c>
      <c r="AQ82" s="34">
        <f t="shared" si="21"/>
        <v>13.162724816825838</v>
      </c>
      <c r="AR82" s="34">
        <f t="shared" si="21"/>
        <v>13.116366981147049</v>
      </c>
      <c r="AS82" s="34">
        <f t="shared" si="21"/>
        <v>13.448220159846116</v>
      </c>
      <c r="AT82" s="34">
        <f t="shared" si="21"/>
        <v>6.3356526142242782</v>
      </c>
      <c r="AU82" s="34">
        <f t="shared" si="21"/>
        <v>13.195690988034263</v>
      </c>
      <c r="AV82" s="34">
        <f t="shared" si="21"/>
        <v>1454.4872076664876</v>
      </c>
      <c r="AW82" s="34">
        <f t="shared" si="21"/>
        <v>13.447390157696153</v>
      </c>
      <c r="AX82" s="34">
        <f t="shared" si="21"/>
        <v>1326.4294547105324</v>
      </c>
      <c r="AY82" s="34">
        <f t="shared" si="21"/>
        <v>1364.7112379182786</v>
      </c>
      <c r="AZ82" s="34">
        <f t="shared" si="21"/>
        <v>128.5485882939744</v>
      </c>
      <c r="BA82" s="34">
        <f t="shared" si="21"/>
        <v>13.222977382538193</v>
      </c>
      <c r="BB82" s="34">
        <f t="shared" si="21"/>
        <v>655.55210768798031</v>
      </c>
      <c r="BC82" s="34">
        <f t="shared" si="21"/>
        <v>13.412576130417932</v>
      </c>
      <c r="BD82" s="34">
        <f t="shared" si="21"/>
        <v>646.33127645704394</v>
      </c>
      <c r="BE82" s="34">
        <f t="shared" si="21"/>
        <v>6.6479062173301795</v>
      </c>
      <c r="BF82" s="34">
        <f t="shared" si="21"/>
        <v>32.198735326647338</v>
      </c>
      <c r="BG82" s="34">
        <f t="shared" si="21"/>
        <v>6.7596487626173811</v>
      </c>
      <c r="BH82" s="34">
        <f t="shared" si="21"/>
        <v>6.4285226314041051</v>
      </c>
      <c r="BI82" s="34">
        <f t="shared" si="21"/>
        <v>12.935112401496289</v>
      </c>
      <c r="BJ82" s="34">
        <f t="shared" si="21"/>
        <v>659.82837204326631</v>
      </c>
      <c r="BK82" s="34">
        <f t="shared" si="21"/>
        <v>6.6999559128932784</v>
      </c>
      <c r="BL82" s="34">
        <f t="shared" si="21"/>
        <v>32.63279583678478</v>
      </c>
      <c r="BM82" s="34">
        <f t="shared" si="21"/>
        <v>6.6118066939957192</v>
      </c>
      <c r="BN82" s="34">
        <f t="shared" si="21"/>
        <v>13.496814714212217</v>
      </c>
      <c r="BO82" s="34">
        <f t="shared" si="21"/>
        <v>33.17973931126177</v>
      </c>
    </row>
    <row r="83" spans="1:67" s="56" customFormat="1" ht="20.100000000000001" customHeight="1" x14ac:dyDescent="0.3">
      <c r="A83" s="67" t="s">
        <v>129</v>
      </c>
      <c r="B83" s="70" t="s">
        <v>112</v>
      </c>
      <c r="C83" s="67" t="s">
        <v>81</v>
      </c>
      <c r="D83" s="71">
        <v>51152.847152847171</v>
      </c>
      <c r="E83" s="71">
        <v>20.979020979020994</v>
      </c>
      <c r="F83" s="71">
        <v>999.00099900101327</v>
      </c>
      <c r="G83" s="71">
        <v>52.552380523171585</v>
      </c>
      <c r="H83" s="71">
        <v>51.348735161810026</v>
      </c>
      <c r="I83" s="72">
        <v>497.10562602734819</v>
      </c>
      <c r="J83" s="72">
        <v>513.30387630654388</v>
      </c>
      <c r="K83" s="72">
        <v>10.035908828614687</v>
      </c>
      <c r="L83" s="72">
        <v>10.035908828614687</v>
      </c>
      <c r="M83" s="72">
        <v>10.035908828614687</v>
      </c>
      <c r="N83" s="72">
        <v>10.035908828614687</v>
      </c>
      <c r="O83" s="72">
        <v>10.035908828614687</v>
      </c>
      <c r="P83" s="72">
        <v>10.035908828614687</v>
      </c>
      <c r="Q83" s="72">
        <v>10.035908828614687</v>
      </c>
      <c r="R83" s="72">
        <v>10.035908828614687</v>
      </c>
      <c r="S83" s="72">
        <v>10.035908828614687</v>
      </c>
      <c r="T83" s="72">
        <v>10.035908828614687</v>
      </c>
      <c r="U83" s="72">
        <v>19.502248315332661</v>
      </c>
      <c r="V83" s="72">
        <v>19.502248315332661</v>
      </c>
      <c r="W83" s="72">
        <v>19.502248315332661</v>
      </c>
      <c r="X83" s="72">
        <v>19.502248315332661</v>
      </c>
      <c r="Y83" s="72">
        <v>19.502248315332661</v>
      </c>
      <c r="Z83" s="72">
        <v>19.502248315332661</v>
      </c>
      <c r="AA83" s="72">
        <v>19.502248315332661</v>
      </c>
      <c r="AB83" s="72">
        <v>19.502248315332661</v>
      </c>
      <c r="AC83" s="72">
        <v>19.502248315332661</v>
      </c>
      <c r="AD83" s="72">
        <v>19.502248315332661</v>
      </c>
      <c r="AE83" s="72">
        <v>19.502248315332661</v>
      </c>
      <c r="AF83" s="72">
        <v>19.502248315332661</v>
      </c>
      <c r="AG83" s="72">
        <v>19.502248315332661</v>
      </c>
      <c r="AH83" s="72">
        <v>19.502248315332661</v>
      </c>
      <c r="AI83" s="72">
        <v>19.502248315332661</v>
      </c>
      <c r="AJ83" s="72">
        <v>19.502248315332661</v>
      </c>
      <c r="AK83" s="72">
        <v>19.502248315332661</v>
      </c>
      <c r="AL83" s="72">
        <v>19.502248315332661</v>
      </c>
      <c r="AM83" s="72">
        <v>13422.614033748705</v>
      </c>
      <c r="AN83" s="72">
        <v>63.074724083657344</v>
      </c>
      <c r="AO83" s="72">
        <v>648.26554384519716</v>
      </c>
      <c r="AP83" s="72">
        <v>8159.6239644100388</v>
      </c>
      <c r="AQ83" s="72">
        <v>131.62724816825838</v>
      </c>
      <c r="AR83" s="72">
        <v>131.1636698114705</v>
      </c>
      <c r="AS83" s="72">
        <v>134.48220159846116</v>
      </c>
      <c r="AT83" s="72">
        <v>63.356526142242778</v>
      </c>
      <c r="AU83" s="72">
        <v>131.95690988034264</v>
      </c>
      <c r="AV83" s="72">
        <v>14544.872076664877</v>
      </c>
      <c r="AW83" s="72">
        <v>134.47390157696154</v>
      </c>
      <c r="AX83" s="72">
        <v>13264.294547105323</v>
      </c>
      <c r="AY83" s="72">
        <v>13647.112379182785</v>
      </c>
      <c r="AZ83" s="72">
        <v>1285.485882939744</v>
      </c>
      <c r="BA83" s="72">
        <v>132.22977382538193</v>
      </c>
      <c r="BB83" s="72">
        <v>6555.5210768798033</v>
      </c>
      <c r="BC83" s="72">
        <v>134.12576130417932</v>
      </c>
      <c r="BD83" s="72">
        <v>6463.312764570439</v>
      </c>
      <c r="BE83" s="72">
        <v>66.479062173301799</v>
      </c>
      <c r="BF83" s="72">
        <v>321.98735326647341</v>
      </c>
      <c r="BG83" s="72">
        <v>67.596487626173811</v>
      </c>
      <c r="BH83" s="72">
        <v>64.285226314041054</v>
      </c>
      <c r="BI83" s="72">
        <v>129.35112401496289</v>
      </c>
      <c r="BJ83" s="72">
        <v>6598.2837204326634</v>
      </c>
      <c r="BK83" s="72">
        <v>66.999559128932788</v>
      </c>
      <c r="BL83" s="72">
        <v>326.32795836784783</v>
      </c>
      <c r="BM83" s="72">
        <v>66.118066939957188</v>
      </c>
      <c r="BN83" s="72">
        <v>134.96814714212218</v>
      </c>
      <c r="BO83" s="72">
        <v>331.79739311261773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Concentration</vt:lpstr>
      <vt:lpstr>Input</vt:lpstr>
      <vt:lpstr>Standards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ThermoFisher</dc:creator>
  <cp:lastModifiedBy>Marisa Masles</cp:lastModifiedBy>
  <dcterms:created xsi:type="dcterms:W3CDTF">2016-07-01T16:11:06Z</dcterms:created>
  <dcterms:modified xsi:type="dcterms:W3CDTF">2016-08-05T16:12:02Z</dcterms:modified>
</cp:coreProperties>
</file>